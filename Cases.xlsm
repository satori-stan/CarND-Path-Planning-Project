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omments9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PI\Self-Driving Car\Path-Planning-Project\"/>
    </mc:Choice>
  </mc:AlternateContent>
  <bookViews>
    <workbookView xWindow="0" yWindow="0" windowWidth="24000" windowHeight="8835" tabRatio="696" activeTab="19"/>
  </bookViews>
  <sheets>
    <sheet name="Sheet0" sheetId="3" r:id="rId1"/>
    <sheet name="Sheet1" sheetId="1" r:id="rId2"/>
    <sheet name="Sheet2" sheetId="15" state="hidden" r:id="rId3"/>
    <sheet name="Sheet3" sheetId="4" state="hidden" r:id="rId4"/>
    <sheet name="Sheet4" sheetId="6" state="hidden" r:id="rId5"/>
    <sheet name="Sheet5" sheetId="7" state="hidden" r:id="rId6"/>
    <sheet name="Sheet6" sheetId="8" state="hidden" r:id="rId7"/>
    <sheet name="Sheet7" sheetId="9" state="hidden" r:id="rId8"/>
    <sheet name="Sheet8" sheetId="10" state="hidden" r:id="rId9"/>
    <sheet name="Sheet9" sheetId="11" state="hidden" r:id="rId10"/>
    <sheet name="Sheet10" sheetId="12" r:id="rId11"/>
    <sheet name="Sheet11" sheetId="13" r:id="rId12"/>
    <sheet name="Sheet12" sheetId="14" r:id="rId13"/>
    <sheet name="Sheet13" sheetId="16" r:id="rId14"/>
    <sheet name="Sheet14" sheetId="17" r:id="rId15"/>
    <sheet name="Sheet15" sheetId="18" r:id="rId16"/>
    <sheet name="Sheet16" sheetId="19" r:id="rId17"/>
    <sheet name="Sheet17" sheetId="20" r:id="rId18"/>
    <sheet name="Sheet18" sheetId="21" r:id="rId19"/>
    <sheet name="Sheet19" sheetId="22" r:id="rId20"/>
  </sheets>
  <functionGroups builtInGroupCount="18"/>
  <definedNames>
    <definedName name="Collision_Time_Buffer">Sheet1!$B$10</definedName>
    <definedName name="Lane_Change_Multiplier">Sheet1!$B$11</definedName>
    <definedName name="Safety_Distance">Sheet1!$B$7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22" l="1"/>
  <c r="K40" i="22"/>
  <c r="J40" i="22"/>
  <c r="I40" i="22"/>
  <c r="H40" i="22"/>
  <c r="G40" i="22"/>
  <c r="BL40" i="22" s="1"/>
  <c r="F40" i="22"/>
  <c r="E40" i="22"/>
  <c r="D40" i="22"/>
  <c r="BG39" i="22"/>
  <c r="L39" i="22"/>
  <c r="K39" i="22"/>
  <c r="J39" i="22"/>
  <c r="I39" i="22"/>
  <c r="H39" i="22"/>
  <c r="G39" i="22"/>
  <c r="BF39" i="22" s="1"/>
  <c r="F39" i="22"/>
  <c r="E39" i="22"/>
  <c r="D39" i="22"/>
  <c r="L38" i="22"/>
  <c r="K38" i="22"/>
  <c r="J38" i="22"/>
  <c r="I38" i="22"/>
  <c r="H38" i="22"/>
  <c r="G38" i="22"/>
  <c r="AJ38" i="22" s="1"/>
  <c r="F38" i="22"/>
  <c r="E38" i="22"/>
  <c r="D38" i="22"/>
  <c r="BG37" i="22"/>
  <c r="L37" i="22"/>
  <c r="K37" i="22"/>
  <c r="J37" i="22"/>
  <c r="I37" i="22"/>
  <c r="H37" i="22"/>
  <c r="G37" i="22"/>
  <c r="BF37" i="22" s="1"/>
  <c r="F37" i="22"/>
  <c r="E37" i="22"/>
  <c r="D37" i="22"/>
  <c r="L36" i="22"/>
  <c r="K36" i="22"/>
  <c r="J36" i="22"/>
  <c r="I36" i="22"/>
  <c r="H36" i="22"/>
  <c r="G36" i="22"/>
  <c r="BL36" i="22" s="1"/>
  <c r="F36" i="22"/>
  <c r="E36" i="22"/>
  <c r="D36" i="22"/>
  <c r="BG35" i="22"/>
  <c r="L35" i="22"/>
  <c r="K35" i="22"/>
  <c r="J35" i="22"/>
  <c r="I35" i="22"/>
  <c r="H35" i="22"/>
  <c r="G35" i="22"/>
  <c r="BF35" i="22" s="1"/>
  <c r="F35" i="22"/>
  <c r="E35" i="22"/>
  <c r="D35" i="22"/>
  <c r="L34" i="22"/>
  <c r="K34" i="22"/>
  <c r="J34" i="22"/>
  <c r="I34" i="22"/>
  <c r="H34" i="22"/>
  <c r="AO34" i="22" s="1"/>
  <c r="G34" i="22"/>
  <c r="BG34" i="22" s="1"/>
  <c r="F34" i="22"/>
  <c r="E34" i="22"/>
  <c r="D34" i="22"/>
  <c r="L33" i="22"/>
  <c r="K33" i="22"/>
  <c r="J33" i="22"/>
  <c r="I33" i="22"/>
  <c r="H33" i="22"/>
  <c r="G33" i="22"/>
  <c r="F33" i="22"/>
  <c r="E33" i="22"/>
  <c r="D33" i="22"/>
  <c r="BF32" i="22"/>
  <c r="AL32" i="22"/>
  <c r="L32" i="22"/>
  <c r="K32" i="22"/>
  <c r="J32" i="22"/>
  <c r="I32" i="22"/>
  <c r="H32" i="22"/>
  <c r="G32" i="22"/>
  <c r="BG32" i="22" s="1"/>
  <c r="F32" i="22"/>
  <c r="E32" i="22"/>
  <c r="D32" i="22"/>
  <c r="L31" i="22"/>
  <c r="K31" i="22"/>
  <c r="J31" i="22"/>
  <c r="I31" i="22"/>
  <c r="H31" i="22"/>
  <c r="G31" i="22"/>
  <c r="F31" i="22"/>
  <c r="E31" i="22"/>
  <c r="D31" i="22"/>
  <c r="BK30" i="22"/>
  <c r="BF30" i="22"/>
  <c r="L30" i="22"/>
  <c r="M30" i="22" s="1"/>
  <c r="K30" i="22"/>
  <c r="J30" i="22"/>
  <c r="I30" i="22"/>
  <c r="H30" i="22"/>
  <c r="G30" i="22"/>
  <c r="BL30" i="22" s="1"/>
  <c r="F30" i="22"/>
  <c r="E30" i="22"/>
  <c r="D30" i="22"/>
  <c r="L29" i="22"/>
  <c r="K29" i="22"/>
  <c r="J29" i="22"/>
  <c r="I29" i="22"/>
  <c r="H29" i="22"/>
  <c r="G29" i="22"/>
  <c r="AI29" i="22" s="1"/>
  <c r="F29" i="22"/>
  <c r="E29" i="22"/>
  <c r="D29" i="22"/>
  <c r="BF28" i="22"/>
  <c r="L28" i="22"/>
  <c r="K28" i="22"/>
  <c r="J28" i="22"/>
  <c r="I28" i="22"/>
  <c r="H28" i="22"/>
  <c r="G28" i="22"/>
  <c r="F28" i="22"/>
  <c r="E28" i="22"/>
  <c r="AC28" i="22" s="1"/>
  <c r="D28" i="22"/>
  <c r="L27" i="22"/>
  <c r="K27" i="22"/>
  <c r="J27" i="22"/>
  <c r="I27" i="22"/>
  <c r="H27" i="22"/>
  <c r="G27" i="22"/>
  <c r="AI27" i="22" s="1"/>
  <c r="F27" i="22"/>
  <c r="E27" i="22"/>
  <c r="D27" i="22"/>
  <c r="L26" i="22"/>
  <c r="K26" i="22"/>
  <c r="J26" i="22"/>
  <c r="I26" i="22"/>
  <c r="H26" i="22"/>
  <c r="G26" i="22"/>
  <c r="F26" i="22"/>
  <c r="E26" i="22"/>
  <c r="D26" i="22"/>
  <c r="L25" i="22"/>
  <c r="K25" i="22"/>
  <c r="J25" i="22"/>
  <c r="I25" i="22"/>
  <c r="H25" i="22"/>
  <c r="G25" i="22"/>
  <c r="BF25" i="22" s="1"/>
  <c r="F25" i="22"/>
  <c r="E25" i="22"/>
  <c r="D25" i="22"/>
  <c r="BL24" i="22"/>
  <c r="AI24" i="22"/>
  <c r="L24" i="22"/>
  <c r="K24" i="22"/>
  <c r="J24" i="22"/>
  <c r="I24" i="22"/>
  <c r="H24" i="22"/>
  <c r="G24" i="22"/>
  <c r="F24" i="22"/>
  <c r="E24" i="22"/>
  <c r="AC24" i="22" s="1"/>
  <c r="D24" i="22"/>
  <c r="BF23" i="22"/>
  <c r="M23" i="22"/>
  <c r="L23" i="22"/>
  <c r="K23" i="22"/>
  <c r="J23" i="22"/>
  <c r="I23" i="22"/>
  <c r="H23" i="22"/>
  <c r="BJ23" i="22" s="1"/>
  <c r="G23" i="22"/>
  <c r="F23" i="22"/>
  <c r="E23" i="22"/>
  <c r="AC23" i="22" s="1"/>
  <c r="D23" i="22"/>
  <c r="AI22" i="22"/>
  <c r="L22" i="22"/>
  <c r="K22" i="22"/>
  <c r="J22" i="22"/>
  <c r="I22" i="22"/>
  <c r="AQ22" i="22" s="1"/>
  <c r="H22" i="22"/>
  <c r="G22" i="22"/>
  <c r="BL22" i="22" s="1"/>
  <c r="F22" i="22"/>
  <c r="E22" i="22"/>
  <c r="D22" i="22"/>
  <c r="AO21" i="22"/>
  <c r="M21" i="22"/>
  <c r="L21" i="22"/>
  <c r="K21" i="22"/>
  <c r="J21" i="22"/>
  <c r="I21" i="22"/>
  <c r="H21" i="22"/>
  <c r="AN21" i="22" s="1"/>
  <c r="G21" i="22"/>
  <c r="BF21" i="22" s="1"/>
  <c r="F21" i="22"/>
  <c r="E21" i="22"/>
  <c r="AC21" i="22" s="1"/>
  <c r="D21" i="22"/>
  <c r="L20" i="22"/>
  <c r="K20" i="22"/>
  <c r="J20" i="22"/>
  <c r="I20" i="22"/>
  <c r="H20" i="22"/>
  <c r="G20" i="22"/>
  <c r="AM20" i="22" s="1"/>
  <c r="F20" i="22"/>
  <c r="E20" i="22"/>
  <c r="D20" i="22"/>
  <c r="BF19" i="22"/>
  <c r="M19" i="22"/>
  <c r="L19" i="22"/>
  <c r="K19" i="22"/>
  <c r="BO19" i="22" s="1"/>
  <c r="J19" i="22"/>
  <c r="I19" i="22"/>
  <c r="H19" i="22"/>
  <c r="G19" i="22"/>
  <c r="F19" i="22"/>
  <c r="E19" i="22"/>
  <c r="AC19" i="22" s="1"/>
  <c r="D19" i="22"/>
  <c r="L18" i="22"/>
  <c r="K18" i="22"/>
  <c r="J18" i="22"/>
  <c r="I18" i="22"/>
  <c r="H18" i="22"/>
  <c r="G18" i="22"/>
  <c r="AI18" i="22" s="1"/>
  <c r="F18" i="22"/>
  <c r="E18" i="22"/>
  <c r="D18" i="22"/>
  <c r="BF17" i="22"/>
  <c r="L17" i="22"/>
  <c r="K17" i="22"/>
  <c r="J17" i="22"/>
  <c r="I17" i="22"/>
  <c r="H17" i="22"/>
  <c r="G17" i="22"/>
  <c r="F17" i="22"/>
  <c r="E17" i="22"/>
  <c r="AC17" i="22" s="1"/>
  <c r="D17" i="22"/>
  <c r="AJ16" i="22"/>
  <c r="L16" i="22"/>
  <c r="N16" i="22" s="1"/>
  <c r="K16" i="22"/>
  <c r="J16" i="22"/>
  <c r="I16" i="22"/>
  <c r="H16" i="22"/>
  <c r="AO16" i="22" s="1"/>
  <c r="G16" i="22"/>
  <c r="BG16" i="22" s="1"/>
  <c r="F16" i="22"/>
  <c r="E16" i="22"/>
  <c r="AC16" i="22" s="1"/>
  <c r="D16" i="22"/>
  <c r="L15" i="22"/>
  <c r="K15" i="22"/>
  <c r="J15" i="22"/>
  <c r="I15" i="22"/>
  <c r="H15" i="22"/>
  <c r="G15" i="22"/>
  <c r="F15" i="22"/>
  <c r="AB16" i="22" s="1"/>
  <c r="E15" i="22"/>
  <c r="AC26" i="22" s="1"/>
  <c r="D15" i="22"/>
  <c r="B15" i="22"/>
  <c r="BC13" i="22"/>
  <c r="BB13" i="22"/>
  <c r="BA13" i="22"/>
  <c r="AZ13" i="22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AI13" i="22"/>
  <c r="AH13" i="22"/>
  <c r="B9" i="22"/>
  <c r="B8" i="22"/>
  <c r="B7" i="22"/>
  <c r="B6" i="22"/>
  <c r="M27" i="22" s="1"/>
  <c r="B5" i="22"/>
  <c r="AQ29" i="22" s="1"/>
  <c r="B4" i="22"/>
  <c r="B3" i="22"/>
  <c r="AM33" i="22" s="1"/>
  <c r="B2" i="22"/>
  <c r="L40" i="21"/>
  <c r="K40" i="21"/>
  <c r="J40" i="21"/>
  <c r="I40" i="21"/>
  <c r="H40" i="21"/>
  <c r="G40" i="21"/>
  <c r="BF40" i="21" s="1"/>
  <c r="F40" i="21"/>
  <c r="E40" i="21"/>
  <c r="D40" i="21"/>
  <c r="L39" i="21"/>
  <c r="K39" i="21"/>
  <c r="J39" i="21"/>
  <c r="I39" i="21"/>
  <c r="H39" i="21"/>
  <c r="G39" i="21"/>
  <c r="AI39" i="21" s="1"/>
  <c r="F39" i="21"/>
  <c r="E39" i="21"/>
  <c r="D39" i="21"/>
  <c r="L38" i="21"/>
  <c r="K38" i="21"/>
  <c r="J38" i="21"/>
  <c r="I38" i="21"/>
  <c r="H38" i="21"/>
  <c r="G38" i="21"/>
  <c r="BF38" i="21" s="1"/>
  <c r="F38" i="21"/>
  <c r="E38" i="21"/>
  <c r="D38" i="21"/>
  <c r="L37" i="21"/>
  <c r="K37" i="21"/>
  <c r="J37" i="21"/>
  <c r="I37" i="21"/>
  <c r="H37" i="21"/>
  <c r="G37" i="21"/>
  <c r="BL37" i="21" s="1"/>
  <c r="F37" i="21"/>
  <c r="E37" i="21"/>
  <c r="D37" i="21"/>
  <c r="L36" i="21"/>
  <c r="K36" i="21"/>
  <c r="J36" i="21"/>
  <c r="I36" i="21"/>
  <c r="H36" i="21"/>
  <c r="G36" i="21"/>
  <c r="BF36" i="21" s="1"/>
  <c r="F36" i="21"/>
  <c r="E36" i="21"/>
  <c r="D36" i="21"/>
  <c r="L35" i="21"/>
  <c r="K35" i="21"/>
  <c r="J35" i="21"/>
  <c r="I35" i="21"/>
  <c r="H35" i="21"/>
  <c r="G35" i="21"/>
  <c r="AI35" i="21" s="1"/>
  <c r="F35" i="21"/>
  <c r="E35" i="21"/>
  <c r="D35" i="21"/>
  <c r="L34" i="21"/>
  <c r="K34" i="21"/>
  <c r="J34" i="21"/>
  <c r="I34" i="21"/>
  <c r="H34" i="21"/>
  <c r="G34" i="21"/>
  <c r="AI34" i="21" s="1"/>
  <c r="F34" i="21"/>
  <c r="E34" i="21"/>
  <c r="D34" i="21"/>
  <c r="L33" i="21"/>
  <c r="K33" i="21"/>
  <c r="J33" i="21"/>
  <c r="I33" i="21"/>
  <c r="H33" i="21"/>
  <c r="G33" i="21"/>
  <c r="BF33" i="21" s="1"/>
  <c r="F33" i="21"/>
  <c r="E33" i="21"/>
  <c r="D33" i="21"/>
  <c r="L32" i="21"/>
  <c r="K32" i="21"/>
  <c r="J32" i="21"/>
  <c r="I32" i="21"/>
  <c r="H32" i="21"/>
  <c r="G32" i="21"/>
  <c r="F32" i="21"/>
  <c r="E32" i="21"/>
  <c r="D32" i="21"/>
  <c r="BF31" i="21"/>
  <c r="L31" i="21"/>
  <c r="K31" i="21"/>
  <c r="J31" i="21"/>
  <c r="I31" i="21"/>
  <c r="H31" i="21"/>
  <c r="G31" i="21"/>
  <c r="F31" i="21"/>
  <c r="E31" i="21"/>
  <c r="D31" i="21"/>
  <c r="L30" i="21"/>
  <c r="K30" i="21"/>
  <c r="J30" i="21"/>
  <c r="I30" i="21"/>
  <c r="H30" i="21"/>
  <c r="G30" i="21"/>
  <c r="AI30" i="21" s="1"/>
  <c r="F30" i="21"/>
  <c r="E30" i="21"/>
  <c r="D30" i="21"/>
  <c r="BF29" i="21"/>
  <c r="L29" i="21"/>
  <c r="K29" i="21"/>
  <c r="J29" i="21"/>
  <c r="I29" i="21"/>
  <c r="H29" i="21"/>
  <c r="G29" i="21"/>
  <c r="F29" i="21"/>
  <c r="E29" i="21"/>
  <c r="D29" i="21"/>
  <c r="L28" i="21"/>
  <c r="K28" i="21"/>
  <c r="J28" i="21"/>
  <c r="I28" i="21"/>
  <c r="H28" i="21"/>
  <c r="G28" i="21"/>
  <c r="AI28" i="21" s="1"/>
  <c r="F28" i="21"/>
  <c r="E28" i="21"/>
  <c r="D28" i="21"/>
  <c r="L27" i="21"/>
  <c r="K27" i="21"/>
  <c r="J27" i="21"/>
  <c r="I27" i="21"/>
  <c r="H27" i="21"/>
  <c r="AN27" i="21" s="1"/>
  <c r="G27" i="21"/>
  <c r="BF27" i="21" s="1"/>
  <c r="F27" i="21"/>
  <c r="E27" i="21"/>
  <c r="D27" i="21"/>
  <c r="L26" i="21"/>
  <c r="K26" i="21"/>
  <c r="J26" i="21"/>
  <c r="I26" i="21"/>
  <c r="H26" i="21"/>
  <c r="AN26" i="21" s="1"/>
  <c r="G26" i="21"/>
  <c r="BG26" i="21" s="1"/>
  <c r="F26" i="21"/>
  <c r="E26" i="21"/>
  <c r="D26" i="21"/>
  <c r="L25" i="21"/>
  <c r="N25" i="21" s="1"/>
  <c r="K25" i="21"/>
  <c r="AT25" i="21" s="1"/>
  <c r="J25" i="21"/>
  <c r="I25" i="21"/>
  <c r="AQ25" i="21" s="1"/>
  <c r="H25" i="21"/>
  <c r="G25" i="21"/>
  <c r="BG25" i="21" s="1"/>
  <c r="F25" i="21"/>
  <c r="E25" i="21"/>
  <c r="D25" i="21"/>
  <c r="L24" i="21"/>
  <c r="K24" i="21"/>
  <c r="J24" i="21"/>
  <c r="I24" i="21"/>
  <c r="H24" i="21"/>
  <c r="G24" i="21"/>
  <c r="AJ24" i="21" s="1"/>
  <c r="F24" i="21"/>
  <c r="E24" i="21"/>
  <c r="D24" i="21"/>
  <c r="AL23" i="21"/>
  <c r="L23" i="21"/>
  <c r="K23" i="21"/>
  <c r="J23" i="21"/>
  <c r="I23" i="21"/>
  <c r="H23" i="21"/>
  <c r="G23" i="21"/>
  <c r="BF23" i="21" s="1"/>
  <c r="F23" i="21"/>
  <c r="E23" i="21"/>
  <c r="D23" i="21"/>
  <c r="L22" i="21"/>
  <c r="K22" i="21"/>
  <c r="J22" i="21"/>
  <c r="I22" i="21"/>
  <c r="H22" i="21"/>
  <c r="G22" i="21"/>
  <c r="BL22" i="21" s="1"/>
  <c r="F22" i="21"/>
  <c r="E22" i="21"/>
  <c r="D22" i="21"/>
  <c r="BK21" i="21"/>
  <c r="N21" i="21"/>
  <c r="L21" i="21"/>
  <c r="K21" i="21"/>
  <c r="AT21" i="21" s="1"/>
  <c r="J21" i="21"/>
  <c r="I21" i="21"/>
  <c r="AQ21" i="21" s="1"/>
  <c r="H21" i="21"/>
  <c r="AL21" i="21" s="1"/>
  <c r="G21" i="21"/>
  <c r="BF21" i="21" s="1"/>
  <c r="F21" i="21"/>
  <c r="E21" i="21"/>
  <c r="D21" i="21"/>
  <c r="L20" i="21"/>
  <c r="K20" i="21"/>
  <c r="J20" i="21"/>
  <c r="I20" i="21"/>
  <c r="H20" i="21"/>
  <c r="G20" i="21"/>
  <c r="AJ20" i="21" s="1"/>
  <c r="F20" i="21"/>
  <c r="E20" i="21"/>
  <c r="D20" i="21"/>
  <c r="BG19" i="21"/>
  <c r="L19" i="21"/>
  <c r="K19" i="21"/>
  <c r="J19" i="21"/>
  <c r="I19" i="21"/>
  <c r="H19" i="21"/>
  <c r="AL19" i="21" s="1"/>
  <c r="G19" i="21"/>
  <c r="BF19" i="21" s="1"/>
  <c r="F19" i="21"/>
  <c r="E19" i="21"/>
  <c r="D19" i="21"/>
  <c r="L18" i="21"/>
  <c r="K18" i="21"/>
  <c r="J18" i="21"/>
  <c r="I18" i="21"/>
  <c r="H18" i="21"/>
  <c r="G18" i="21"/>
  <c r="F18" i="21"/>
  <c r="E18" i="21"/>
  <c r="D18" i="21"/>
  <c r="N17" i="21"/>
  <c r="L17" i="21"/>
  <c r="K17" i="21"/>
  <c r="AT17" i="21" s="1"/>
  <c r="J17" i="21"/>
  <c r="I17" i="21"/>
  <c r="AQ17" i="21" s="1"/>
  <c r="H17" i="21"/>
  <c r="BK17" i="21" s="1"/>
  <c r="G17" i="21"/>
  <c r="BF17" i="21" s="1"/>
  <c r="F17" i="21"/>
  <c r="E17" i="21"/>
  <c r="D17" i="21"/>
  <c r="L16" i="21"/>
  <c r="K16" i="21"/>
  <c r="J16" i="21"/>
  <c r="I16" i="21"/>
  <c r="BM16" i="21" s="1"/>
  <c r="H16" i="21"/>
  <c r="G16" i="21"/>
  <c r="BI16" i="21" s="1"/>
  <c r="F16" i="21"/>
  <c r="E16" i="21"/>
  <c r="D16" i="21"/>
  <c r="L15" i="21"/>
  <c r="K15" i="21"/>
  <c r="J15" i="21"/>
  <c r="I15" i="21"/>
  <c r="H15" i="21"/>
  <c r="G15" i="21"/>
  <c r="F15" i="21"/>
  <c r="AB24" i="21" s="1"/>
  <c r="E15" i="21"/>
  <c r="D15" i="21"/>
  <c r="BC13" i="21"/>
  <c r="BB13" i="21"/>
  <c r="BA13" i="21"/>
  <c r="AZ13" i="21"/>
  <c r="AY13" i="21"/>
  <c r="AX13" i="21"/>
  <c r="AW13" i="21"/>
  <c r="AV13" i="21"/>
  <c r="AU13" i="21"/>
  <c r="AT13" i="21"/>
  <c r="AS13" i="21"/>
  <c r="AR13" i="21"/>
  <c r="AQ13" i="21"/>
  <c r="AP13" i="21"/>
  <c r="AO13" i="21"/>
  <c r="AN13" i="21"/>
  <c r="AM13" i="21"/>
  <c r="AL13" i="21"/>
  <c r="AK13" i="21"/>
  <c r="AJ13" i="21"/>
  <c r="AI13" i="21"/>
  <c r="AH13" i="21"/>
  <c r="B9" i="21"/>
  <c r="B8" i="21"/>
  <c r="B7" i="21"/>
  <c r="B6" i="21"/>
  <c r="N23" i="21" s="1"/>
  <c r="B5" i="21"/>
  <c r="BJ29" i="21" s="1"/>
  <c r="B4" i="21"/>
  <c r="B3" i="21"/>
  <c r="B2" i="21"/>
  <c r="L40" i="20"/>
  <c r="K40" i="20"/>
  <c r="J40" i="20"/>
  <c r="I40" i="20"/>
  <c r="H40" i="20"/>
  <c r="G40" i="20"/>
  <c r="BG40" i="20" s="1"/>
  <c r="F40" i="20"/>
  <c r="E40" i="20"/>
  <c r="D40" i="20"/>
  <c r="L39" i="20"/>
  <c r="K39" i="20"/>
  <c r="J39" i="20"/>
  <c r="I39" i="20"/>
  <c r="H39" i="20"/>
  <c r="G39" i="20"/>
  <c r="AI39" i="20" s="1"/>
  <c r="F39" i="20"/>
  <c r="E39" i="20"/>
  <c r="D39" i="20"/>
  <c r="L38" i="20"/>
  <c r="K38" i="20"/>
  <c r="J38" i="20"/>
  <c r="I38" i="20"/>
  <c r="H38" i="20"/>
  <c r="G38" i="20"/>
  <c r="F38" i="20"/>
  <c r="E38" i="20"/>
  <c r="D38" i="20"/>
  <c r="L37" i="20"/>
  <c r="K37" i="20"/>
  <c r="J37" i="20"/>
  <c r="I37" i="20"/>
  <c r="H37" i="20"/>
  <c r="G37" i="20"/>
  <c r="F37" i="20"/>
  <c r="E37" i="20"/>
  <c r="D37" i="20"/>
  <c r="L36" i="20"/>
  <c r="K36" i="20"/>
  <c r="J36" i="20"/>
  <c r="I36" i="20"/>
  <c r="H36" i="20"/>
  <c r="G36" i="20"/>
  <c r="BG36" i="20" s="1"/>
  <c r="F36" i="20"/>
  <c r="E36" i="20"/>
  <c r="D36" i="20"/>
  <c r="L35" i="20"/>
  <c r="K35" i="20"/>
  <c r="J35" i="20"/>
  <c r="I35" i="20"/>
  <c r="H35" i="20"/>
  <c r="G35" i="20"/>
  <c r="AJ35" i="20" s="1"/>
  <c r="F35" i="20"/>
  <c r="E35" i="20"/>
  <c r="D35" i="20"/>
  <c r="L34" i="20"/>
  <c r="K34" i="20"/>
  <c r="J34" i="20"/>
  <c r="I34" i="20"/>
  <c r="H34" i="20"/>
  <c r="G34" i="20"/>
  <c r="BG34" i="20" s="1"/>
  <c r="F34" i="20"/>
  <c r="E34" i="20"/>
  <c r="D34" i="20"/>
  <c r="L33" i="20"/>
  <c r="K33" i="20"/>
  <c r="J33" i="20"/>
  <c r="I33" i="20"/>
  <c r="H33" i="20"/>
  <c r="G33" i="20"/>
  <c r="BG33" i="20" s="1"/>
  <c r="F33" i="20"/>
  <c r="E33" i="20"/>
  <c r="D33" i="20"/>
  <c r="L32" i="20"/>
  <c r="K32" i="20"/>
  <c r="J32" i="20"/>
  <c r="I32" i="20"/>
  <c r="H32" i="20"/>
  <c r="AL32" i="20" s="1"/>
  <c r="G32" i="20"/>
  <c r="BG32" i="20" s="1"/>
  <c r="F32" i="20"/>
  <c r="E32" i="20"/>
  <c r="D32" i="20"/>
  <c r="L31" i="20"/>
  <c r="K31" i="20"/>
  <c r="J31" i="20"/>
  <c r="I31" i="20"/>
  <c r="H31" i="20"/>
  <c r="G31" i="20"/>
  <c r="F31" i="20"/>
  <c r="E31" i="20"/>
  <c r="D31" i="20"/>
  <c r="L30" i="20"/>
  <c r="K30" i="20"/>
  <c r="J30" i="20"/>
  <c r="I30" i="20"/>
  <c r="H30" i="20"/>
  <c r="G30" i="20"/>
  <c r="BL30" i="20" s="1"/>
  <c r="F30" i="20"/>
  <c r="E30" i="20"/>
  <c r="D30" i="20"/>
  <c r="L29" i="20"/>
  <c r="K29" i="20"/>
  <c r="J29" i="20"/>
  <c r="I29" i="20"/>
  <c r="H29" i="20"/>
  <c r="G29" i="20"/>
  <c r="AI29" i="20" s="1"/>
  <c r="F29" i="20"/>
  <c r="E29" i="20"/>
  <c r="D29" i="20"/>
  <c r="L28" i="20"/>
  <c r="K28" i="20"/>
  <c r="J28" i="20"/>
  <c r="I28" i="20"/>
  <c r="H28" i="20"/>
  <c r="G28" i="20"/>
  <c r="BG28" i="20" s="1"/>
  <c r="F28" i="20"/>
  <c r="E28" i="20"/>
  <c r="D28" i="20"/>
  <c r="L27" i="20"/>
  <c r="K27" i="20"/>
  <c r="J27" i="20"/>
  <c r="I27" i="20"/>
  <c r="H27" i="20"/>
  <c r="G27" i="20"/>
  <c r="F27" i="20"/>
  <c r="E27" i="20"/>
  <c r="D27" i="20"/>
  <c r="L26" i="20"/>
  <c r="K26" i="20"/>
  <c r="J26" i="20"/>
  <c r="I26" i="20"/>
  <c r="H26" i="20"/>
  <c r="G26" i="20"/>
  <c r="BF26" i="20" s="1"/>
  <c r="F26" i="20"/>
  <c r="E26" i="20"/>
  <c r="D26" i="20"/>
  <c r="L25" i="20"/>
  <c r="K25" i="20"/>
  <c r="J25" i="20"/>
  <c r="I25" i="20"/>
  <c r="H25" i="20"/>
  <c r="G25" i="20"/>
  <c r="AI25" i="20" s="1"/>
  <c r="F25" i="20"/>
  <c r="E25" i="20"/>
  <c r="D25" i="20"/>
  <c r="L24" i="20"/>
  <c r="K24" i="20"/>
  <c r="J24" i="20"/>
  <c r="I24" i="20"/>
  <c r="H24" i="20"/>
  <c r="G24" i="20"/>
  <c r="BG24" i="20" s="1"/>
  <c r="F24" i="20"/>
  <c r="E24" i="20"/>
  <c r="D24" i="20"/>
  <c r="L23" i="20"/>
  <c r="K23" i="20"/>
  <c r="J23" i="20"/>
  <c r="I23" i="20"/>
  <c r="H23" i="20"/>
  <c r="G23" i="20"/>
  <c r="F23" i="20"/>
  <c r="E23" i="20"/>
  <c r="D23" i="20"/>
  <c r="L22" i="20"/>
  <c r="K22" i="20"/>
  <c r="J22" i="20"/>
  <c r="I22" i="20"/>
  <c r="H22" i="20"/>
  <c r="G22" i="20"/>
  <c r="AJ22" i="20" s="1"/>
  <c r="F22" i="20"/>
  <c r="E22" i="20"/>
  <c r="D22" i="20"/>
  <c r="L21" i="20"/>
  <c r="K21" i="20"/>
  <c r="J21" i="20"/>
  <c r="I21" i="20"/>
  <c r="H21" i="20"/>
  <c r="G21" i="20"/>
  <c r="F21" i="20"/>
  <c r="E21" i="20"/>
  <c r="D21" i="20"/>
  <c r="L20" i="20"/>
  <c r="K20" i="20"/>
  <c r="J20" i="20"/>
  <c r="I20" i="20"/>
  <c r="H20" i="20"/>
  <c r="G20" i="20"/>
  <c r="BL20" i="20" s="1"/>
  <c r="F20" i="20"/>
  <c r="E20" i="20"/>
  <c r="D20" i="20"/>
  <c r="L19" i="20"/>
  <c r="K19" i="20"/>
  <c r="J19" i="20"/>
  <c r="I19" i="20"/>
  <c r="H19" i="20"/>
  <c r="G19" i="20"/>
  <c r="BG19" i="20" s="1"/>
  <c r="F19" i="20"/>
  <c r="E19" i="20"/>
  <c r="D19" i="20"/>
  <c r="L18" i="20"/>
  <c r="K18" i="20"/>
  <c r="J18" i="20"/>
  <c r="I18" i="20"/>
  <c r="H18" i="20"/>
  <c r="G18" i="20"/>
  <c r="F18" i="20"/>
  <c r="E18" i="20"/>
  <c r="D18" i="20"/>
  <c r="L17" i="20"/>
  <c r="K17" i="20"/>
  <c r="J17" i="20"/>
  <c r="I17" i="20"/>
  <c r="H17" i="20"/>
  <c r="G17" i="20"/>
  <c r="AJ17" i="20" s="1"/>
  <c r="F17" i="20"/>
  <c r="E17" i="20"/>
  <c r="D17" i="20"/>
  <c r="L16" i="20"/>
  <c r="K16" i="20"/>
  <c r="J16" i="20"/>
  <c r="I16" i="20"/>
  <c r="H16" i="20"/>
  <c r="G16" i="20"/>
  <c r="BF16" i="20" s="1"/>
  <c r="F16" i="20"/>
  <c r="E16" i="20"/>
  <c r="D16" i="20"/>
  <c r="L15" i="20"/>
  <c r="K15" i="20"/>
  <c r="J15" i="20"/>
  <c r="I15" i="20"/>
  <c r="H15" i="20"/>
  <c r="G15" i="20"/>
  <c r="F15" i="20"/>
  <c r="E15" i="20"/>
  <c r="AC26" i="20" s="1"/>
  <c r="D15" i="20"/>
  <c r="BC13" i="20"/>
  <c r="BB13" i="20"/>
  <c r="BA13" i="20"/>
  <c r="AZ13" i="20"/>
  <c r="AY13" i="20"/>
  <c r="AX13" i="20"/>
  <c r="AW13" i="20"/>
  <c r="AV13" i="20"/>
  <c r="AU13" i="20"/>
  <c r="AT13" i="20"/>
  <c r="AS13" i="20"/>
  <c r="AR13" i="20"/>
  <c r="AQ13" i="20"/>
  <c r="AP13" i="20"/>
  <c r="AO13" i="20"/>
  <c r="AN13" i="20"/>
  <c r="AM13" i="20"/>
  <c r="AL13" i="20"/>
  <c r="AK13" i="20"/>
  <c r="AJ13" i="20"/>
  <c r="AI13" i="20"/>
  <c r="AH13" i="20"/>
  <c r="B9" i="20"/>
  <c r="B8" i="20"/>
  <c r="B7" i="20"/>
  <c r="B6" i="20"/>
  <c r="M26" i="20" s="1"/>
  <c r="B5" i="20"/>
  <c r="AQ21" i="20" s="1"/>
  <c r="B4" i="20"/>
  <c r="B3" i="20"/>
  <c r="AK17" i="20" s="1"/>
  <c r="B2" i="20"/>
  <c r="L40" i="19"/>
  <c r="K40" i="19"/>
  <c r="J40" i="19"/>
  <c r="I40" i="19"/>
  <c r="H40" i="19"/>
  <c r="G40" i="19"/>
  <c r="BG40" i="19" s="1"/>
  <c r="F40" i="19"/>
  <c r="E40" i="19"/>
  <c r="D40" i="19"/>
  <c r="L39" i="19"/>
  <c r="K39" i="19"/>
  <c r="J39" i="19"/>
  <c r="I39" i="19"/>
  <c r="H39" i="19"/>
  <c r="G39" i="19"/>
  <c r="F39" i="19"/>
  <c r="E39" i="19"/>
  <c r="D39" i="19"/>
  <c r="L38" i="19"/>
  <c r="K38" i="19"/>
  <c r="J38" i="19"/>
  <c r="I38" i="19"/>
  <c r="H38" i="19"/>
  <c r="G38" i="19"/>
  <c r="BG38" i="19" s="1"/>
  <c r="F38" i="19"/>
  <c r="E38" i="19"/>
  <c r="D38" i="19"/>
  <c r="L37" i="19"/>
  <c r="K37" i="19"/>
  <c r="J37" i="19"/>
  <c r="I37" i="19"/>
  <c r="H37" i="19"/>
  <c r="G37" i="19"/>
  <c r="F37" i="19"/>
  <c r="E37" i="19"/>
  <c r="D37" i="19"/>
  <c r="L36" i="19"/>
  <c r="K36" i="19"/>
  <c r="J36" i="19"/>
  <c r="I36" i="19"/>
  <c r="H36" i="19"/>
  <c r="G36" i="19"/>
  <c r="BG36" i="19" s="1"/>
  <c r="F36" i="19"/>
  <c r="E36" i="19"/>
  <c r="D36" i="19"/>
  <c r="L35" i="19"/>
  <c r="K35" i="19"/>
  <c r="J35" i="19"/>
  <c r="I35" i="19"/>
  <c r="H35" i="19"/>
  <c r="G35" i="19"/>
  <c r="F35" i="19"/>
  <c r="E35" i="19"/>
  <c r="D35" i="19"/>
  <c r="L34" i="19"/>
  <c r="K34" i="19"/>
  <c r="J34" i="19"/>
  <c r="I34" i="19"/>
  <c r="H34" i="19"/>
  <c r="G34" i="19"/>
  <c r="AI34" i="19" s="1"/>
  <c r="F34" i="19"/>
  <c r="E34" i="19"/>
  <c r="D34" i="19"/>
  <c r="L33" i="19"/>
  <c r="K33" i="19"/>
  <c r="J33" i="19"/>
  <c r="I33" i="19"/>
  <c r="H33" i="19"/>
  <c r="G33" i="19"/>
  <c r="F33" i="19"/>
  <c r="E33" i="19"/>
  <c r="D33" i="19"/>
  <c r="L32" i="19"/>
  <c r="K32" i="19"/>
  <c r="J32" i="19"/>
  <c r="I32" i="19"/>
  <c r="H32" i="19"/>
  <c r="G32" i="19"/>
  <c r="BF32" i="19" s="1"/>
  <c r="F32" i="19"/>
  <c r="E32" i="19"/>
  <c r="D32" i="19"/>
  <c r="L31" i="19"/>
  <c r="K31" i="19"/>
  <c r="J31" i="19"/>
  <c r="I31" i="19"/>
  <c r="H31" i="19"/>
  <c r="G31" i="19"/>
  <c r="F31" i="19"/>
  <c r="E31" i="19"/>
  <c r="D31" i="19"/>
  <c r="L30" i="19"/>
  <c r="K30" i="19"/>
  <c r="J30" i="19"/>
  <c r="I30" i="19"/>
  <c r="H30" i="19"/>
  <c r="G30" i="19"/>
  <c r="BG30" i="19" s="1"/>
  <c r="F30" i="19"/>
  <c r="E30" i="19"/>
  <c r="D30" i="19"/>
  <c r="L29" i="19"/>
  <c r="K29" i="19"/>
  <c r="J29" i="19"/>
  <c r="I29" i="19"/>
  <c r="H29" i="19"/>
  <c r="G29" i="19"/>
  <c r="F29" i="19"/>
  <c r="E29" i="19"/>
  <c r="D29" i="19"/>
  <c r="L28" i="19"/>
  <c r="K28" i="19"/>
  <c r="J28" i="19"/>
  <c r="I28" i="19"/>
  <c r="H28" i="19"/>
  <c r="G28" i="19"/>
  <c r="BG28" i="19" s="1"/>
  <c r="F28" i="19"/>
  <c r="E28" i="19"/>
  <c r="D28" i="19"/>
  <c r="L27" i="19"/>
  <c r="K27" i="19"/>
  <c r="J27" i="19"/>
  <c r="I27" i="19"/>
  <c r="H27" i="19"/>
  <c r="G27" i="19"/>
  <c r="F27" i="19"/>
  <c r="E27" i="19"/>
  <c r="D27" i="19"/>
  <c r="L26" i="19"/>
  <c r="K26" i="19"/>
  <c r="J26" i="19"/>
  <c r="I26" i="19"/>
  <c r="H26" i="19"/>
  <c r="G26" i="19"/>
  <c r="BF26" i="19" s="1"/>
  <c r="F26" i="19"/>
  <c r="E26" i="19"/>
  <c r="D26" i="19"/>
  <c r="L25" i="19"/>
  <c r="K25" i="19"/>
  <c r="J25" i="19"/>
  <c r="I25" i="19"/>
  <c r="H25" i="19"/>
  <c r="G25" i="19"/>
  <c r="F25" i="19"/>
  <c r="E25" i="19"/>
  <c r="D25" i="19"/>
  <c r="L24" i="19"/>
  <c r="K24" i="19"/>
  <c r="J24" i="19"/>
  <c r="I24" i="19"/>
  <c r="H24" i="19"/>
  <c r="G24" i="19"/>
  <c r="BG24" i="19" s="1"/>
  <c r="F24" i="19"/>
  <c r="E24" i="19"/>
  <c r="D24" i="19"/>
  <c r="L23" i="19"/>
  <c r="K23" i="19"/>
  <c r="J23" i="19"/>
  <c r="I23" i="19"/>
  <c r="H23" i="19"/>
  <c r="G23" i="19"/>
  <c r="F23" i="19"/>
  <c r="E23" i="19"/>
  <c r="D23" i="19"/>
  <c r="L22" i="19"/>
  <c r="K22" i="19"/>
  <c r="J22" i="19"/>
  <c r="I22" i="19"/>
  <c r="H22" i="19"/>
  <c r="G22" i="19"/>
  <c r="BG22" i="19" s="1"/>
  <c r="F22" i="19"/>
  <c r="E22" i="19"/>
  <c r="D22" i="19"/>
  <c r="L21" i="19"/>
  <c r="K21" i="19"/>
  <c r="J21" i="19"/>
  <c r="I21" i="19"/>
  <c r="H21" i="19"/>
  <c r="G21" i="19"/>
  <c r="BF21" i="19" s="1"/>
  <c r="F21" i="19"/>
  <c r="E21" i="19"/>
  <c r="D21" i="19"/>
  <c r="L20" i="19"/>
  <c r="K20" i="19"/>
  <c r="J20" i="19"/>
  <c r="I20" i="19"/>
  <c r="AQ20" i="19" s="1"/>
  <c r="H20" i="19"/>
  <c r="G20" i="19"/>
  <c r="BG20" i="19" s="1"/>
  <c r="F20" i="19"/>
  <c r="E20" i="19"/>
  <c r="D20" i="19"/>
  <c r="L19" i="19"/>
  <c r="K19" i="19"/>
  <c r="J19" i="19"/>
  <c r="I19" i="19"/>
  <c r="H19" i="19"/>
  <c r="G19" i="19"/>
  <c r="BF19" i="19" s="1"/>
  <c r="F19" i="19"/>
  <c r="E19" i="19"/>
  <c r="D19" i="19"/>
  <c r="L18" i="19"/>
  <c r="K18" i="19"/>
  <c r="J18" i="19"/>
  <c r="I18" i="19"/>
  <c r="H18" i="19"/>
  <c r="G18" i="19"/>
  <c r="AJ18" i="19" s="1"/>
  <c r="F18" i="19"/>
  <c r="E18" i="19"/>
  <c r="D18" i="19"/>
  <c r="L17" i="19"/>
  <c r="K17" i="19"/>
  <c r="J17" i="19"/>
  <c r="I17" i="19"/>
  <c r="H17" i="19"/>
  <c r="G17" i="19"/>
  <c r="BG17" i="19" s="1"/>
  <c r="F17" i="19"/>
  <c r="E17" i="19"/>
  <c r="D17" i="19"/>
  <c r="L16" i="19"/>
  <c r="K16" i="19"/>
  <c r="J16" i="19"/>
  <c r="I16" i="19"/>
  <c r="H16" i="19"/>
  <c r="G16" i="19"/>
  <c r="F16" i="19"/>
  <c r="E16" i="19"/>
  <c r="D16" i="19"/>
  <c r="L15" i="19"/>
  <c r="K15" i="19"/>
  <c r="J15" i="19"/>
  <c r="I15" i="19"/>
  <c r="H15" i="19"/>
  <c r="G15" i="19"/>
  <c r="F15" i="19"/>
  <c r="AB18" i="19" s="1"/>
  <c r="E15" i="19"/>
  <c r="D15" i="19"/>
  <c r="BC13" i="19"/>
  <c r="BB13" i="19"/>
  <c r="BA13" i="19"/>
  <c r="AZ13" i="19"/>
  <c r="AY13" i="19"/>
  <c r="AX13" i="19"/>
  <c r="AW13" i="19"/>
  <c r="AV13" i="19"/>
  <c r="AU13" i="19"/>
  <c r="AT13" i="19"/>
  <c r="AS13" i="19"/>
  <c r="AR13" i="19"/>
  <c r="AQ13" i="19"/>
  <c r="AP13" i="19"/>
  <c r="AO13" i="19"/>
  <c r="AN13" i="19"/>
  <c r="AM13" i="19"/>
  <c r="AL13" i="19"/>
  <c r="AK13" i="19"/>
  <c r="AJ13" i="19"/>
  <c r="AI13" i="19"/>
  <c r="AH13" i="19"/>
  <c r="B9" i="19"/>
  <c r="B8" i="19"/>
  <c r="B7" i="19"/>
  <c r="B6" i="19"/>
  <c r="B5" i="19"/>
  <c r="BM33" i="19" s="1"/>
  <c r="B4" i="19"/>
  <c r="B3" i="19"/>
  <c r="AM23" i="19" s="1"/>
  <c r="B2" i="19"/>
  <c r="BC13" i="15"/>
  <c r="BC13" i="4"/>
  <c r="BC13" i="6"/>
  <c r="BC13" i="7"/>
  <c r="BC13" i="8"/>
  <c r="BC13" i="9"/>
  <c r="BC13" i="10"/>
  <c r="BC13" i="11"/>
  <c r="BC13" i="12"/>
  <c r="BC13" i="13"/>
  <c r="BC13" i="14"/>
  <c r="BC13" i="16"/>
  <c r="BC13" i="17"/>
  <c r="BC13" i="18"/>
  <c r="L40" i="18"/>
  <c r="K40" i="18"/>
  <c r="J40" i="18"/>
  <c r="I40" i="18"/>
  <c r="H40" i="18"/>
  <c r="G40" i="18"/>
  <c r="BF40" i="18" s="1"/>
  <c r="F40" i="18"/>
  <c r="E40" i="18"/>
  <c r="D40" i="18"/>
  <c r="L39" i="18"/>
  <c r="K39" i="18"/>
  <c r="J39" i="18"/>
  <c r="I39" i="18"/>
  <c r="H39" i="18"/>
  <c r="G39" i="18"/>
  <c r="BF39" i="18" s="1"/>
  <c r="F39" i="18"/>
  <c r="E39" i="18"/>
  <c r="D39" i="18"/>
  <c r="L38" i="18"/>
  <c r="K38" i="18"/>
  <c r="J38" i="18"/>
  <c r="I38" i="18"/>
  <c r="H38" i="18"/>
  <c r="G38" i="18"/>
  <c r="BG38" i="18" s="1"/>
  <c r="F38" i="18"/>
  <c r="E38" i="18"/>
  <c r="D38" i="18"/>
  <c r="L37" i="18"/>
  <c r="K37" i="18"/>
  <c r="J37" i="18"/>
  <c r="I37" i="18"/>
  <c r="H37" i="18"/>
  <c r="G37" i="18"/>
  <c r="AI37" i="18" s="1"/>
  <c r="F37" i="18"/>
  <c r="E37" i="18"/>
  <c r="D37" i="18"/>
  <c r="L36" i="18"/>
  <c r="K36" i="18"/>
  <c r="J36" i="18"/>
  <c r="I36" i="18"/>
  <c r="H36" i="18"/>
  <c r="G36" i="18"/>
  <c r="BF36" i="18" s="1"/>
  <c r="F36" i="18"/>
  <c r="E36" i="18"/>
  <c r="D36" i="18"/>
  <c r="L35" i="18"/>
  <c r="K35" i="18"/>
  <c r="J35" i="18"/>
  <c r="I35" i="18"/>
  <c r="H35" i="18"/>
  <c r="G35" i="18"/>
  <c r="BF35" i="18" s="1"/>
  <c r="F35" i="18"/>
  <c r="E35" i="18"/>
  <c r="D35" i="18"/>
  <c r="L34" i="18"/>
  <c r="K34" i="18"/>
  <c r="J34" i="18"/>
  <c r="I34" i="18"/>
  <c r="H34" i="18"/>
  <c r="G34" i="18"/>
  <c r="F34" i="18"/>
  <c r="E34" i="18"/>
  <c r="D34" i="18"/>
  <c r="L33" i="18"/>
  <c r="K33" i="18"/>
  <c r="J33" i="18"/>
  <c r="I33" i="18"/>
  <c r="H33" i="18"/>
  <c r="G33" i="18"/>
  <c r="F33" i="18"/>
  <c r="E33" i="18"/>
  <c r="D33" i="18"/>
  <c r="L32" i="18"/>
  <c r="K32" i="18"/>
  <c r="J32" i="18"/>
  <c r="I32" i="18"/>
  <c r="H32" i="18"/>
  <c r="G32" i="18"/>
  <c r="BF32" i="18" s="1"/>
  <c r="F32" i="18"/>
  <c r="E32" i="18"/>
  <c r="D32" i="18"/>
  <c r="L31" i="18"/>
  <c r="K31" i="18"/>
  <c r="J31" i="18"/>
  <c r="I31" i="18"/>
  <c r="H31" i="18"/>
  <c r="G31" i="18"/>
  <c r="BF31" i="18" s="1"/>
  <c r="F31" i="18"/>
  <c r="E31" i="18"/>
  <c r="D31" i="18"/>
  <c r="L30" i="18"/>
  <c r="K30" i="18"/>
  <c r="J30" i="18"/>
  <c r="I30" i="18"/>
  <c r="H30" i="18"/>
  <c r="G30" i="18"/>
  <c r="AI30" i="18" s="1"/>
  <c r="F30" i="18"/>
  <c r="E30" i="18"/>
  <c r="D30" i="18"/>
  <c r="L29" i="18"/>
  <c r="K29" i="18"/>
  <c r="J29" i="18"/>
  <c r="I29" i="18"/>
  <c r="H29" i="18"/>
  <c r="G29" i="18"/>
  <c r="BG29" i="18" s="1"/>
  <c r="F29" i="18"/>
  <c r="E29" i="18"/>
  <c r="D29" i="18"/>
  <c r="L28" i="18"/>
  <c r="K28" i="18"/>
  <c r="J28" i="18"/>
  <c r="I28" i="18"/>
  <c r="H28" i="18"/>
  <c r="G28" i="18"/>
  <c r="BF28" i="18" s="1"/>
  <c r="F28" i="18"/>
  <c r="E28" i="18"/>
  <c r="D28" i="18"/>
  <c r="L27" i="18"/>
  <c r="K27" i="18"/>
  <c r="J27" i="18"/>
  <c r="I27" i="18"/>
  <c r="H27" i="18"/>
  <c r="G27" i="18"/>
  <c r="BG27" i="18" s="1"/>
  <c r="F27" i="18"/>
  <c r="E27" i="18"/>
  <c r="D27" i="18"/>
  <c r="L26" i="18"/>
  <c r="K26" i="18"/>
  <c r="J26" i="18"/>
  <c r="I26" i="18"/>
  <c r="H26" i="18"/>
  <c r="G26" i="18"/>
  <c r="BF26" i="18" s="1"/>
  <c r="F26" i="18"/>
  <c r="E26" i="18"/>
  <c r="D26" i="18"/>
  <c r="L25" i="18"/>
  <c r="K25" i="18"/>
  <c r="J25" i="18"/>
  <c r="I25" i="18"/>
  <c r="H25" i="18"/>
  <c r="G25" i="18"/>
  <c r="BG25" i="18" s="1"/>
  <c r="F25" i="18"/>
  <c r="E25" i="18"/>
  <c r="D25" i="18"/>
  <c r="L24" i="18"/>
  <c r="K24" i="18"/>
  <c r="J24" i="18"/>
  <c r="I24" i="18"/>
  <c r="H24" i="18"/>
  <c r="G24" i="18"/>
  <c r="AI24" i="18" s="1"/>
  <c r="F24" i="18"/>
  <c r="E24" i="18"/>
  <c r="D24" i="18"/>
  <c r="L23" i="18"/>
  <c r="K23" i="18"/>
  <c r="J23" i="18"/>
  <c r="I23" i="18"/>
  <c r="H23" i="18"/>
  <c r="G23" i="18"/>
  <c r="AJ23" i="18" s="1"/>
  <c r="F23" i="18"/>
  <c r="E23" i="18"/>
  <c r="D23" i="18"/>
  <c r="L22" i="18"/>
  <c r="K22" i="18"/>
  <c r="J22" i="18"/>
  <c r="I22" i="18"/>
  <c r="H22" i="18"/>
  <c r="G22" i="18"/>
  <c r="AJ22" i="18" s="1"/>
  <c r="F22" i="18"/>
  <c r="E22" i="18"/>
  <c r="D22" i="18"/>
  <c r="L21" i="18"/>
  <c r="K21" i="18"/>
  <c r="J21" i="18"/>
  <c r="I21" i="18"/>
  <c r="H21" i="18"/>
  <c r="G21" i="18"/>
  <c r="BG21" i="18" s="1"/>
  <c r="F21" i="18"/>
  <c r="E21" i="18"/>
  <c r="D21" i="18"/>
  <c r="L20" i="18"/>
  <c r="K20" i="18"/>
  <c r="J20" i="18"/>
  <c r="I20" i="18"/>
  <c r="H20" i="18"/>
  <c r="G20" i="18"/>
  <c r="AI20" i="18" s="1"/>
  <c r="F20" i="18"/>
  <c r="E20" i="18"/>
  <c r="D20" i="18"/>
  <c r="L19" i="18"/>
  <c r="K19" i="18"/>
  <c r="J19" i="18"/>
  <c r="I19" i="18"/>
  <c r="H19" i="18"/>
  <c r="G19" i="18"/>
  <c r="AJ19" i="18" s="1"/>
  <c r="F19" i="18"/>
  <c r="E19" i="18"/>
  <c r="D19" i="18"/>
  <c r="L18" i="18"/>
  <c r="K18" i="18"/>
  <c r="J18" i="18"/>
  <c r="I18" i="18"/>
  <c r="H18" i="18"/>
  <c r="G18" i="18"/>
  <c r="BG18" i="18" s="1"/>
  <c r="F18" i="18"/>
  <c r="E18" i="18"/>
  <c r="D18" i="18"/>
  <c r="L17" i="18"/>
  <c r="K17" i="18"/>
  <c r="J17" i="18"/>
  <c r="I17" i="18"/>
  <c r="H17" i="18"/>
  <c r="G17" i="18"/>
  <c r="F17" i="18"/>
  <c r="E17" i="18"/>
  <c r="D17" i="18"/>
  <c r="L16" i="18"/>
  <c r="K16" i="18"/>
  <c r="J16" i="18"/>
  <c r="I16" i="18"/>
  <c r="H16" i="18"/>
  <c r="G16" i="18"/>
  <c r="BF16" i="18" s="1"/>
  <c r="F16" i="18"/>
  <c r="E16" i="18"/>
  <c r="D16" i="18"/>
  <c r="L15" i="18"/>
  <c r="K15" i="18"/>
  <c r="J15" i="18"/>
  <c r="I15" i="18"/>
  <c r="H15" i="18"/>
  <c r="G15" i="18"/>
  <c r="F15" i="18"/>
  <c r="E15" i="18"/>
  <c r="D15" i="18"/>
  <c r="BB13" i="18"/>
  <c r="BA13" i="18"/>
  <c r="AZ13" i="18"/>
  <c r="AY13" i="18"/>
  <c r="AX13" i="18"/>
  <c r="AW13" i="18"/>
  <c r="AV13" i="18"/>
  <c r="AU13" i="18"/>
  <c r="AT13" i="18"/>
  <c r="AS13" i="18"/>
  <c r="AR13" i="18"/>
  <c r="AQ13" i="18"/>
  <c r="AP13" i="18"/>
  <c r="AO13" i="18"/>
  <c r="AN13" i="18"/>
  <c r="AM13" i="18"/>
  <c r="AL13" i="18"/>
  <c r="AK13" i="18"/>
  <c r="AJ13" i="18"/>
  <c r="AI13" i="18"/>
  <c r="AH13" i="18"/>
  <c r="B9" i="18"/>
  <c r="B8" i="18"/>
  <c r="B7" i="18"/>
  <c r="B6" i="18"/>
  <c r="B5" i="18"/>
  <c r="B4" i="18"/>
  <c r="B3" i="18"/>
  <c r="B2" i="18"/>
  <c r="L40" i="17"/>
  <c r="K40" i="17"/>
  <c r="J40" i="17"/>
  <c r="I40" i="17"/>
  <c r="H40" i="17"/>
  <c r="G40" i="17"/>
  <c r="BG40" i="17" s="1"/>
  <c r="F40" i="17"/>
  <c r="E40" i="17"/>
  <c r="D40" i="17"/>
  <c r="L39" i="17"/>
  <c r="K39" i="17"/>
  <c r="J39" i="17"/>
  <c r="I39" i="17"/>
  <c r="H39" i="17"/>
  <c r="G39" i="17"/>
  <c r="AJ39" i="17" s="1"/>
  <c r="F39" i="17"/>
  <c r="E39" i="17"/>
  <c r="D39" i="17"/>
  <c r="L38" i="17"/>
  <c r="K38" i="17"/>
  <c r="J38" i="17"/>
  <c r="I38" i="17"/>
  <c r="H38" i="17"/>
  <c r="G38" i="17"/>
  <c r="F38" i="17"/>
  <c r="E38" i="17"/>
  <c r="D38" i="17"/>
  <c r="L37" i="17"/>
  <c r="K37" i="17"/>
  <c r="J37" i="17"/>
  <c r="I37" i="17"/>
  <c r="H37" i="17"/>
  <c r="G37" i="17"/>
  <c r="BG37" i="17" s="1"/>
  <c r="F37" i="17"/>
  <c r="E37" i="17"/>
  <c r="D37" i="17"/>
  <c r="L36" i="17"/>
  <c r="K36" i="17"/>
  <c r="J36" i="17"/>
  <c r="I36" i="17"/>
  <c r="H36" i="17"/>
  <c r="G36" i="17"/>
  <c r="BG36" i="17" s="1"/>
  <c r="F36" i="17"/>
  <c r="E36" i="17"/>
  <c r="D36" i="17"/>
  <c r="L35" i="17"/>
  <c r="K35" i="17"/>
  <c r="J35" i="17"/>
  <c r="I35" i="17"/>
  <c r="H35" i="17"/>
  <c r="G35" i="17"/>
  <c r="AJ35" i="17" s="1"/>
  <c r="F35" i="17"/>
  <c r="E35" i="17"/>
  <c r="D35" i="17"/>
  <c r="L34" i="17"/>
  <c r="K34" i="17"/>
  <c r="J34" i="17"/>
  <c r="I34" i="17"/>
  <c r="H34" i="17"/>
  <c r="G34" i="17"/>
  <c r="F34" i="17"/>
  <c r="E34" i="17"/>
  <c r="D34" i="17"/>
  <c r="L33" i="17"/>
  <c r="K33" i="17"/>
  <c r="J33" i="17"/>
  <c r="I33" i="17"/>
  <c r="H33" i="17"/>
  <c r="G33" i="17"/>
  <c r="F33" i="17"/>
  <c r="E33" i="17"/>
  <c r="D33" i="17"/>
  <c r="L32" i="17"/>
  <c r="K32" i="17"/>
  <c r="J32" i="17"/>
  <c r="I32" i="17"/>
  <c r="H32" i="17"/>
  <c r="G32" i="17"/>
  <c r="AJ32" i="17" s="1"/>
  <c r="F32" i="17"/>
  <c r="E32" i="17"/>
  <c r="D32" i="17"/>
  <c r="L31" i="17"/>
  <c r="K31" i="17"/>
  <c r="J31" i="17"/>
  <c r="I31" i="17"/>
  <c r="H31" i="17"/>
  <c r="G31" i="17"/>
  <c r="BF31" i="17" s="1"/>
  <c r="F31" i="17"/>
  <c r="E31" i="17"/>
  <c r="D31" i="17"/>
  <c r="L30" i="17"/>
  <c r="K30" i="17"/>
  <c r="J30" i="17"/>
  <c r="I30" i="17"/>
  <c r="H30" i="17"/>
  <c r="G30" i="17"/>
  <c r="F30" i="17"/>
  <c r="E30" i="17"/>
  <c r="D30" i="17"/>
  <c r="L29" i="17"/>
  <c r="K29" i="17"/>
  <c r="J29" i="17"/>
  <c r="I29" i="17"/>
  <c r="H29" i="17"/>
  <c r="G29" i="17"/>
  <c r="BF29" i="17" s="1"/>
  <c r="F29" i="17"/>
  <c r="E29" i="17"/>
  <c r="D29" i="17"/>
  <c r="L28" i="17"/>
  <c r="K28" i="17"/>
  <c r="J28" i="17"/>
  <c r="I28" i="17"/>
  <c r="H28" i="17"/>
  <c r="G28" i="17"/>
  <c r="BG28" i="17" s="1"/>
  <c r="F28" i="17"/>
  <c r="E28" i="17"/>
  <c r="D28" i="17"/>
  <c r="L27" i="17"/>
  <c r="K27" i="17"/>
  <c r="J27" i="17"/>
  <c r="I27" i="17"/>
  <c r="H27" i="17"/>
  <c r="G27" i="17"/>
  <c r="AI27" i="17" s="1"/>
  <c r="F27" i="17"/>
  <c r="E27" i="17"/>
  <c r="D27" i="17"/>
  <c r="L26" i="17"/>
  <c r="K26" i="17"/>
  <c r="J26" i="17"/>
  <c r="I26" i="17"/>
  <c r="H26" i="17"/>
  <c r="G26" i="17"/>
  <c r="AJ26" i="17" s="1"/>
  <c r="F26" i="17"/>
  <c r="E26" i="17"/>
  <c r="D26" i="17"/>
  <c r="L25" i="17"/>
  <c r="K25" i="17"/>
  <c r="J25" i="17"/>
  <c r="I25" i="17"/>
  <c r="H25" i="17"/>
  <c r="G25" i="17"/>
  <c r="BG25" i="17" s="1"/>
  <c r="F25" i="17"/>
  <c r="E25" i="17"/>
  <c r="D25" i="17"/>
  <c r="L24" i="17"/>
  <c r="K24" i="17"/>
  <c r="J24" i="17"/>
  <c r="I24" i="17"/>
  <c r="H24" i="17"/>
  <c r="G24" i="17"/>
  <c r="AI24" i="17" s="1"/>
  <c r="F24" i="17"/>
  <c r="E24" i="17"/>
  <c r="D24" i="17"/>
  <c r="L23" i="17"/>
  <c r="K23" i="17"/>
  <c r="J23" i="17"/>
  <c r="I23" i="17"/>
  <c r="H23" i="17"/>
  <c r="G23" i="17"/>
  <c r="BF23" i="17" s="1"/>
  <c r="F23" i="17"/>
  <c r="E23" i="17"/>
  <c r="D23" i="17"/>
  <c r="L22" i="17"/>
  <c r="K22" i="17"/>
  <c r="J22" i="17"/>
  <c r="I22" i="17"/>
  <c r="H22" i="17"/>
  <c r="G22" i="17"/>
  <c r="BF22" i="17" s="1"/>
  <c r="F22" i="17"/>
  <c r="E22" i="17"/>
  <c r="D22" i="17"/>
  <c r="L21" i="17"/>
  <c r="K21" i="17"/>
  <c r="J21" i="17"/>
  <c r="I21" i="17"/>
  <c r="H21" i="17"/>
  <c r="G21" i="17"/>
  <c r="BG21" i="17" s="1"/>
  <c r="F21" i="17"/>
  <c r="E21" i="17"/>
  <c r="D21" i="17"/>
  <c r="L20" i="17"/>
  <c r="K20" i="17"/>
  <c r="J20" i="17"/>
  <c r="I20" i="17"/>
  <c r="H20" i="17"/>
  <c r="G20" i="17"/>
  <c r="AI20" i="17" s="1"/>
  <c r="F20" i="17"/>
  <c r="E20" i="17"/>
  <c r="D20" i="17"/>
  <c r="L19" i="17"/>
  <c r="K19" i="17"/>
  <c r="J19" i="17"/>
  <c r="I19" i="17"/>
  <c r="H19" i="17"/>
  <c r="G19" i="17"/>
  <c r="BF19" i="17" s="1"/>
  <c r="F19" i="17"/>
  <c r="E19" i="17"/>
  <c r="D19" i="17"/>
  <c r="L18" i="17"/>
  <c r="K18" i="17"/>
  <c r="J18" i="17"/>
  <c r="I18" i="17"/>
  <c r="H18" i="17"/>
  <c r="G18" i="17"/>
  <c r="BF18" i="17" s="1"/>
  <c r="F18" i="17"/>
  <c r="E18" i="17"/>
  <c r="D18" i="17"/>
  <c r="L17" i="17"/>
  <c r="K17" i="17"/>
  <c r="J17" i="17"/>
  <c r="I17" i="17"/>
  <c r="H17" i="17"/>
  <c r="G17" i="17"/>
  <c r="BG17" i="17" s="1"/>
  <c r="F17" i="17"/>
  <c r="E17" i="17"/>
  <c r="D17" i="17"/>
  <c r="L16" i="17"/>
  <c r="K16" i="17"/>
  <c r="J16" i="17"/>
  <c r="I16" i="17"/>
  <c r="H16" i="17"/>
  <c r="G16" i="17"/>
  <c r="F16" i="17"/>
  <c r="E16" i="17"/>
  <c r="D16" i="17"/>
  <c r="L15" i="17"/>
  <c r="K15" i="17"/>
  <c r="J15" i="17"/>
  <c r="I15" i="17"/>
  <c r="H15" i="17"/>
  <c r="G15" i="17"/>
  <c r="F15" i="17"/>
  <c r="E15" i="17"/>
  <c r="AC16" i="17" s="1"/>
  <c r="D15" i="17"/>
  <c r="BB13" i="17"/>
  <c r="BA13" i="17"/>
  <c r="AZ13" i="17"/>
  <c r="AY13" i="17"/>
  <c r="AX13" i="17"/>
  <c r="AW13" i="17"/>
  <c r="AV13" i="17"/>
  <c r="AU13" i="17"/>
  <c r="AT13" i="17"/>
  <c r="AS13" i="17"/>
  <c r="AR13" i="17"/>
  <c r="AQ13" i="17"/>
  <c r="AP13" i="17"/>
  <c r="AO13" i="17"/>
  <c r="AN13" i="17"/>
  <c r="AM13" i="17"/>
  <c r="AL13" i="17"/>
  <c r="AK13" i="17"/>
  <c r="AJ13" i="17"/>
  <c r="AI13" i="17"/>
  <c r="AH13" i="17"/>
  <c r="B9" i="17"/>
  <c r="B8" i="17"/>
  <c r="B7" i="17"/>
  <c r="B6" i="17"/>
  <c r="B5" i="17"/>
  <c r="AQ24" i="17" s="1"/>
  <c r="B4" i="17"/>
  <c r="AO29" i="17" s="1"/>
  <c r="B3" i="17"/>
  <c r="B2" i="17"/>
  <c r="L40" i="16"/>
  <c r="K40" i="16"/>
  <c r="J40" i="16"/>
  <c r="I40" i="16"/>
  <c r="H40" i="16"/>
  <c r="G40" i="16"/>
  <c r="BG40" i="16" s="1"/>
  <c r="F40" i="16"/>
  <c r="E40" i="16"/>
  <c r="D40" i="16"/>
  <c r="L39" i="16"/>
  <c r="K39" i="16"/>
  <c r="J39" i="16"/>
  <c r="I39" i="16"/>
  <c r="H39" i="16"/>
  <c r="G39" i="16"/>
  <c r="BF39" i="16" s="1"/>
  <c r="F39" i="16"/>
  <c r="E39" i="16"/>
  <c r="D39" i="16"/>
  <c r="L38" i="16"/>
  <c r="K38" i="16"/>
  <c r="J38" i="16"/>
  <c r="I38" i="16"/>
  <c r="H38" i="16"/>
  <c r="G38" i="16"/>
  <c r="AI38" i="16" s="1"/>
  <c r="F38" i="16"/>
  <c r="E38" i="16"/>
  <c r="D38" i="16"/>
  <c r="L37" i="16"/>
  <c r="K37" i="16"/>
  <c r="J37" i="16"/>
  <c r="I37" i="16"/>
  <c r="H37" i="16"/>
  <c r="G37" i="16"/>
  <c r="BF37" i="16" s="1"/>
  <c r="F37" i="16"/>
  <c r="E37" i="16"/>
  <c r="D37" i="16"/>
  <c r="L36" i="16"/>
  <c r="K36" i="16"/>
  <c r="J36" i="16"/>
  <c r="I36" i="16"/>
  <c r="H36" i="16"/>
  <c r="G36" i="16"/>
  <c r="BG36" i="16" s="1"/>
  <c r="F36" i="16"/>
  <c r="E36" i="16"/>
  <c r="D36" i="16"/>
  <c r="L35" i="16"/>
  <c r="K35" i="16"/>
  <c r="J35" i="16"/>
  <c r="I35" i="16"/>
  <c r="H35" i="16"/>
  <c r="G35" i="16"/>
  <c r="BF35" i="16" s="1"/>
  <c r="F35" i="16"/>
  <c r="E35" i="16"/>
  <c r="D35" i="16"/>
  <c r="L34" i="16"/>
  <c r="K34" i="16"/>
  <c r="J34" i="16"/>
  <c r="I34" i="16"/>
  <c r="H34" i="16"/>
  <c r="G34" i="16"/>
  <c r="BG34" i="16" s="1"/>
  <c r="F34" i="16"/>
  <c r="E34" i="16"/>
  <c r="D34" i="16"/>
  <c r="L33" i="16"/>
  <c r="K33" i="16"/>
  <c r="J33" i="16"/>
  <c r="I33" i="16"/>
  <c r="H33" i="16"/>
  <c r="G33" i="16"/>
  <c r="F33" i="16"/>
  <c r="E33" i="16"/>
  <c r="D33" i="16"/>
  <c r="L32" i="16"/>
  <c r="K32" i="16"/>
  <c r="J32" i="16"/>
  <c r="I32" i="16"/>
  <c r="H32" i="16"/>
  <c r="G32" i="16"/>
  <c r="BG32" i="16" s="1"/>
  <c r="F32" i="16"/>
  <c r="E32" i="16"/>
  <c r="D32" i="16"/>
  <c r="L31" i="16"/>
  <c r="K31" i="16"/>
  <c r="J31" i="16"/>
  <c r="I31" i="16"/>
  <c r="H31" i="16"/>
  <c r="G31" i="16"/>
  <c r="F31" i="16"/>
  <c r="E31" i="16"/>
  <c r="D31" i="16"/>
  <c r="L30" i="16"/>
  <c r="K30" i="16"/>
  <c r="J30" i="16"/>
  <c r="I30" i="16"/>
  <c r="H30" i="16"/>
  <c r="G30" i="16"/>
  <c r="F30" i="16"/>
  <c r="E30" i="16"/>
  <c r="D30" i="16"/>
  <c r="L29" i="16"/>
  <c r="K29" i="16"/>
  <c r="J29" i="16"/>
  <c r="I29" i="16"/>
  <c r="H29" i="16"/>
  <c r="G29" i="16"/>
  <c r="AJ29" i="16" s="1"/>
  <c r="F29" i="16"/>
  <c r="E29" i="16"/>
  <c r="D29" i="16"/>
  <c r="L28" i="16"/>
  <c r="K28" i="16"/>
  <c r="J28" i="16"/>
  <c r="I28" i="16"/>
  <c r="H28" i="16"/>
  <c r="G28" i="16"/>
  <c r="F28" i="16"/>
  <c r="E28" i="16"/>
  <c r="D28" i="16"/>
  <c r="L27" i="16"/>
  <c r="K27" i="16"/>
  <c r="J27" i="16"/>
  <c r="I27" i="16"/>
  <c r="H27" i="16"/>
  <c r="G27" i="16"/>
  <c r="BG27" i="16" s="1"/>
  <c r="F27" i="16"/>
  <c r="E27" i="16"/>
  <c r="D27" i="16"/>
  <c r="L26" i="16"/>
  <c r="K26" i="16"/>
  <c r="J26" i="16"/>
  <c r="I26" i="16"/>
  <c r="H26" i="16"/>
  <c r="G26" i="16"/>
  <c r="F26" i="16"/>
  <c r="E26" i="16"/>
  <c r="D26" i="16"/>
  <c r="L25" i="16"/>
  <c r="K25" i="16"/>
  <c r="J25" i="16"/>
  <c r="I25" i="16"/>
  <c r="H25" i="16"/>
  <c r="G25" i="16"/>
  <c r="AI25" i="16" s="1"/>
  <c r="F25" i="16"/>
  <c r="E25" i="16"/>
  <c r="D25" i="16"/>
  <c r="L24" i="16"/>
  <c r="K24" i="16"/>
  <c r="J24" i="16"/>
  <c r="I24" i="16"/>
  <c r="H24" i="16"/>
  <c r="G24" i="16"/>
  <c r="BF24" i="16" s="1"/>
  <c r="F24" i="16"/>
  <c r="E24" i="16"/>
  <c r="D24" i="16"/>
  <c r="L23" i="16"/>
  <c r="K23" i="16"/>
  <c r="J23" i="16"/>
  <c r="I23" i="16"/>
  <c r="H23" i="16"/>
  <c r="G23" i="16"/>
  <c r="BF23" i="16" s="1"/>
  <c r="F23" i="16"/>
  <c r="E23" i="16"/>
  <c r="D23" i="16"/>
  <c r="L22" i="16"/>
  <c r="K22" i="16"/>
  <c r="J22" i="16"/>
  <c r="I22" i="16"/>
  <c r="H22" i="16"/>
  <c r="G22" i="16"/>
  <c r="BG22" i="16" s="1"/>
  <c r="F22" i="16"/>
  <c r="E22" i="16"/>
  <c r="D22" i="16"/>
  <c r="L21" i="16"/>
  <c r="K21" i="16"/>
  <c r="J21" i="16"/>
  <c r="I21" i="16"/>
  <c r="H21" i="16"/>
  <c r="G21" i="16"/>
  <c r="F21" i="16"/>
  <c r="E21" i="16"/>
  <c r="D21" i="16"/>
  <c r="L20" i="16"/>
  <c r="K20" i="16"/>
  <c r="J20" i="16"/>
  <c r="I20" i="16"/>
  <c r="H20" i="16"/>
  <c r="G20" i="16"/>
  <c r="BF20" i="16" s="1"/>
  <c r="F20" i="16"/>
  <c r="E20" i="16"/>
  <c r="D20" i="16"/>
  <c r="L19" i="16"/>
  <c r="K19" i="16"/>
  <c r="J19" i="16"/>
  <c r="I19" i="16"/>
  <c r="H19" i="16"/>
  <c r="G19" i="16"/>
  <c r="F19" i="16"/>
  <c r="E19" i="16"/>
  <c r="D19" i="16"/>
  <c r="L18" i="16"/>
  <c r="K18" i="16"/>
  <c r="J18" i="16"/>
  <c r="I18" i="16"/>
  <c r="H18" i="16"/>
  <c r="G18" i="16"/>
  <c r="BG18" i="16" s="1"/>
  <c r="F18" i="16"/>
  <c r="E18" i="16"/>
  <c r="D18" i="16"/>
  <c r="L17" i="16"/>
  <c r="K17" i="16"/>
  <c r="J17" i="16"/>
  <c r="I17" i="16"/>
  <c r="H17" i="16"/>
  <c r="G17" i="16"/>
  <c r="BF17" i="16" s="1"/>
  <c r="F17" i="16"/>
  <c r="E17" i="16"/>
  <c r="D17" i="16"/>
  <c r="L16" i="16"/>
  <c r="K16" i="16"/>
  <c r="J16" i="16"/>
  <c r="I16" i="16"/>
  <c r="H16" i="16"/>
  <c r="G16" i="16"/>
  <c r="F16" i="16"/>
  <c r="E16" i="16"/>
  <c r="D16" i="16"/>
  <c r="L15" i="16"/>
  <c r="K15" i="16"/>
  <c r="J15" i="16"/>
  <c r="I15" i="16"/>
  <c r="H15" i="16"/>
  <c r="G15" i="16"/>
  <c r="F15" i="16"/>
  <c r="E15" i="16"/>
  <c r="D15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B9" i="16"/>
  <c r="B8" i="16"/>
  <c r="B7" i="16"/>
  <c r="B6" i="16"/>
  <c r="B5" i="16"/>
  <c r="B4" i="16"/>
  <c r="BK19" i="16" s="1"/>
  <c r="B3" i="16"/>
  <c r="B2" i="16"/>
  <c r="AU13" i="14"/>
  <c r="AU13" i="13"/>
  <c r="AU13" i="12"/>
  <c r="AU13" i="11"/>
  <c r="AU13" i="10"/>
  <c r="AU13" i="9"/>
  <c r="AU13" i="8"/>
  <c r="AU13" i="7"/>
  <c r="AU13" i="6"/>
  <c r="AU13" i="4"/>
  <c r="AU13" i="15"/>
  <c r="AV13" i="15"/>
  <c r="AV13" i="4"/>
  <c r="AV13" i="6"/>
  <c r="AV13" i="7"/>
  <c r="AV13" i="8"/>
  <c r="AV13" i="9"/>
  <c r="AV13" i="10"/>
  <c r="AV13" i="11"/>
  <c r="AV13" i="13"/>
  <c r="AV13" i="14"/>
  <c r="AV13" i="12"/>
  <c r="BB13" i="15"/>
  <c r="BA13" i="15"/>
  <c r="AZ13" i="15"/>
  <c r="AY13" i="15"/>
  <c r="AX13" i="15"/>
  <c r="AW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BB13" i="4"/>
  <c r="BA13" i="4"/>
  <c r="AZ13" i="4"/>
  <c r="AY13" i="4"/>
  <c r="AX13" i="4"/>
  <c r="AW13" i="4"/>
  <c r="AT13" i="4"/>
  <c r="AS13" i="4"/>
  <c r="AR13" i="4"/>
  <c r="AQ13" i="4"/>
  <c r="AP13" i="4"/>
  <c r="AO13" i="4"/>
  <c r="AN13" i="4"/>
  <c r="AM13" i="4"/>
  <c r="AL13" i="4"/>
  <c r="AK13" i="4"/>
  <c r="AJ13" i="4"/>
  <c r="AI13" i="4"/>
  <c r="AH13" i="4"/>
  <c r="BB13" i="6"/>
  <c r="BA13" i="6"/>
  <c r="AZ13" i="6"/>
  <c r="AY13" i="6"/>
  <c r="AX13" i="6"/>
  <c r="AW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BB13" i="7"/>
  <c r="BA13" i="7"/>
  <c r="AZ13" i="7"/>
  <c r="AY13" i="7"/>
  <c r="AX13" i="7"/>
  <c r="AW13" i="7"/>
  <c r="AT13" i="7"/>
  <c r="AS13" i="7"/>
  <c r="AR13" i="7"/>
  <c r="AQ13" i="7"/>
  <c r="AP13" i="7"/>
  <c r="AO13" i="7"/>
  <c r="AN13" i="7"/>
  <c r="AM13" i="7"/>
  <c r="AL13" i="7"/>
  <c r="AK13" i="7"/>
  <c r="AJ13" i="7"/>
  <c r="AI13" i="7"/>
  <c r="AH13" i="7"/>
  <c r="BB13" i="8"/>
  <c r="BA13" i="8"/>
  <c r="AZ13" i="8"/>
  <c r="AY13" i="8"/>
  <c r="AX13" i="8"/>
  <c r="AW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BB13" i="9"/>
  <c r="BA13" i="9"/>
  <c r="AZ13" i="9"/>
  <c r="AY13" i="9"/>
  <c r="AX13" i="9"/>
  <c r="AW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BB13" i="10"/>
  <c r="BA13" i="10"/>
  <c r="AZ13" i="10"/>
  <c r="AY13" i="10"/>
  <c r="AX13" i="10"/>
  <c r="AW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BB13" i="11"/>
  <c r="BA13" i="11"/>
  <c r="AZ13" i="11"/>
  <c r="AY13" i="11"/>
  <c r="AX13" i="11"/>
  <c r="AW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BB13" i="12"/>
  <c r="BA13" i="12"/>
  <c r="AZ13" i="12"/>
  <c r="AY13" i="12"/>
  <c r="AX13" i="12"/>
  <c r="AW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BB13" i="13"/>
  <c r="BA13" i="13"/>
  <c r="AZ13" i="13"/>
  <c r="AY13" i="13"/>
  <c r="AX13" i="13"/>
  <c r="AW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BA13" i="14"/>
  <c r="BB13" i="14"/>
  <c r="L40" i="15"/>
  <c r="K40" i="15"/>
  <c r="J40" i="15"/>
  <c r="I40" i="15"/>
  <c r="H40" i="15"/>
  <c r="G40" i="15"/>
  <c r="AI40" i="15" s="1"/>
  <c r="F40" i="15"/>
  <c r="E40" i="15"/>
  <c r="D40" i="15"/>
  <c r="L39" i="15"/>
  <c r="K39" i="15"/>
  <c r="J39" i="15"/>
  <c r="I39" i="15"/>
  <c r="H39" i="15"/>
  <c r="G39" i="15"/>
  <c r="F39" i="15"/>
  <c r="E39" i="15"/>
  <c r="D39" i="15"/>
  <c r="L38" i="15"/>
  <c r="K38" i="15"/>
  <c r="J38" i="15"/>
  <c r="I38" i="15"/>
  <c r="H38" i="15"/>
  <c r="G38" i="15"/>
  <c r="AI38" i="15" s="1"/>
  <c r="F38" i="15"/>
  <c r="E38" i="15"/>
  <c r="D38" i="15"/>
  <c r="L37" i="15"/>
  <c r="K37" i="15"/>
  <c r="J37" i="15"/>
  <c r="I37" i="15"/>
  <c r="H37" i="15"/>
  <c r="G37" i="15"/>
  <c r="AI37" i="15" s="1"/>
  <c r="F37" i="15"/>
  <c r="E37" i="15"/>
  <c r="D37" i="15"/>
  <c r="L36" i="15"/>
  <c r="K36" i="15"/>
  <c r="J36" i="15"/>
  <c r="I36" i="15"/>
  <c r="H36" i="15"/>
  <c r="G36" i="15"/>
  <c r="F36" i="15"/>
  <c r="E36" i="15"/>
  <c r="D36" i="15"/>
  <c r="L35" i="15"/>
  <c r="K35" i="15"/>
  <c r="J35" i="15"/>
  <c r="I35" i="15"/>
  <c r="H35" i="15"/>
  <c r="G35" i="15"/>
  <c r="BF35" i="15" s="1"/>
  <c r="F35" i="15"/>
  <c r="E35" i="15"/>
  <c r="D35" i="15"/>
  <c r="L34" i="15"/>
  <c r="K34" i="15"/>
  <c r="J34" i="15"/>
  <c r="I34" i="15"/>
  <c r="H34" i="15"/>
  <c r="G34" i="15"/>
  <c r="BG34" i="15" s="1"/>
  <c r="F34" i="15"/>
  <c r="E34" i="15"/>
  <c r="D34" i="15"/>
  <c r="L33" i="15"/>
  <c r="K33" i="15"/>
  <c r="J33" i="15"/>
  <c r="I33" i="15"/>
  <c r="H33" i="15"/>
  <c r="G33" i="15"/>
  <c r="AI33" i="15" s="1"/>
  <c r="F33" i="15"/>
  <c r="E33" i="15"/>
  <c r="D33" i="15"/>
  <c r="L32" i="15"/>
  <c r="K32" i="15"/>
  <c r="J32" i="15"/>
  <c r="I32" i="15"/>
  <c r="H32" i="15"/>
  <c r="G32" i="15"/>
  <c r="AJ32" i="15" s="1"/>
  <c r="F32" i="15"/>
  <c r="E32" i="15"/>
  <c r="D32" i="15"/>
  <c r="L31" i="15"/>
  <c r="K31" i="15"/>
  <c r="J31" i="15"/>
  <c r="I31" i="15"/>
  <c r="H31" i="15"/>
  <c r="G31" i="15"/>
  <c r="AI31" i="15" s="1"/>
  <c r="F31" i="15"/>
  <c r="E31" i="15"/>
  <c r="D31" i="15"/>
  <c r="L30" i="15"/>
  <c r="K30" i="15"/>
  <c r="J30" i="15"/>
  <c r="I30" i="15"/>
  <c r="H30" i="15"/>
  <c r="G30" i="15"/>
  <c r="AI30" i="15" s="1"/>
  <c r="F30" i="15"/>
  <c r="E30" i="15"/>
  <c r="D30" i="15"/>
  <c r="L29" i="15"/>
  <c r="K29" i="15"/>
  <c r="J29" i="15"/>
  <c r="I29" i="15"/>
  <c r="H29" i="15"/>
  <c r="G29" i="15"/>
  <c r="AI29" i="15" s="1"/>
  <c r="F29" i="15"/>
  <c r="E29" i="15"/>
  <c r="D29" i="15"/>
  <c r="L28" i="15"/>
  <c r="K28" i="15"/>
  <c r="J28" i="15"/>
  <c r="I28" i="15"/>
  <c r="H28" i="15"/>
  <c r="G28" i="15"/>
  <c r="AJ28" i="15" s="1"/>
  <c r="F28" i="15"/>
  <c r="E28" i="15"/>
  <c r="D28" i="15"/>
  <c r="L27" i="15"/>
  <c r="K27" i="15"/>
  <c r="J27" i="15"/>
  <c r="I27" i="15"/>
  <c r="H27" i="15"/>
  <c r="G27" i="15"/>
  <c r="AI27" i="15" s="1"/>
  <c r="F27" i="15"/>
  <c r="E27" i="15"/>
  <c r="D27" i="15"/>
  <c r="L26" i="15"/>
  <c r="K26" i="15"/>
  <c r="J26" i="15"/>
  <c r="I26" i="15"/>
  <c r="H26" i="15"/>
  <c r="G26" i="15"/>
  <c r="F26" i="15"/>
  <c r="E26" i="15"/>
  <c r="D26" i="15"/>
  <c r="L25" i="15"/>
  <c r="K25" i="15"/>
  <c r="J25" i="15"/>
  <c r="I25" i="15"/>
  <c r="H25" i="15"/>
  <c r="G25" i="15"/>
  <c r="AI25" i="15" s="1"/>
  <c r="F25" i="15"/>
  <c r="E25" i="15"/>
  <c r="D25" i="15"/>
  <c r="L24" i="15"/>
  <c r="K24" i="15"/>
  <c r="J24" i="15"/>
  <c r="I24" i="15"/>
  <c r="H24" i="15"/>
  <c r="G24" i="15"/>
  <c r="AJ24" i="15" s="1"/>
  <c r="F24" i="15"/>
  <c r="E24" i="15"/>
  <c r="D24" i="15"/>
  <c r="L23" i="15"/>
  <c r="K23" i="15"/>
  <c r="J23" i="15"/>
  <c r="I23" i="15"/>
  <c r="H23" i="15"/>
  <c r="G23" i="15"/>
  <c r="AI23" i="15" s="1"/>
  <c r="F23" i="15"/>
  <c r="E23" i="15"/>
  <c r="D23" i="15"/>
  <c r="L22" i="15"/>
  <c r="K22" i="15"/>
  <c r="J22" i="15"/>
  <c r="I22" i="15"/>
  <c r="H22" i="15"/>
  <c r="G22" i="15"/>
  <c r="F22" i="15"/>
  <c r="E22" i="15"/>
  <c r="D22" i="15"/>
  <c r="L21" i="15"/>
  <c r="K21" i="15"/>
  <c r="J21" i="15"/>
  <c r="I21" i="15"/>
  <c r="H21" i="15"/>
  <c r="G21" i="15"/>
  <c r="AI21" i="15" s="1"/>
  <c r="F21" i="15"/>
  <c r="E21" i="15"/>
  <c r="D21" i="15"/>
  <c r="L20" i="15"/>
  <c r="K20" i="15"/>
  <c r="J20" i="15"/>
  <c r="I20" i="15"/>
  <c r="H20" i="15"/>
  <c r="G20" i="15"/>
  <c r="AI20" i="15" s="1"/>
  <c r="F20" i="15"/>
  <c r="E20" i="15"/>
  <c r="D20" i="15"/>
  <c r="L19" i="15"/>
  <c r="K19" i="15"/>
  <c r="J19" i="15"/>
  <c r="I19" i="15"/>
  <c r="H19" i="15"/>
  <c r="G19" i="15"/>
  <c r="AI19" i="15" s="1"/>
  <c r="F19" i="15"/>
  <c r="E19" i="15"/>
  <c r="D19" i="15"/>
  <c r="L18" i="15"/>
  <c r="K18" i="15"/>
  <c r="J18" i="15"/>
  <c r="I18" i="15"/>
  <c r="H18" i="15"/>
  <c r="G18" i="15"/>
  <c r="AI18" i="15" s="1"/>
  <c r="F18" i="15"/>
  <c r="E18" i="15"/>
  <c r="D18" i="15"/>
  <c r="L17" i="15"/>
  <c r="K17" i="15"/>
  <c r="J17" i="15"/>
  <c r="I17" i="15"/>
  <c r="H17" i="15"/>
  <c r="G17" i="15"/>
  <c r="AI17" i="15" s="1"/>
  <c r="F17" i="15"/>
  <c r="E17" i="15"/>
  <c r="D17" i="15"/>
  <c r="L16" i="15"/>
  <c r="K16" i="15"/>
  <c r="J16" i="15"/>
  <c r="I16" i="15"/>
  <c r="H16" i="15"/>
  <c r="G16" i="15"/>
  <c r="F16" i="15"/>
  <c r="E16" i="15"/>
  <c r="D16" i="15"/>
  <c r="L15" i="15"/>
  <c r="K15" i="15"/>
  <c r="J15" i="15"/>
  <c r="I15" i="15"/>
  <c r="H15" i="15"/>
  <c r="G15" i="15"/>
  <c r="F15" i="15"/>
  <c r="E15" i="15"/>
  <c r="D15" i="15"/>
  <c r="B9" i="15"/>
  <c r="B8" i="15"/>
  <c r="B7" i="15"/>
  <c r="B6" i="15"/>
  <c r="B5" i="15"/>
  <c r="B4" i="15"/>
  <c r="AT32" i="15" s="1"/>
  <c r="B3" i="15"/>
  <c r="B2" i="15"/>
  <c r="S40" i="22"/>
  <c r="Y39" i="22"/>
  <c r="S38" i="22"/>
  <c r="Y37" i="22"/>
  <c r="S36" i="22"/>
  <c r="Y35" i="22"/>
  <c r="V40" i="22"/>
  <c r="P39" i="22"/>
  <c r="V38" i="22"/>
  <c r="P37" i="22"/>
  <c r="V36" i="22"/>
  <c r="P35" i="22"/>
  <c r="Y40" i="22"/>
  <c r="S39" i="22"/>
  <c r="Y38" i="22"/>
  <c r="S37" i="22"/>
  <c r="Y36" i="22"/>
  <c r="S35" i="22"/>
  <c r="V37" i="22"/>
  <c r="P34" i="22"/>
  <c r="V33" i="22"/>
  <c r="P32" i="22"/>
  <c r="V31" i="22"/>
  <c r="P40" i="22"/>
  <c r="P36" i="22"/>
  <c r="S34" i="22"/>
  <c r="Y33" i="22"/>
  <c r="S32" i="22"/>
  <c r="Y31" i="22"/>
  <c r="V39" i="22"/>
  <c r="V35" i="22"/>
  <c r="V34" i="22"/>
  <c r="P33" i="22"/>
  <c r="V32" i="22"/>
  <c r="S33" i="22"/>
  <c r="Y32" i="22"/>
  <c r="P30" i="22"/>
  <c r="V29" i="22"/>
  <c r="P28" i="22"/>
  <c r="V27" i="22"/>
  <c r="S30" i="22"/>
  <c r="Y29" i="22"/>
  <c r="S28" i="22"/>
  <c r="Y27" i="22"/>
  <c r="S31" i="22"/>
  <c r="V30" i="22"/>
  <c r="P29" i="22"/>
  <c r="V28" i="22"/>
  <c r="P27" i="22"/>
  <c r="P38" i="22"/>
  <c r="Y34" i="22"/>
  <c r="P31" i="22"/>
  <c r="Y30" i="22"/>
  <c r="S27" i="22"/>
  <c r="V26" i="22"/>
  <c r="P25" i="22"/>
  <c r="V24" i="22"/>
  <c r="P23" i="22"/>
  <c r="V22" i="22"/>
  <c r="P21" i="22"/>
  <c r="V20" i="22"/>
  <c r="P19" i="22"/>
  <c r="V18" i="22"/>
  <c r="P17" i="22"/>
  <c r="S29" i="22"/>
  <c r="S25" i="22"/>
  <c r="Y24" i="22"/>
  <c r="S23" i="22"/>
  <c r="Y22" i="22"/>
  <c r="S21" i="22"/>
  <c r="Y20" i="22"/>
  <c r="S19" i="22"/>
  <c r="Y18" i="22"/>
  <c r="S17" i="22"/>
  <c r="Y26" i="22"/>
  <c r="P26" i="22"/>
  <c r="V25" i="22"/>
  <c r="P24" i="22"/>
  <c r="V23" i="22"/>
  <c r="P22" i="22"/>
  <c r="V21" i="22"/>
  <c r="P20" i="22"/>
  <c r="V19" i="22"/>
  <c r="P18" i="22"/>
  <c r="V17" i="22"/>
  <c r="Y23" i="22"/>
  <c r="S20" i="22"/>
  <c r="S16" i="22"/>
  <c r="Y28" i="22"/>
  <c r="S26" i="22"/>
  <c r="Y25" i="22"/>
  <c r="S22" i="22"/>
  <c r="AH18" i="22"/>
  <c r="Y17" i="22"/>
  <c r="BE17" i="22"/>
  <c r="V16" i="22"/>
  <c r="AP24" i="22"/>
  <c r="Y21" i="22"/>
  <c r="BE21" i="22"/>
  <c r="BP18" i="22"/>
  <c r="S18" i="22"/>
  <c r="AL16" i="22"/>
  <c r="S24" i="22"/>
  <c r="AH20" i="22"/>
  <c r="Y19" i="22"/>
  <c r="BE19" i="22"/>
  <c r="Y16" i="22"/>
  <c r="AP16" i="22"/>
  <c r="P15" i="22"/>
  <c r="AH22" i="22"/>
  <c r="P16" i="22"/>
  <c r="BE16" i="22"/>
  <c r="AL34" i="21"/>
  <c r="P40" i="21"/>
  <c r="V39" i="21"/>
  <c r="P38" i="21"/>
  <c r="V37" i="21"/>
  <c r="P36" i="21"/>
  <c r="V35" i="21"/>
  <c r="S40" i="21"/>
  <c r="Y39" i="21"/>
  <c r="S38" i="21"/>
  <c r="Y37" i="21"/>
  <c r="S36" i="21"/>
  <c r="Y35" i="21"/>
  <c r="V40" i="21"/>
  <c r="P39" i="21"/>
  <c r="V38" i="21"/>
  <c r="P37" i="21"/>
  <c r="V36" i="21"/>
  <c r="P35" i="21"/>
  <c r="Y36" i="21"/>
  <c r="V34" i="21"/>
  <c r="P33" i="21"/>
  <c r="V32" i="21"/>
  <c r="P31" i="21"/>
  <c r="Y38" i="21"/>
  <c r="S35" i="21"/>
  <c r="Y34" i="21"/>
  <c r="S33" i="21"/>
  <c r="Y32" i="21"/>
  <c r="S31" i="21"/>
  <c r="Y40" i="21"/>
  <c r="S37" i="21"/>
  <c r="P34" i="21"/>
  <c r="V33" i="21"/>
  <c r="P32" i="21"/>
  <c r="V31" i="21"/>
  <c r="S39" i="21"/>
  <c r="S32" i="21"/>
  <c r="V30" i="21"/>
  <c r="P29" i="21"/>
  <c r="V28" i="21"/>
  <c r="P27" i="21"/>
  <c r="S34" i="21"/>
  <c r="Y30" i="21"/>
  <c r="S29" i="21"/>
  <c r="Y28" i="21"/>
  <c r="S27" i="21"/>
  <c r="Y31" i="21"/>
  <c r="P30" i="21"/>
  <c r="V29" i="21"/>
  <c r="P28" i="21"/>
  <c r="V27" i="21"/>
  <c r="Y29" i="21"/>
  <c r="S26" i="21"/>
  <c r="Y25" i="21"/>
  <c r="S24" i="21"/>
  <c r="Y23" i="21"/>
  <c r="S22" i="21"/>
  <c r="Y21" i="21"/>
  <c r="S20" i="21"/>
  <c r="Y19" i="21"/>
  <c r="S18" i="21"/>
  <c r="Y17" i="21"/>
  <c r="S28" i="21"/>
  <c r="V26" i="21"/>
  <c r="P25" i="21"/>
  <c r="V24" i="21"/>
  <c r="P23" i="21"/>
  <c r="V22" i="21"/>
  <c r="P21" i="21"/>
  <c r="V20" i="21"/>
  <c r="P19" i="21"/>
  <c r="V18" i="21"/>
  <c r="P17" i="21"/>
  <c r="Y33" i="21"/>
  <c r="S30" i="21"/>
  <c r="Y26" i="21"/>
  <c r="S25" i="21"/>
  <c r="Y24" i="21"/>
  <c r="S23" i="21"/>
  <c r="Y22" i="21"/>
  <c r="S21" i="21"/>
  <c r="Y20" i="21"/>
  <c r="S19" i="21"/>
  <c r="Y18" i="21"/>
  <c r="S17" i="21"/>
  <c r="P22" i="21"/>
  <c r="P18" i="21"/>
  <c r="S16" i="21"/>
  <c r="AL28" i="21"/>
  <c r="BE27" i="21"/>
  <c r="P26" i="21"/>
  <c r="V23" i="21"/>
  <c r="V19" i="21"/>
  <c r="P16" i="21"/>
  <c r="AH16" i="21"/>
  <c r="V25" i="21"/>
  <c r="V21" i="21"/>
  <c r="V17" i="21"/>
  <c r="V16" i="21"/>
  <c r="AH24" i="21"/>
  <c r="AH20" i="21"/>
  <c r="Y27" i="21"/>
  <c r="P24" i="21"/>
  <c r="P20" i="21"/>
  <c r="Y16" i="21"/>
  <c r="P15" i="21"/>
  <c r="AH28" i="21"/>
  <c r="AP26" i="21"/>
  <c r="BP16" i="21"/>
  <c r="BQ24" i="21"/>
  <c r="AH23" i="21"/>
  <c r="S40" i="15"/>
  <c r="S39" i="15"/>
  <c r="S38" i="15"/>
  <c r="S37" i="15"/>
  <c r="S36" i="15"/>
  <c r="S35" i="15"/>
  <c r="S34" i="15"/>
  <c r="S33" i="15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Y40" i="15"/>
  <c r="Y39" i="15"/>
  <c r="Y38" i="15"/>
  <c r="Y37" i="15"/>
  <c r="Y36" i="15"/>
  <c r="Y35" i="15"/>
  <c r="Y34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P15" i="15"/>
  <c r="P38" i="15"/>
  <c r="Y32" i="15"/>
  <c r="Y30" i="15"/>
  <c r="Y28" i="15"/>
  <c r="Y26" i="15"/>
  <c r="Y24" i="15"/>
  <c r="Y22" i="15"/>
  <c r="Y20" i="15"/>
  <c r="Y18" i="15"/>
  <c r="Y16" i="15"/>
  <c r="P29" i="15"/>
  <c r="P23" i="15"/>
  <c r="P17" i="15"/>
  <c r="P39" i="15"/>
  <c r="P35" i="15"/>
  <c r="P34" i="15"/>
  <c r="P32" i="15"/>
  <c r="P30" i="15"/>
  <c r="P28" i="15"/>
  <c r="P26" i="15"/>
  <c r="P24" i="15"/>
  <c r="P22" i="15"/>
  <c r="P20" i="15"/>
  <c r="P18" i="15"/>
  <c r="P16" i="15"/>
  <c r="P19" i="15"/>
  <c r="P40" i="15"/>
  <c r="P36" i="15"/>
  <c r="Y33" i="15"/>
  <c r="Y31" i="15"/>
  <c r="Y29" i="15"/>
  <c r="Y27" i="15"/>
  <c r="Y25" i="15"/>
  <c r="Y23" i="15"/>
  <c r="Y21" i="15"/>
  <c r="Y19" i="15"/>
  <c r="Y17" i="15"/>
  <c r="P37" i="15"/>
  <c r="P33" i="15"/>
  <c r="P31" i="15"/>
  <c r="P27" i="15"/>
  <c r="P25" i="15"/>
  <c r="P21" i="15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P34" i="16"/>
  <c r="P31" i="16"/>
  <c r="P27" i="16"/>
  <c r="P23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P15" i="16"/>
  <c r="P38" i="16"/>
  <c r="P36" i="16"/>
  <c r="P33" i="16"/>
  <c r="P32" i="16"/>
  <c r="P29" i="16"/>
  <c r="P26" i="16"/>
  <c r="P24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P40" i="16"/>
  <c r="P39" i="16"/>
  <c r="P37" i="16"/>
  <c r="P35" i="16"/>
  <c r="P30" i="16"/>
  <c r="P28" i="16"/>
  <c r="P25" i="16"/>
  <c r="P21" i="16"/>
  <c r="P17" i="16"/>
  <c r="P22" i="16"/>
  <c r="P18" i="16"/>
  <c r="P20" i="16"/>
  <c r="P19" i="16"/>
  <c r="P16" i="16"/>
  <c r="S40" i="17"/>
  <c r="S39" i="17"/>
  <c r="S38" i="17"/>
  <c r="S37" i="17"/>
  <c r="S36" i="17"/>
  <c r="S35" i="17"/>
  <c r="S34" i="17"/>
  <c r="S33" i="17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V23" i="17"/>
  <c r="V22" i="17"/>
  <c r="V21" i="17"/>
  <c r="V20" i="17"/>
  <c r="V19" i="17"/>
  <c r="V18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Y40" i="17"/>
  <c r="Y39" i="17"/>
  <c r="Y38" i="17"/>
  <c r="Y37" i="17"/>
  <c r="Y36" i="17"/>
  <c r="Y35" i="17"/>
  <c r="Y34" i="17"/>
  <c r="Y33" i="17"/>
  <c r="Y32" i="17"/>
  <c r="Y31" i="17"/>
  <c r="Y30" i="17"/>
  <c r="Y29" i="17"/>
  <c r="Y28" i="17"/>
  <c r="Y27" i="17"/>
  <c r="Y26" i="17"/>
  <c r="Y25" i="17"/>
  <c r="Y24" i="17"/>
  <c r="Y23" i="17"/>
  <c r="Y22" i="17"/>
  <c r="Y21" i="17"/>
  <c r="Y20" i="17"/>
  <c r="Y19" i="17"/>
  <c r="Y18" i="17"/>
  <c r="Y17" i="17"/>
  <c r="Y16" i="17"/>
  <c r="P40" i="17"/>
  <c r="P39" i="17"/>
  <c r="P38" i="17"/>
  <c r="P37" i="17"/>
  <c r="P36" i="17"/>
  <c r="P35" i="17"/>
  <c r="P34" i="17"/>
  <c r="P30" i="17"/>
  <c r="P26" i="17"/>
  <c r="P22" i="17"/>
  <c r="V17" i="17"/>
  <c r="P28" i="17"/>
  <c r="P24" i="17"/>
  <c r="P20" i="17"/>
  <c r="V16" i="17"/>
  <c r="P33" i="17"/>
  <c r="P29" i="17"/>
  <c r="P25" i="17"/>
  <c r="P21" i="17"/>
  <c r="P17" i="17"/>
  <c r="P31" i="17"/>
  <c r="P27" i="17"/>
  <c r="P23" i="17"/>
  <c r="P19" i="17"/>
  <c r="P18" i="17"/>
  <c r="P16" i="17"/>
  <c r="P32" i="17"/>
  <c r="P15" i="17"/>
  <c r="S40" i="18"/>
  <c r="S39" i="18"/>
  <c r="S38" i="18"/>
  <c r="S37" i="18"/>
  <c r="S36" i="18"/>
  <c r="S35" i="18"/>
  <c r="S34" i="18"/>
  <c r="S33" i="18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Y31" i="18"/>
  <c r="Y27" i="18"/>
  <c r="Y25" i="18"/>
  <c r="Y22" i="18"/>
  <c r="Y19" i="18"/>
  <c r="Y17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P15" i="18"/>
  <c r="Y40" i="18"/>
  <c r="Y32" i="18"/>
  <c r="Y28" i="18"/>
  <c r="Y24" i="18"/>
  <c r="Y21" i="18"/>
  <c r="Y18" i="18"/>
  <c r="Y16" i="18"/>
  <c r="Y39" i="18"/>
  <c r="Y38" i="18"/>
  <c r="Y37" i="18"/>
  <c r="Y36" i="18"/>
  <c r="Y35" i="18"/>
  <c r="Y34" i="18"/>
  <c r="Y33" i="18"/>
  <c r="Y30" i="18"/>
  <c r="Y29" i="18"/>
  <c r="Y26" i="18"/>
  <c r="Y23" i="18"/>
  <c r="Y20" i="18"/>
  <c r="P40" i="18"/>
  <c r="P36" i="18"/>
  <c r="P32" i="18"/>
  <c r="P28" i="18"/>
  <c r="P24" i="18"/>
  <c r="P20" i="18"/>
  <c r="P16" i="18"/>
  <c r="P35" i="18"/>
  <c r="P27" i="18"/>
  <c r="P19" i="18"/>
  <c r="P37" i="18"/>
  <c r="P33" i="18"/>
  <c r="P29" i="18"/>
  <c r="P25" i="18"/>
  <c r="P21" i="18"/>
  <c r="P17" i="18"/>
  <c r="P23" i="18"/>
  <c r="P38" i="18"/>
  <c r="P34" i="18"/>
  <c r="P30" i="18"/>
  <c r="P26" i="18"/>
  <c r="P22" i="18"/>
  <c r="P18" i="18"/>
  <c r="P39" i="18"/>
  <c r="P31" i="18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P39" i="19"/>
  <c r="P36" i="19"/>
  <c r="P33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P15" i="19"/>
  <c r="P37" i="19"/>
  <c r="P34" i="19"/>
  <c r="P32" i="19"/>
  <c r="P30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P40" i="19"/>
  <c r="P38" i="19"/>
  <c r="P35" i="19"/>
  <c r="P31" i="19"/>
  <c r="P27" i="19"/>
  <c r="P23" i="19"/>
  <c r="P19" i="19"/>
  <c r="P29" i="19"/>
  <c r="P25" i="19"/>
  <c r="P21" i="19"/>
  <c r="P17" i="19"/>
  <c r="P22" i="19"/>
  <c r="P28" i="19"/>
  <c r="P24" i="19"/>
  <c r="P20" i="19"/>
  <c r="P16" i="19"/>
  <c r="P26" i="19"/>
  <c r="P18" i="19"/>
  <c r="Y16" i="20"/>
  <c r="V17" i="20"/>
  <c r="V21" i="20"/>
  <c r="V25" i="20"/>
  <c r="V29" i="20"/>
  <c r="V33" i="20"/>
  <c r="V37" i="20"/>
  <c r="V28" i="20"/>
  <c r="V36" i="20"/>
  <c r="V18" i="20"/>
  <c r="V22" i="20"/>
  <c r="V26" i="20"/>
  <c r="V30" i="20"/>
  <c r="V34" i="20"/>
  <c r="V38" i="20"/>
  <c r="V24" i="20"/>
  <c r="V32" i="20"/>
  <c r="V19" i="20"/>
  <c r="V23" i="20"/>
  <c r="V27" i="20"/>
  <c r="V31" i="20"/>
  <c r="V35" i="20"/>
  <c r="V39" i="20"/>
  <c r="V20" i="20"/>
  <c r="V40" i="20"/>
  <c r="V16" i="20"/>
  <c r="S17" i="20"/>
  <c r="S21" i="20"/>
  <c r="S25" i="20"/>
  <c r="S29" i="20"/>
  <c r="S33" i="20"/>
  <c r="S37" i="20"/>
  <c r="S23" i="20"/>
  <c r="S28" i="20"/>
  <c r="S32" i="20"/>
  <c r="S40" i="20"/>
  <c r="S18" i="20"/>
  <c r="S22" i="20"/>
  <c r="S26" i="20"/>
  <c r="S30" i="20"/>
  <c r="S34" i="20"/>
  <c r="S38" i="20"/>
  <c r="S19" i="20"/>
  <c r="S24" i="20"/>
  <c r="S27" i="20"/>
  <c r="S31" i="20"/>
  <c r="S35" i="20"/>
  <c r="S39" i="20"/>
  <c r="S20" i="20"/>
  <c r="S36" i="20"/>
  <c r="S16" i="20"/>
  <c r="P16" i="20"/>
  <c r="P20" i="20"/>
  <c r="P24" i="20"/>
  <c r="P28" i="20"/>
  <c r="P32" i="20"/>
  <c r="P36" i="20"/>
  <c r="P40" i="20"/>
  <c r="P23" i="20"/>
  <c r="P27" i="20"/>
  <c r="P35" i="20"/>
  <c r="P39" i="20"/>
  <c r="P17" i="20"/>
  <c r="P21" i="20"/>
  <c r="P25" i="20"/>
  <c r="P29" i="20"/>
  <c r="P33" i="20"/>
  <c r="P37" i="20"/>
  <c r="P18" i="20"/>
  <c r="P22" i="20"/>
  <c r="P26" i="20"/>
  <c r="P30" i="20"/>
  <c r="P34" i="20"/>
  <c r="P38" i="20"/>
  <c r="P19" i="20"/>
  <c r="P31" i="20"/>
  <c r="P15" i="20"/>
  <c r="Y39" i="20"/>
  <c r="Y37" i="20"/>
  <c r="Y35" i="20"/>
  <c r="Y38" i="20"/>
  <c r="Y40" i="20"/>
  <c r="Y36" i="20"/>
  <c r="Y34" i="20"/>
  <c r="Y33" i="20"/>
  <c r="Y31" i="20"/>
  <c r="Y29" i="20"/>
  <c r="Y27" i="20"/>
  <c r="Y25" i="20"/>
  <c r="Y24" i="20"/>
  <c r="Y23" i="20"/>
  <c r="Y21" i="20"/>
  <c r="Y19" i="20"/>
  <c r="Y26" i="20"/>
  <c r="BP16" i="20"/>
  <c r="Y30" i="20"/>
  <c r="Y18" i="20"/>
  <c r="BH32" i="20"/>
  <c r="BQ29" i="20"/>
  <c r="AL28" i="20"/>
  <c r="BQ22" i="20"/>
  <c r="AL21" i="20"/>
  <c r="Y20" i="20"/>
  <c r="BP19" i="20"/>
  <c r="Y17" i="20"/>
  <c r="BH39" i="20"/>
  <c r="BP33" i="20"/>
  <c r="Y32" i="20"/>
  <c r="Y28" i="20"/>
  <c r="Y22" i="20"/>
  <c r="BE20" i="20"/>
  <c r="AH16" i="20"/>
  <c r="BQ17" i="20"/>
  <c r="AH17" i="20"/>
  <c r="BE33" i="20"/>
  <c r="BE21" i="20"/>
  <c r="AH19" i="20"/>
  <c r="BP25" i="20"/>
  <c r="BH21" i="20"/>
  <c r="AP16" i="20"/>
  <c r="BP29" i="20"/>
  <c r="AL16" i="20"/>
  <c r="BE16" i="20"/>
  <c r="BH25" i="20"/>
  <c r="BP21" i="20"/>
  <c r="BE17" i="20"/>
  <c r="AP26" i="19"/>
  <c r="AP23" i="19"/>
  <c r="AP21" i="19"/>
  <c r="AP19" i="19"/>
  <c r="AL33" i="19"/>
  <c r="BQ22" i="19"/>
  <c r="AP27" i="19"/>
  <c r="BP21" i="19"/>
  <c r="AP16" i="19"/>
  <c r="AP30" i="19"/>
  <c r="AP18" i="19"/>
  <c r="BP19" i="19"/>
  <c r="AL17" i="19"/>
  <c r="BP16" i="19"/>
  <c r="AL35" i="18"/>
  <c r="AL38" i="18"/>
  <c r="BE20" i="18"/>
  <c r="AH17" i="18"/>
  <c r="AH16" i="18"/>
  <c r="AH20" i="18"/>
  <c r="BE18" i="18"/>
  <c r="AH21" i="18"/>
  <c r="AP30" i="18"/>
  <c r="BQ24" i="18"/>
  <c r="BE16" i="18"/>
  <c r="BE24" i="18"/>
  <c r="AL34" i="17"/>
  <c r="AL39" i="17"/>
  <c r="BP30" i="17"/>
  <c r="BE22" i="17"/>
  <c r="AL17" i="17"/>
  <c r="BH26" i="17"/>
  <c r="BQ24" i="17"/>
  <c r="AL21" i="17"/>
  <c r="BE18" i="17"/>
  <c r="BH17" i="17"/>
  <c r="BE29" i="17"/>
  <c r="AL25" i="17"/>
  <c r="BQ20" i="17"/>
  <c r="BH25" i="17"/>
  <c r="BE18" i="16"/>
  <c r="AH17" i="16"/>
  <c r="BP22" i="16"/>
  <c r="BE21" i="16"/>
  <c r="BE16" i="16"/>
  <c r="BE30" i="16"/>
  <c r="AH26" i="16"/>
  <c r="BE22" i="16"/>
  <c r="BH17" i="16"/>
  <c r="BE17" i="16"/>
  <c r="BP16" i="16"/>
  <c r="AH16" i="16"/>
  <c r="BH22" i="16"/>
  <c r="AP16" i="16"/>
  <c r="AH17" i="15"/>
  <c r="AP17" i="15"/>
  <c r="AH21" i="15"/>
  <c r="AP21" i="15"/>
  <c r="AH25" i="15"/>
  <c r="AP25" i="15"/>
  <c r="AH29" i="15"/>
  <c r="AP29" i="15"/>
  <c r="AH33" i="15"/>
  <c r="AP33" i="15"/>
  <c r="AH37" i="15"/>
  <c r="AP37" i="15"/>
  <c r="AP22" i="15"/>
  <c r="AH26" i="15"/>
  <c r="AH30" i="15"/>
  <c r="AP34" i="15"/>
  <c r="AH38" i="15"/>
  <c r="AH20" i="15"/>
  <c r="AP20" i="15"/>
  <c r="AH24" i="15"/>
  <c r="AP24" i="15"/>
  <c r="AH28" i="15"/>
  <c r="AP28" i="15"/>
  <c r="AH32" i="15"/>
  <c r="AP32" i="15"/>
  <c r="AH36" i="15"/>
  <c r="AP36" i="15"/>
  <c r="AH40" i="15"/>
  <c r="AP40" i="15"/>
  <c r="AH22" i="15"/>
  <c r="AP26" i="15"/>
  <c r="AP38" i="15"/>
  <c r="AH19" i="15"/>
  <c r="AP19" i="15"/>
  <c r="AH23" i="15"/>
  <c r="AP23" i="15"/>
  <c r="AH27" i="15"/>
  <c r="AP27" i="15"/>
  <c r="AH31" i="15"/>
  <c r="AP31" i="15"/>
  <c r="AH35" i="15"/>
  <c r="AP35" i="15"/>
  <c r="AH39" i="15"/>
  <c r="AP39" i="15"/>
  <c r="AH18" i="15"/>
  <c r="AP18" i="15"/>
  <c r="AP30" i="15"/>
  <c r="AH34" i="15"/>
  <c r="AP16" i="15"/>
  <c r="AL16" i="15"/>
  <c r="AH16" i="15"/>
  <c r="BP35" i="15"/>
  <c r="BE25" i="15"/>
  <c r="BP23" i="15"/>
  <c r="BP21" i="15"/>
  <c r="BE27" i="15"/>
  <c r="BE24" i="15"/>
  <c r="BP20" i="15"/>
  <c r="BP31" i="15"/>
  <c r="BE26" i="15"/>
  <c r="BE17" i="15"/>
  <c r="BP16" i="15"/>
  <c r="BH33" i="15"/>
  <c r="BF16" i="22" l="1"/>
  <c r="BF34" i="22"/>
  <c r="AL22" i="22"/>
  <c r="AJ36" i="22"/>
  <c r="AJ40" i="22"/>
  <c r="AC25" i="22"/>
  <c r="AC30" i="22"/>
  <c r="BC16" i="22"/>
  <c r="BC18" i="22"/>
  <c r="BC20" i="22"/>
  <c r="BC22" i="22"/>
  <c r="BC24" i="22"/>
  <c r="BC26" i="22"/>
  <c r="BC17" i="22"/>
  <c r="BC19" i="22"/>
  <c r="BC21" i="22"/>
  <c r="BC23" i="22"/>
  <c r="BC25" i="22"/>
  <c r="BC31" i="22"/>
  <c r="BC38" i="22"/>
  <c r="BC27" i="22"/>
  <c r="BC29" i="22"/>
  <c r="BC28" i="22"/>
  <c r="BC30" i="22"/>
  <c r="BC33" i="22"/>
  <c r="BC36" i="22"/>
  <c r="BC40" i="22"/>
  <c r="BC32" i="22"/>
  <c r="BC34" i="22"/>
  <c r="BC35" i="22"/>
  <c r="BC37" i="22"/>
  <c r="BC39" i="22"/>
  <c r="AF16" i="22"/>
  <c r="BO20" i="22"/>
  <c r="AT20" i="22"/>
  <c r="AQ30" i="22"/>
  <c r="BK40" i="22"/>
  <c r="BK38" i="22"/>
  <c r="BK36" i="22"/>
  <c r="BK39" i="22"/>
  <c r="AT39" i="22"/>
  <c r="BK35" i="22"/>
  <c r="AT35" i="22"/>
  <c r="BK33" i="22"/>
  <c r="BK31" i="22"/>
  <c r="BO37" i="22"/>
  <c r="BK37" i="22"/>
  <c r="AT37" i="22"/>
  <c r="BK34" i="22"/>
  <c r="AT34" i="22"/>
  <c r="BO32" i="22"/>
  <c r="BK32" i="22"/>
  <c r="AT32" i="22"/>
  <c r="BK29" i="22"/>
  <c r="BK27" i="22"/>
  <c r="AN40" i="22"/>
  <c r="BO39" i="22"/>
  <c r="AO27" i="22"/>
  <c r="AN36" i="22"/>
  <c r="BO35" i="22"/>
  <c r="BK28" i="22"/>
  <c r="BK26" i="22"/>
  <c r="AO30" i="22"/>
  <c r="BK24" i="22"/>
  <c r="BK22" i="22"/>
  <c r="BK20" i="22"/>
  <c r="BK18" i="22"/>
  <c r="BK16" i="22"/>
  <c r="AO32" i="22"/>
  <c r="AN31" i="22"/>
  <c r="BO25" i="22"/>
  <c r="BK25" i="22"/>
  <c r="AT25" i="22"/>
  <c r="BK23" i="22"/>
  <c r="BK21" i="22"/>
  <c r="BK19" i="22"/>
  <c r="BK17" i="22"/>
  <c r="M16" i="22"/>
  <c r="BN16" i="22" s="1"/>
  <c r="AK16" i="22"/>
  <c r="AQ16" i="22"/>
  <c r="BM16" i="22"/>
  <c r="BI17" i="22"/>
  <c r="BO17" i="22"/>
  <c r="AK17" i="22"/>
  <c r="BG18" i="22"/>
  <c r="BF18" i="22"/>
  <c r="BI18" i="22"/>
  <c r="AJ18" i="22"/>
  <c r="BO18" i="22"/>
  <c r="AT18" i="22"/>
  <c r="AM18" i="22"/>
  <c r="AN19" i="22"/>
  <c r="AO19" i="22"/>
  <c r="AL20" i="22"/>
  <c r="AQ20" i="22"/>
  <c r="AQ21" i="22"/>
  <c r="BJ21" i="22"/>
  <c r="AC22" i="22"/>
  <c r="BI25" i="22"/>
  <c r="AK25" i="22"/>
  <c r="BI26" i="22"/>
  <c r="AJ26" i="22"/>
  <c r="BG26" i="22"/>
  <c r="BL26" i="22"/>
  <c r="AI26" i="22"/>
  <c r="BO26" i="22"/>
  <c r="AT26" i="22"/>
  <c r="AM27" i="22"/>
  <c r="AO28" i="22"/>
  <c r="AC32" i="22"/>
  <c r="BL16" i="22"/>
  <c r="BI19" i="22"/>
  <c r="BG20" i="22"/>
  <c r="BF20" i="22"/>
  <c r="BI20" i="22"/>
  <c r="AJ20" i="22"/>
  <c r="BM39" i="22"/>
  <c r="BM37" i="22"/>
  <c r="BM35" i="22"/>
  <c r="BM34" i="22"/>
  <c r="BM32" i="22"/>
  <c r="BM30" i="22"/>
  <c r="BM40" i="22"/>
  <c r="BM36" i="22"/>
  <c r="BM33" i="22"/>
  <c r="BM28" i="22"/>
  <c r="BM26" i="22"/>
  <c r="BJ34" i="22"/>
  <c r="BJ32" i="22"/>
  <c r="AQ33" i="22"/>
  <c r="AQ31" i="22"/>
  <c r="BM29" i="22"/>
  <c r="BM27" i="22"/>
  <c r="AQ26" i="22"/>
  <c r="BM25" i="22"/>
  <c r="BM23" i="22"/>
  <c r="BM21" i="22"/>
  <c r="BM19" i="22"/>
  <c r="BM17" i="22"/>
  <c r="BM38" i="22"/>
  <c r="BM31" i="22"/>
  <c r="BJ28" i="22"/>
  <c r="BM24" i="22"/>
  <c r="BM22" i="22"/>
  <c r="BM20" i="22"/>
  <c r="BM18" i="22"/>
  <c r="M15" i="22"/>
  <c r="AD16" i="22"/>
  <c r="AE16" i="22" s="1"/>
  <c r="AM16" i="22"/>
  <c r="BI16" i="22"/>
  <c r="AN17" i="22"/>
  <c r="AO17" i="22"/>
  <c r="AL18" i="22"/>
  <c r="AQ18" i="22"/>
  <c r="AQ19" i="22"/>
  <c r="BJ19" i="22"/>
  <c r="AC20" i="22"/>
  <c r="BL20" i="22"/>
  <c r="BI23" i="22"/>
  <c r="BO23" i="22"/>
  <c r="AK23" i="22"/>
  <c r="BG24" i="22"/>
  <c r="BF24" i="22"/>
  <c r="BI24" i="22"/>
  <c r="AJ24" i="22"/>
  <c r="BO24" i="22"/>
  <c r="AT24" i="22"/>
  <c r="AM24" i="22"/>
  <c r="AN25" i="22"/>
  <c r="AO25" i="22"/>
  <c r="AC27" i="22"/>
  <c r="AQ27" i="22"/>
  <c r="AK39" i="22"/>
  <c r="AK37" i="22"/>
  <c r="AK35" i="22"/>
  <c r="AK40" i="22"/>
  <c r="AK38" i="22"/>
  <c r="AK36" i="22"/>
  <c r="BI38" i="22"/>
  <c r="AK33" i="22"/>
  <c r="AK31" i="22"/>
  <c r="BI40" i="22"/>
  <c r="BI36" i="22"/>
  <c r="AK34" i="22"/>
  <c r="AK32" i="22"/>
  <c r="AK29" i="22"/>
  <c r="AK27" i="22"/>
  <c r="AK28" i="22"/>
  <c r="AK30" i="22"/>
  <c r="AK26" i="22"/>
  <c r="AK24" i="22"/>
  <c r="AK22" i="22"/>
  <c r="AK20" i="22"/>
  <c r="AK18" i="22"/>
  <c r="AK19" i="22"/>
  <c r="AQ23" i="22"/>
  <c r="AM26" i="22"/>
  <c r="M39" i="22"/>
  <c r="M37" i="22"/>
  <c r="BN37" i="22" s="1"/>
  <c r="M35" i="22"/>
  <c r="N40" i="22"/>
  <c r="N38" i="22"/>
  <c r="O38" i="22" s="1"/>
  <c r="N36" i="22"/>
  <c r="M40" i="22"/>
  <c r="M38" i="22"/>
  <c r="M36" i="22"/>
  <c r="N39" i="22"/>
  <c r="N35" i="22"/>
  <c r="O35" i="22" s="1"/>
  <c r="N33" i="22"/>
  <c r="N31" i="22"/>
  <c r="O31" i="22" s="1"/>
  <c r="M33" i="22"/>
  <c r="M31" i="22"/>
  <c r="N37" i="22"/>
  <c r="N34" i="22"/>
  <c r="N32" i="22"/>
  <c r="N29" i="22"/>
  <c r="N27" i="22"/>
  <c r="M29" i="22"/>
  <c r="AS29" i="22" s="1"/>
  <c r="M34" i="22"/>
  <c r="N30" i="22"/>
  <c r="O30" i="22" s="1"/>
  <c r="N28" i="22"/>
  <c r="M32" i="22"/>
  <c r="N26" i="22"/>
  <c r="N24" i="22"/>
  <c r="N22" i="22"/>
  <c r="N20" i="22"/>
  <c r="N18" i="22"/>
  <c r="O18" i="22" s="1"/>
  <c r="M26" i="22"/>
  <c r="M24" i="22"/>
  <c r="M22" i="22"/>
  <c r="AS22" i="22" s="1"/>
  <c r="M20" i="22"/>
  <c r="M18" i="22"/>
  <c r="M28" i="22"/>
  <c r="AS28" i="22" s="1"/>
  <c r="N25" i="22"/>
  <c r="N23" i="22"/>
  <c r="AS23" i="22" s="1"/>
  <c r="N21" i="22"/>
  <c r="N19" i="22"/>
  <c r="N17" i="22"/>
  <c r="AB39" i="22"/>
  <c r="AB37" i="22"/>
  <c r="AB35" i="22"/>
  <c r="AB38" i="22"/>
  <c r="AB34" i="22"/>
  <c r="AB32" i="22"/>
  <c r="AF32" i="22" s="1"/>
  <c r="AB40" i="22"/>
  <c r="AB36" i="22"/>
  <c r="AB33" i="22"/>
  <c r="AB30" i="22"/>
  <c r="AB28" i="22"/>
  <c r="AF28" i="22" s="1"/>
  <c r="AB26" i="22"/>
  <c r="AF26" i="22" s="1"/>
  <c r="AB31" i="22"/>
  <c r="AB29" i="22"/>
  <c r="AD28" i="22"/>
  <c r="AE28" i="22" s="1"/>
  <c r="AB27" i="22"/>
  <c r="AF27" i="22" s="1"/>
  <c r="AB25" i="22"/>
  <c r="AF25" i="22" s="1"/>
  <c r="AB23" i="22"/>
  <c r="AF23" i="22" s="1"/>
  <c r="AB21" i="22"/>
  <c r="AF21" i="22" s="1"/>
  <c r="AB19" i="22"/>
  <c r="AF19" i="22" s="1"/>
  <c r="AB17" i="22"/>
  <c r="AF17" i="22" s="1"/>
  <c r="AB24" i="22"/>
  <c r="AF24" i="22" s="1"/>
  <c r="AB22" i="22"/>
  <c r="AF22" i="22" s="1"/>
  <c r="AD21" i="22"/>
  <c r="AE21" i="22" s="1"/>
  <c r="AB20" i="22"/>
  <c r="AB18" i="22"/>
  <c r="N15" i="22"/>
  <c r="BO16" i="22"/>
  <c r="AT16" i="22"/>
  <c r="AI16" i="22"/>
  <c r="AN16" i="22"/>
  <c r="BJ16" i="22"/>
  <c r="AQ17" i="22"/>
  <c r="M17" i="22"/>
  <c r="BJ17" i="22"/>
  <c r="AC18" i="22"/>
  <c r="AD18" i="22" s="1"/>
  <c r="AE18" i="22" s="1"/>
  <c r="BL18" i="22"/>
  <c r="AI20" i="22"/>
  <c r="BI21" i="22"/>
  <c r="BO21" i="22"/>
  <c r="AK21" i="22"/>
  <c r="BG22" i="22"/>
  <c r="BF22" i="22"/>
  <c r="BI22" i="22"/>
  <c r="AJ22" i="22"/>
  <c r="BO22" i="22"/>
  <c r="AT22" i="22"/>
  <c r="AM22" i="22"/>
  <c r="AN23" i="22"/>
  <c r="AO23" i="22"/>
  <c r="AQ24" i="22"/>
  <c r="AQ25" i="22"/>
  <c r="M25" i="22"/>
  <c r="BJ25" i="22"/>
  <c r="BF26" i="22"/>
  <c r="AN28" i="22"/>
  <c r="AT17" i="22"/>
  <c r="BG17" i="22"/>
  <c r="AN18" i="22"/>
  <c r="AL19" i="22"/>
  <c r="AT19" i="22"/>
  <c r="BG19" i="22"/>
  <c r="AN20" i="22"/>
  <c r="AL21" i="22"/>
  <c r="AT21" i="22"/>
  <c r="BG21" i="22"/>
  <c r="AN22" i="22"/>
  <c r="AL23" i="22"/>
  <c r="AT23" i="22"/>
  <c r="BG23" i="22"/>
  <c r="AN24" i="22"/>
  <c r="BG25" i="22"/>
  <c r="AN26" i="22"/>
  <c r="AO26" i="22"/>
  <c r="AQ28" i="22"/>
  <c r="AC29" i="22"/>
  <c r="BL29" i="22"/>
  <c r="BG33" i="22"/>
  <c r="BF33" i="22"/>
  <c r="BI33" i="22"/>
  <c r="AJ33" i="22"/>
  <c r="AI33" i="22"/>
  <c r="BL33" i="22"/>
  <c r="BO33" i="22"/>
  <c r="AT33" i="22"/>
  <c r="AI17" i="22"/>
  <c r="AM17" i="22"/>
  <c r="BL17" i="22"/>
  <c r="AO18" i="22"/>
  <c r="BJ18" i="22"/>
  <c r="AI19" i="22"/>
  <c r="AM19" i="22"/>
  <c r="BL19" i="22"/>
  <c r="AO20" i="22"/>
  <c r="BJ20" i="22"/>
  <c r="AI21" i="22"/>
  <c r="AM21" i="22"/>
  <c r="BL21" i="22"/>
  <c r="AO22" i="22"/>
  <c r="BJ22" i="22"/>
  <c r="AI23" i="22"/>
  <c r="AM23" i="22"/>
  <c r="BL23" i="22"/>
  <c r="AO24" i="22"/>
  <c r="AS24" i="22"/>
  <c r="BJ24" i="22"/>
  <c r="AI25" i="22"/>
  <c r="AM25" i="22"/>
  <c r="BL25" i="22"/>
  <c r="BJ26" i="22"/>
  <c r="BG27" i="22"/>
  <c r="BF27" i="22"/>
  <c r="BI27" i="22"/>
  <c r="AJ27" i="22"/>
  <c r="BO27" i="22"/>
  <c r="AT27" i="22"/>
  <c r="BL27" i="22"/>
  <c r="BO30" i="22"/>
  <c r="AJ17" i="22"/>
  <c r="AJ19" i="22"/>
  <c r="AJ21" i="22"/>
  <c r="AJ23" i="22"/>
  <c r="AJ25" i="22"/>
  <c r="BI28" i="22"/>
  <c r="BO28" i="22"/>
  <c r="BG29" i="22"/>
  <c r="BF29" i="22"/>
  <c r="BI29" i="22"/>
  <c r="AJ29" i="22"/>
  <c r="BO29" i="22"/>
  <c r="AT29" i="22"/>
  <c r="AM29" i="22"/>
  <c r="BJ30" i="22"/>
  <c r="AQ32" i="22"/>
  <c r="AC34" i="22"/>
  <c r="AC38" i="22"/>
  <c r="AQ38" i="22"/>
  <c r="AN27" i="22"/>
  <c r="AT28" i="22"/>
  <c r="BG28" i="22"/>
  <c r="AN29" i="22"/>
  <c r="AT30" i="22"/>
  <c r="BG30" i="22"/>
  <c r="BG31" i="22"/>
  <c r="BF31" i="22"/>
  <c r="BO31" i="22"/>
  <c r="AT31" i="22"/>
  <c r="AI31" i="22"/>
  <c r="AQ34" i="22"/>
  <c r="BO36" i="22"/>
  <c r="BJ27" i="22"/>
  <c r="AI28" i="22"/>
  <c r="AM28" i="22"/>
  <c r="BL28" i="22"/>
  <c r="AO29" i="22"/>
  <c r="BJ29" i="22"/>
  <c r="BI30" i="22"/>
  <c r="AI30" i="22"/>
  <c r="AM30" i="22"/>
  <c r="BN30" i="22"/>
  <c r="BJ31" i="22"/>
  <c r="AO31" i="22"/>
  <c r="AJ31" i="22"/>
  <c r="BI31" i="22"/>
  <c r="BI32" i="22"/>
  <c r="AC33" i="22"/>
  <c r="BN35" i="22"/>
  <c r="AS35" i="22"/>
  <c r="BO40" i="22"/>
  <c r="AJ28" i="22"/>
  <c r="AJ30" i="22"/>
  <c r="AN30" i="22"/>
  <c r="AC31" i="22"/>
  <c r="AM31" i="22"/>
  <c r="BL31" i="22"/>
  <c r="AN32" i="22"/>
  <c r="BN33" i="22"/>
  <c r="BI34" i="22"/>
  <c r="BJ37" i="22"/>
  <c r="AN38" i="22"/>
  <c r="AN33" i="22"/>
  <c r="BJ36" i="22"/>
  <c r="AO36" i="22"/>
  <c r="AC37" i="22"/>
  <c r="AQ37" i="22"/>
  <c r="BJ40" i="22"/>
  <c r="AO40" i="22"/>
  <c r="AS31" i="22"/>
  <c r="AI32" i="22"/>
  <c r="AM32" i="22"/>
  <c r="BL32" i="22"/>
  <c r="AO33" i="22"/>
  <c r="AS33" i="22"/>
  <c r="BJ33" i="22"/>
  <c r="BO34" i="22"/>
  <c r="AI34" i="22"/>
  <c r="AM34" i="22"/>
  <c r="BL34" i="22"/>
  <c r="BJ35" i="22"/>
  <c r="AC36" i="22"/>
  <c r="AQ36" i="22"/>
  <c r="BL38" i="22"/>
  <c r="BO38" i="22"/>
  <c r="BJ39" i="22"/>
  <c r="AC40" i="22"/>
  <c r="AD40" i="22" s="1"/>
  <c r="AE40" i="22" s="1"/>
  <c r="AQ40" i="22"/>
  <c r="AJ32" i="22"/>
  <c r="AJ34" i="22"/>
  <c r="AN34" i="22"/>
  <c r="AC35" i="22"/>
  <c r="AD35" i="22" s="1"/>
  <c r="AE35" i="22" s="1"/>
  <c r="AQ35" i="22"/>
  <c r="BJ38" i="22"/>
  <c r="AO38" i="22"/>
  <c r="AC39" i="22"/>
  <c r="AQ39" i="22"/>
  <c r="BN40" i="22"/>
  <c r="AI35" i="22"/>
  <c r="AM35" i="22"/>
  <c r="BL35" i="22"/>
  <c r="BF36" i="22"/>
  <c r="AI37" i="22"/>
  <c r="AM37" i="22"/>
  <c r="BL37" i="22"/>
  <c r="BF38" i="22"/>
  <c r="AI39" i="22"/>
  <c r="AM39" i="22"/>
  <c r="BL39" i="22"/>
  <c r="AS40" i="22"/>
  <c r="BF40" i="22"/>
  <c r="AJ35" i="22"/>
  <c r="AN35" i="22"/>
  <c r="BI35" i="22"/>
  <c r="AT36" i="22"/>
  <c r="BG36" i="22"/>
  <c r="AJ37" i="22"/>
  <c r="AN37" i="22"/>
  <c r="BI37" i="22"/>
  <c r="AT38" i="22"/>
  <c r="BG38" i="22"/>
  <c r="AJ39" i="22"/>
  <c r="AN39" i="22"/>
  <c r="BI39" i="22"/>
  <c r="AT40" i="22"/>
  <c r="BG40" i="22"/>
  <c r="AO35" i="22"/>
  <c r="AI36" i="22"/>
  <c r="AM36" i="22"/>
  <c r="AO37" i="22"/>
  <c r="AI38" i="22"/>
  <c r="AM38" i="22"/>
  <c r="AO39" i="22"/>
  <c r="AI40" i="22"/>
  <c r="AM40" i="22"/>
  <c r="B15" i="21"/>
  <c r="BL18" i="21"/>
  <c r="BG21" i="21"/>
  <c r="BF25" i="21"/>
  <c r="BF26" i="21"/>
  <c r="BL35" i="21"/>
  <c r="AI37" i="21"/>
  <c r="AJ18" i="21"/>
  <c r="BG23" i="21"/>
  <c r="BG17" i="21"/>
  <c r="AJ22" i="21"/>
  <c r="AJ26" i="21"/>
  <c r="BL30" i="21"/>
  <c r="AC16" i="21"/>
  <c r="AB16" i="21"/>
  <c r="AC21" i="21"/>
  <c r="AB20" i="21"/>
  <c r="AC29" i="21"/>
  <c r="AC25" i="21"/>
  <c r="AC17" i="21"/>
  <c r="AC26" i="21"/>
  <c r="BC20" i="21"/>
  <c r="BC24" i="21"/>
  <c r="BC16" i="21"/>
  <c r="BC26" i="21"/>
  <c r="BC18" i="21"/>
  <c r="BC22" i="21"/>
  <c r="BC17" i="21"/>
  <c r="BC19" i="21"/>
  <c r="BC21" i="21"/>
  <c r="BC23" i="21"/>
  <c r="BC25" i="21"/>
  <c r="BC28" i="21"/>
  <c r="BC30" i="21"/>
  <c r="BC27" i="21"/>
  <c r="BC29" i="21"/>
  <c r="BC32" i="21"/>
  <c r="BC34" i="21"/>
  <c r="BC31" i="21"/>
  <c r="BC33" i="21"/>
  <c r="BC35" i="21"/>
  <c r="BC37" i="21"/>
  <c r="BC39" i="21"/>
  <c r="BC36" i="21"/>
  <c r="BC38" i="21"/>
  <c r="BC40" i="21"/>
  <c r="AF16" i="21"/>
  <c r="AL20" i="21"/>
  <c r="BJ20" i="21"/>
  <c r="AO20" i="21"/>
  <c r="BJ24" i="21"/>
  <c r="AO24" i="21"/>
  <c r="AK31" i="21"/>
  <c r="BK39" i="21"/>
  <c r="BK37" i="21"/>
  <c r="BK35" i="21"/>
  <c r="BK40" i="21"/>
  <c r="BK38" i="21"/>
  <c r="BK36" i="21"/>
  <c r="AO36" i="21"/>
  <c r="BK32" i="21"/>
  <c r="AO38" i="21"/>
  <c r="BK34" i="21"/>
  <c r="AO40" i="21"/>
  <c r="BK33" i="21"/>
  <c r="AT33" i="21"/>
  <c r="BK31" i="21"/>
  <c r="BK30" i="21"/>
  <c r="BK28" i="21"/>
  <c r="BK26" i="21"/>
  <c r="AO31" i="21"/>
  <c r="BK29" i="21"/>
  <c r="BK27" i="21"/>
  <c r="AO29" i="21"/>
  <c r="AO33" i="21"/>
  <c r="BK24" i="21"/>
  <c r="BK22" i="21"/>
  <c r="BK20" i="21"/>
  <c r="BK18" i="21"/>
  <c r="BK16" i="21"/>
  <c r="M16" i="21"/>
  <c r="AI16" i="21"/>
  <c r="AN16" i="21"/>
  <c r="BO17" i="21"/>
  <c r="BO18" i="21"/>
  <c r="AN18" i="21"/>
  <c r="BJ19" i="21"/>
  <c r="AC20" i="21"/>
  <c r="AF20" i="21" s="1"/>
  <c r="AQ20" i="21"/>
  <c r="BM20" i="21"/>
  <c r="BO21" i="21"/>
  <c r="BO22" i="21"/>
  <c r="AN22" i="21"/>
  <c r="BJ23" i="21"/>
  <c r="AC24" i="21"/>
  <c r="AF24" i="21" s="1"/>
  <c r="BM24" i="21"/>
  <c r="BK25" i="21"/>
  <c r="AC27" i="21"/>
  <c r="AQ29" i="21"/>
  <c r="M29" i="21"/>
  <c r="AM32" i="21"/>
  <c r="BJ16" i="21"/>
  <c r="BM40" i="21"/>
  <c r="BM38" i="21"/>
  <c r="BM36" i="21"/>
  <c r="BM34" i="21"/>
  <c r="BM39" i="21"/>
  <c r="BM37" i="21"/>
  <c r="BM35" i="21"/>
  <c r="BJ38" i="21"/>
  <c r="AQ37" i="21"/>
  <c r="BM33" i="21"/>
  <c r="BM31" i="21"/>
  <c r="BJ40" i="21"/>
  <c r="AQ39" i="21"/>
  <c r="BM32" i="21"/>
  <c r="BM29" i="21"/>
  <c r="BM27" i="21"/>
  <c r="BJ31" i="21"/>
  <c r="BJ36" i="21"/>
  <c r="AQ35" i="21"/>
  <c r="BJ33" i="21"/>
  <c r="AQ32" i="21"/>
  <c r="BM30" i="21"/>
  <c r="BM28" i="21"/>
  <c r="BM26" i="21"/>
  <c r="AQ30" i="21"/>
  <c r="AQ26" i="21"/>
  <c r="AQ24" i="21"/>
  <c r="AQ34" i="21"/>
  <c r="BM25" i="21"/>
  <c r="BM23" i="21"/>
  <c r="BM21" i="21"/>
  <c r="BM19" i="21"/>
  <c r="BM17" i="21"/>
  <c r="BJ27" i="21"/>
  <c r="M15" i="21"/>
  <c r="N16" i="21"/>
  <c r="O16" i="21" s="1"/>
  <c r="AJ16" i="21"/>
  <c r="AO16" i="21"/>
  <c r="AL18" i="21"/>
  <c r="BJ18" i="21"/>
  <c r="AO18" i="21"/>
  <c r="AB18" i="21"/>
  <c r="BI18" i="21"/>
  <c r="AC19" i="21"/>
  <c r="AQ19" i="21"/>
  <c r="N19" i="21"/>
  <c r="AT19" i="21"/>
  <c r="BK19" i="21"/>
  <c r="AL22" i="21"/>
  <c r="BJ22" i="21"/>
  <c r="AO22" i="21"/>
  <c r="AB22" i="21"/>
  <c r="BI22" i="21"/>
  <c r="AC23" i="21"/>
  <c r="AQ23" i="21"/>
  <c r="AT23" i="21"/>
  <c r="BK23" i="21"/>
  <c r="BI25" i="21"/>
  <c r="BO25" i="21"/>
  <c r="AT26" i="21"/>
  <c r="AO27" i="21"/>
  <c r="AQ28" i="21"/>
  <c r="AC36" i="21"/>
  <c r="AK39" i="21"/>
  <c r="AK37" i="21"/>
  <c r="AK35" i="21"/>
  <c r="AK36" i="21"/>
  <c r="AK34" i="21"/>
  <c r="AK32" i="21"/>
  <c r="AK38" i="21"/>
  <c r="AK33" i="21"/>
  <c r="AK30" i="21"/>
  <c r="AK28" i="21"/>
  <c r="AK40" i="21"/>
  <c r="AK27" i="21"/>
  <c r="AK25" i="21"/>
  <c r="AK23" i="21"/>
  <c r="AK21" i="21"/>
  <c r="AK19" i="21"/>
  <c r="AK17" i="21"/>
  <c r="AK29" i="21"/>
  <c r="AK26" i="21"/>
  <c r="AK24" i="21"/>
  <c r="AK22" i="21"/>
  <c r="AK20" i="21"/>
  <c r="AK18" i="21"/>
  <c r="AM16" i="21"/>
  <c r="BI20" i="21"/>
  <c r="BI24" i="21"/>
  <c r="N39" i="21"/>
  <c r="N37" i="21"/>
  <c r="N35" i="21"/>
  <c r="O35" i="21" s="1"/>
  <c r="M39" i="21"/>
  <c r="BN39" i="21" s="1"/>
  <c r="M37" i="21"/>
  <c r="M35" i="21"/>
  <c r="N40" i="21"/>
  <c r="N38" i="21"/>
  <c r="N36" i="21"/>
  <c r="M38" i="21"/>
  <c r="N34" i="21"/>
  <c r="N32" i="21"/>
  <c r="AS32" i="21" s="1"/>
  <c r="M40" i="21"/>
  <c r="M34" i="21"/>
  <c r="M32" i="21"/>
  <c r="N33" i="21"/>
  <c r="N31" i="21"/>
  <c r="N30" i="21"/>
  <c r="N28" i="21"/>
  <c r="M31" i="21"/>
  <c r="AS31" i="21" s="1"/>
  <c r="M30" i="21"/>
  <c r="M28" i="21"/>
  <c r="M36" i="21"/>
  <c r="AS36" i="21" s="1"/>
  <c r="M33" i="21"/>
  <c r="AS33" i="21" s="1"/>
  <c r="N29" i="21"/>
  <c r="N27" i="21"/>
  <c r="M25" i="21"/>
  <c r="BN25" i="21" s="1"/>
  <c r="M23" i="21"/>
  <c r="O23" i="21" s="1"/>
  <c r="M21" i="21"/>
  <c r="BN21" i="21" s="1"/>
  <c r="M19" i="21"/>
  <c r="M17" i="21"/>
  <c r="AS17" i="21" s="1"/>
  <c r="N26" i="21"/>
  <c r="AS26" i="21" s="1"/>
  <c r="N24" i="21"/>
  <c r="N22" i="21"/>
  <c r="N20" i="21"/>
  <c r="O20" i="21" s="1"/>
  <c r="N18" i="21"/>
  <c r="AS18" i="21" s="1"/>
  <c r="M27" i="21"/>
  <c r="AS27" i="21" s="1"/>
  <c r="M26" i="21"/>
  <c r="M24" i="21"/>
  <c r="M22" i="21"/>
  <c r="AS22" i="21" s="1"/>
  <c r="M20" i="21"/>
  <c r="M18" i="21"/>
  <c r="AB40" i="21"/>
  <c r="AB38" i="21"/>
  <c r="AB36" i="21"/>
  <c r="AF36" i="21" s="1"/>
  <c r="AB39" i="21"/>
  <c r="AB37" i="21"/>
  <c r="AB35" i="21"/>
  <c r="AB33" i="21"/>
  <c r="AB31" i="21"/>
  <c r="AB34" i="21"/>
  <c r="AB32" i="21"/>
  <c r="AB29" i="21"/>
  <c r="AF29" i="21" s="1"/>
  <c r="AB27" i="21"/>
  <c r="AF27" i="21" s="1"/>
  <c r="AB30" i="21"/>
  <c r="AB28" i="21"/>
  <c r="AD27" i="21"/>
  <c r="AE27" i="21" s="1"/>
  <c r="AB25" i="21"/>
  <c r="AB23" i="21"/>
  <c r="AF23" i="21" s="1"/>
  <c r="AB21" i="21"/>
  <c r="AD20" i="21"/>
  <c r="AE20" i="21" s="1"/>
  <c r="AB19" i="21"/>
  <c r="AF19" i="21" s="1"/>
  <c r="AB17" i="21"/>
  <c r="AD16" i="21"/>
  <c r="AE16" i="21" s="1"/>
  <c r="N15" i="21"/>
  <c r="O15" i="21" s="1"/>
  <c r="BG16" i="21"/>
  <c r="BF16" i="21"/>
  <c r="BO16" i="21"/>
  <c r="AT16" i="21"/>
  <c r="AK16" i="21"/>
  <c r="AQ16" i="21"/>
  <c r="BL16" i="21"/>
  <c r="BJ17" i="21"/>
  <c r="AC18" i="21"/>
  <c r="AD18" i="21" s="1"/>
  <c r="AE18" i="21" s="1"/>
  <c r="AQ18" i="21"/>
  <c r="BM18" i="21"/>
  <c r="BN19" i="21"/>
  <c r="AS19" i="21"/>
  <c r="BO19" i="21"/>
  <c r="BL20" i="21"/>
  <c r="BO20" i="21"/>
  <c r="AN20" i="21"/>
  <c r="BJ21" i="21"/>
  <c r="AC22" i="21"/>
  <c r="AD22" i="21" s="1"/>
  <c r="AE22" i="21" s="1"/>
  <c r="AQ22" i="21"/>
  <c r="BM22" i="21"/>
  <c r="BN23" i="21"/>
  <c r="BO23" i="21"/>
  <c r="BL24" i="21"/>
  <c r="BO24" i="21"/>
  <c r="AN24" i="21"/>
  <c r="BJ25" i="21"/>
  <c r="BJ26" i="21"/>
  <c r="AO26" i="21"/>
  <c r="AB26" i="21"/>
  <c r="AF26" i="21" s="1"/>
  <c r="BL26" i="21"/>
  <c r="AC30" i="21"/>
  <c r="AN33" i="21"/>
  <c r="AI17" i="21"/>
  <c r="AM17" i="21"/>
  <c r="BL17" i="21"/>
  <c r="BF18" i="21"/>
  <c r="AI19" i="21"/>
  <c r="AM19" i="21"/>
  <c r="BL19" i="21"/>
  <c r="BF20" i="21"/>
  <c r="AI21" i="21"/>
  <c r="AM21" i="21"/>
  <c r="BL21" i="21"/>
  <c r="BF22" i="21"/>
  <c r="AI23" i="21"/>
  <c r="AM23" i="21"/>
  <c r="BL23" i="21"/>
  <c r="AS24" i="21"/>
  <c r="BF24" i="21"/>
  <c r="AI25" i="21"/>
  <c r="AM25" i="21"/>
  <c r="BL25" i="21"/>
  <c r="AQ27" i="21"/>
  <c r="AC28" i="21"/>
  <c r="BL28" i="21"/>
  <c r="AS30" i="21"/>
  <c r="BI31" i="21"/>
  <c r="BO31" i="21"/>
  <c r="AC33" i="21"/>
  <c r="AD33" i="21" s="1"/>
  <c r="AE33" i="21" s="1"/>
  <c r="AJ17" i="21"/>
  <c r="AN17" i="21"/>
  <c r="BI17" i="21"/>
  <c r="AT18" i="21"/>
  <c r="BG18" i="21"/>
  <c r="AJ19" i="21"/>
  <c r="AN19" i="21"/>
  <c r="BI19" i="21"/>
  <c r="AT20" i="21"/>
  <c r="BG20" i="21"/>
  <c r="AJ21" i="21"/>
  <c r="AN21" i="21"/>
  <c r="BI21" i="21"/>
  <c r="AT22" i="21"/>
  <c r="BG22" i="21"/>
  <c r="AJ23" i="21"/>
  <c r="AN23" i="21"/>
  <c r="BI23" i="21"/>
  <c r="AT24" i="21"/>
  <c r="BG24" i="21"/>
  <c r="AJ25" i="21"/>
  <c r="AN25" i="21"/>
  <c r="BI26" i="21"/>
  <c r="BN28" i="21"/>
  <c r="BI29" i="21"/>
  <c r="BO29" i="21"/>
  <c r="BG30" i="21"/>
  <c r="BF30" i="21"/>
  <c r="BI30" i="21"/>
  <c r="AJ30" i="21"/>
  <c r="AT30" i="21"/>
  <c r="BO30" i="21"/>
  <c r="AM30" i="21"/>
  <c r="AC40" i="21"/>
  <c r="AO17" i="21"/>
  <c r="AI18" i="21"/>
  <c r="AM18" i="21"/>
  <c r="AO19" i="21"/>
  <c r="AI20" i="21"/>
  <c r="AM20" i="21"/>
  <c r="AO21" i="21"/>
  <c r="AI22" i="21"/>
  <c r="AM22" i="21"/>
  <c r="AO23" i="21"/>
  <c r="AI24" i="21"/>
  <c r="AM24" i="21"/>
  <c r="AO25" i="21"/>
  <c r="BO26" i="21"/>
  <c r="AI26" i="21"/>
  <c r="AM26" i="21"/>
  <c r="BI27" i="21"/>
  <c r="BO27" i="21"/>
  <c r="BG28" i="21"/>
  <c r="BF28" i="21"/>
  <c r="BI28" i="21"/>
  <c r="AJ28" i="21"/>
  <c r="BO28" i="21"/>
  <c r="AT28" i="21"/>
  <c r="AM28" i="21"/>
  <c r="AN29" i="21"/>
  <c r="AC31" i="21"/>
  <c r="AD31" i="21" s="1"/>
  <c r="AE31" i="21" s="1"/>
  <c r="BG32" i="21"/>
  <c r="BF32" i="21"/>
  <c r="BI32" i="21"/>
  <c r="AJ32" i="21"/>
  <c r="AI32" i="21"/>
  <c r="BL32" i="21"/>
  <c r="BO32" i="21"/>
  <c r="AT32" i="21"/>
  <c r="AT27" i="21"/>
  <c r="BG27" i="21"/>
  <c r="AN28" i="21"/>
  <c r="AT29" i="21"/>
  <c r="BG29" i="21"/>
  <c r="AN30" i="21"/>
  <c r="AN31" i="21"/>
  <c r="AL32" i="21"/>
  <c r="AQ33" i="21"/>
  <c r="AC34" i="21"/>
  <c r="AQ36" i="21"/>
  <c r="AC38" i="21"/>
  <c r="AI27" i="21"/>
  <c r="AM27" i="21"/>
  <c r="BL27" i="21"/>
  <c r="AO28" i="21"/>
  <c r="AS28" i="21"/>
  <c r="BJ28" i="21"/>
  <c r="AI29" i="21"/>
  <c r="AM29" i="21"/>
  <c r="BL29" i="21"/>
  <c r="AO30" i="21"/>
  <c r="BJ30" i="21"/>
  <c r="AQ31" i="21"/>
  <c r="AC32" i="21"/>
  <c r="AS34" i="21"/>
  <c r="BI40" i="21"/>
  <c r="BO40" i="21"/>
  <c r="AJ27" i="21"/>
  <c r="AJ29" i="21"/>
  <c r="BN30" i="21"/>
  <c r="BN32" i="21"/>
  <c r="BI33" i="21"/>
  <c r="BO33" i="21"/>
  <c r="BI34" i="21"/>
  <c r="BL34" i="21"/>
  <c r="BG34" i="21"/>
  <c r="BF34" i="21"/>
  <c r="AJ34" i="21"/>
  <c r="AT34" i="21"/>
  <c r="BO34" i="21"/>
  <c r="AM34" i="21"/>
  <c r="AC37" i="21"/>
  <c r="AD37" i="21" s="1"/>
  <c r="AE37" i="21" s="1"/>
  <c r="AT31" i="21"/>
  <c r="BG31" i="21"/>
  <c r="AN32" i="21"/>
  <c r="BG33" i="21"/>
  <c r="AN34" i="21"/>
  <c r="BJ34" i="21"/>
  <c r="AC35" i="21"/>
  <c r="BN37" i="21"/>
  <c r="BI38" i="21"/>
  <c r="BO38" i="21"/>
  <c r="BG39" i="21"/>
  <c r="BF39" i="21"/>
  <c r="BI39" i="21"/>
  <c r="AJ39" i="21"/>
  <c r="BO39" i="21"/>
  <c r="AT39" i="21"/>
  <c r="AM39" i="21"/>
  <c r="AN40" i="21"/>
  <c r="AI31" i="21"/>
  <c r="AM31" i="21"/>
  <c r="BL31" i="21"/>
  <c r="AO32" i="21"/>
  <c r="BJ32" i="21"/>
  <c r="AI33" i="21"/>
  <c r="AM33" i="21"/>
  <c r="BL33" i="21"/>
  <c r="AO34" i="21"/>
  <c r="BN35" i="21"/>
  <c r="BI36" i="21"/>
  <c r="BO36" i="21"/>
  <c r="BG37" i="21"/>
  <c r="BF37" i="21"/>
  <c r="BI37" i="21"/>
  <c r="AJ37" i="21"/>
  <c r="BO37" i="21"/>
  <c r="AT37" i="21"/>
  <c r="AM37" i="21"/>
  <c r="AN38" i="21"/>
  <c r="AQ40" i="21"/>
  <c r="AJ31" i="21"/>
  <c r="AJ33" i="21"/>
  <c r="BG35" i="21"/>
  <c r="BF35" i="21"/>
  <c r="BI35" i="21"/>
  <c r="AJ35" i="21"/>
  <c r="BO35" i="21"/>
  <c r="AT35" i="21"/>
  <c r="AM35" i="21"/>
  <c r="AN36" i="21"/>
  <c r="AQ38" i="21"/>
  <c r="AC39" i="21"/>
  <c r="BL39" i="21"/>
  <c r="AN35" i="21"/>
  <c r="AT36" i="21"/>
  <c r="BG36" i="21"/>
  <c r="AN37" i="21"/>
  <c r="AT38" i="21"/>
  <c r="BG38" i="21"/>
  <c r="AN39" i="21"/>
  <c r="AT40" i="21"/>
  <c r="BG40" i="21"/>
  <c r="AO35" i="21"/>
  <c r="AS35" i="21"/>
  <c r="BJ35" i="21"/>
  <c r="AI36" i="21"/>
  <c r="AM36" i="21"/>
  <c r="BL36" i="21"/>
  <c r="AO37" i="21"/>
  <c r="AS37" i="21"/>
  <c r="BJ37" i="21"/>
  <c r="AI38" i="21"/>
  <c r="AM38" i="21"/>
  <c r="BL38" i="21"/>
  <c r="AO39" i="21"/>
  <c r="BJ39" i="21"/>
  <c r="AI40" i="21"/>
  <c r="AM40" i="21"/>
  <c r="BL40" i="21"/>
  <c r="AJ36" i="21"/>
  <c r="AJ38" i="21"/>
  <c r="AJ40" i="21"/>
  <c r="AL23" i="20"/>
  <c r="BL22" i="15"/>
  <c r="AL22" i="15"/>
  <c r="BL23" i="19"/>
  <c r="BL27" i="19"/>
  <c r="BL23" i="20"/>
  <c r="AL35" i="16"/>
  <c r="AL39" i="16"/>
  <c r="AL26" i="16"/>
  <c r="AT27" i="16"/>
  <c r="AO22" i="19"/>
  <c r="AL38" i="20"/>
  <c r="BL34" i="18"/>
  <c r="BK17" i="19"/>
  <c r="B15" i="19"/>
  <c r="AO19" i="19"/>
  <c r="M31" i="18"/>
  <c r="AO20" i="19"/>
  <c r="BL25" i="19"/>
  <c r="BL29" i="19"/>
  <c r="AQ31" i="19"/>
  <c r="BL33" i="19"/>
  <c r="BL21" i="20"/>
  <c r="BL37" i="20"/>
  <c r="BF29" i="16"/>
  <c r="AJ32" i="16"/>
  <c r="AJ37" i="16"/>
  <c r="BL27" i="18"/>
  <c r="BG35" i="18"/>
  <c r="BG39" i="18"/>
  <c r="BO17" i="19"/>
  <c r="AN18" i="19"/>
  <c r="BK19" i="19"/>
  <c r="BM20" i="19"/>
  <c r="BO21" i="19"/>
  <c r="AJ24" i="19"/>
  <c r="BO28" i="19"/>
  <c r="AM29" i="19"/>
  <c r="AN31" i="19"/>
  <c r="BF33" i="19"/>
  <c r="M15" i="20"/>
  <c r="AT16" i="20"/>
  <c r="BJ18" i="20"/>
  <c r="AN20" i="20"/>
  <c r="BJ22" i="20"/>
  <c r="AT26" i="20"/>
  <c r="AQ31" i="20"/>
  <c r="AO18" i="16"/>
  <c r="BG23" i="16"/>
  <c r="BL35" i="16"/>
  <c r="BJ18" i="18"/>
  <c r="BF22" i="18"/>
  <c r="BM16" i="19"/>
  <c r="AN17" i="19"/>
  <c r="BM18" i="19"/>
  <c r="AQ18" i="19"/>
  <c r="AO21" i="19"/>
  <c r="BL22" i="19"/>
  <c r="AT23" i="19"/>
  <c r="AO25" i="19"/>
  <c r="AN30" i="19"/>
  <c r="BJ16" i="20"/>
  <c r="N16" i="20"/>
  <c r="BO17" i="20"/>
  <c r="AK18" i="20"/>
  <c r="BM20" i="20"/>
  <c r="AO20" i="20"/>
  <c r="BO21" i="20"/>
  <c r="BI22" i="20"/>
  <c r="BO23" i="20"/>
  <c r="AQ27" i="20"/>
  <c r="BK28" i="20"/>
  <c r="AJ29" i="20"/>
  <c r="AT30" i="20"/>
  <c r="M33" i="20"/>
  <c r="BO34" i="20"/>
  <c r="AJ18" i="16"/>
  <c r="AJ18" i="18"/>
  <c r="AN23" i="18"/>
  <c r="BL25" i="18"/>
  <c r="AJ36" i="18"/>
  <c r="BL38" i="18"/>
  <c r="AQ17" i="19"/>
  <c r="AT17" i="19"/>
  <c r="AQ25" i="19"/>
  <c r="BM25" i="19"/>
  <c r="BF28" i="19"/>
  <c r="AQ30" i="19"/>
  <c r="BF30" i="19"/>
  <c r="BK32" i="19"/>
  <c r="BK21" i="20"/>
  <c r="N23" i="20"/>
  <c r="AJ28" i="20"/>
  <c r="AT40" i="20"/>
  <c r="BK23" i="16"/>
  <c r="BL26" i="16"/>
  <c r="AJ34" i="16"/>
  <c r="AJ16" i="18"/>
  <c r="AN19" i="18"/>
  <c r="AC21" i="18"/>
  <c r="AQ21" i="18"/>
  <c r="BL21" i="18"/>
  <c r="AQ23" i="18"/>
  <c r="BF23" i="18"/>
  <c r="BJ26" i="18"/>
  <c r="AQ29" i="18"/>
  <c r="AJ29" i="18"/>
  <c r="BL31" i="18"/>
  <c r="AQ22" i="19"/>
  <c r="AJ22" i="19"/>
  <c r="BL24" i="19"/>
  <c r="AO26" i="19"/>
  <c r="AQ17" i="20"/>
  <c r="BO20" i="20"/>
  <c r="AI21" i="20"/>
  <c r="BO22" i="20"/>
  <c r="BG26" i="20"/>
  <c r="BJ28" i="20"/>
  <c r="BF34" i="20"/>
  <c r="AK38" i="20"/>
  <c r="BF38" i="20"/>
  <c r="AM32" i="20"/>
  <c r="AI33" i="20"/>
  <c r="BF36" i="20"/>
  <c r="BG38" i="20"/>
  <c r="BF40" i="20"/>
  <c r="BF30" i="20"/>
  <c r="AB17" i="20"/>
  <c r="AD17" i="20" s="1"/>
  <c r="AE17" i="20" s="1"/>
  <c r="BO16" i="20"/>
  <c r="BF17" i="20"/>
  <c r="AN18" i="20"/>
  <c r="BF20" i="20"/>
  <c r="AT21" i="20"/>
  <c r="AT23" i="20"/>
  <c r="AL26" i="20"/>
  <c r="AK28" i="20"/>
  <c r="BG30" i="20"/>
  <c r="BK16" i="20"/>
  <c r="BI17" i="20"/>
  <c r="AJ20" i="20"/>
  <c r="AO22" i="20"/>
  <c r="BK23" i="20"/>
  <c r="BF28" i="20"/>
  <c r="AJ30" i="20"/>
  <c r="AM23" i="20"/>
  <c r="BG16" i="20"/>
  <c r="BL22" i="20"/>
  <c r="BF22" i="20"/>
  <c r="AC34" i="20"/>
  <c r="AC17" i="20"/>
  <c r="AC33" i="20"/>
  <c r="AC20" i="20"/>
  <c r="AC23" i="20"/>
  <c r="AC18" i="20"/>
  <c r="BC20" i="20"/>
  <c r="BC17" i="20"/>
  <c r="BC18" i="20"/>
  <c r="BC25" i="20"/>
  <c r="BC39" i="20"/>
  <c r="BC16" i="20"/>
  <c r="BC37" i="20"/>
  <c r="BC22" i="20"/>
  <c r="BC19" i="20"/>
  <c r="BC21" i="20"/>
  <c r="BC23" i="20"/>
  <c r="BC27" i="20"/>
  <c r="BC29" i="20"/>
  <c r="BC31" i="20"/>
  <c r="BC24" i="20"/>
  <c r="BC26" i="20"/>
  <c r="BC28" i="20"/>
  <c r="BC30" i="20"/>
  <c r="BC32" i="20"/>
  <c r="BC33" i="20"/>
  <c r="BC35" i="20"/>
  <c r="BC34" i="20"/>
  <c r="BC36" i="20"/>
  <c r="BC38" i="20"/>
  <c r="BC40" i="20"/>
  <c r="BJ17" i="20"/>
  <c r="AO17" i="20"/>
  <c r="BG27" i="20"/>
  <c r="BF27" i="20"/>
  <c r="BL27" i="20"/>
  <c r="AM27" i="20"/>
  <c r="AJ27" i="20"/>
  <c r="AI27" i="20"/>
  <c r="BI27" i="20"/>
  <c r="B15" i="20"/>
  <c r="AN17" i="20"/>
  <c r="AN24" i="20"/>
  <c r="AO24" i="20"/>
  <c r="BJ24" i="20"/>
  <c r="BO27" i="20"/>
  <c r="AT27" i="20"/>
  <c r="BG31" i="20"/>
  <c r="BF31" i="20"/>
  <c r="BL31" i="20"/>
  <c r="AM31" i="20"/>
  <c r="AJ31" i="20"/>
  <c r="AI31" i="20"/>
  <c r="BI31" i="20"/>
  <c r="BO31" i="20"/>
  <c r="AT31" i="20"/>
  <c r="AC16" i="20"/>
  <c r="BF19" i="20"/>
  <c r="BI19" i="20"/>
  <c r="AJ19" i="20"/>
  <c r="BL19" i="20"/>
  <c r="AM19" i="20"/>
  <c r="AI19" i="20"/>
  <c r="AT19" i="20"/>
  <c r="AL19" i="20"/>
  <c r="BO19" i="20"/>
  <c r="BJ21" i="20"/>
  <c r="AC22" i="20"/>
  <c r="AD22" i="20" s="1"/>
  <c r="AE22" i="20" s="1"/>
  <c r="AC24" i="20"/>
  <c r="AQ26" i="20"/>
  <c r="AQ33" i="20"/>
  <c r="BM40" i="20"/>
  <c r="BM38" i="20"/>
  <c r="BM36" i="20"/>
  <c r="AQ35" i="20"/>
  <c r="BM34" i="20"/>
  <c r="BM32" i="20"/>
  <c r="AQ37" i="20"/>
  <c r="BJ36" i="20"/>
  <c r="BM35" i="20"/>
  <c r="BM33" i="20"/>
  <c r="BM30" i="20"/>
  <c r="BM28" i="20"/>
  <c r="BM26" i="20"/>
  <c r="BM24" i="20"/>
  <c r="BJ40" i="20"/>
  <c r="AQ39" i="20"/>
  <c r="BM37" i="20"/>
  <c r="BM31" i="20"/>
  <c r="BM29" i="20"/>
  <c r="BM27" i="20"/>
  <c r="BM39" i="20"/>
  <c r="BJ38" i="20"/>
  <c r="BM23" i="20"/>
  <c r="BM21" i="20"/>
  <c r="BM19" i="20"/>
  <c r="AQ23" i="20"/>
  <c r="BM22" i="20"/>
  <c r="BJ32" i="20"/>
  <c r="BJ30" i="20"/>
  <c r="AQ29" i="20"/>
  <c r="BJ26" i="20"/>
  <c r="BM16" i="20"/>
  <c r="AQ19" i="20"/>
  <c r="AQ16" i="20"/>
  <c r="AQ32" i="20"/>
  <c r="BM25" i="20"/>
  <c r="BM18" i="20"/>
  <c r="BJ34" i="20"/>
  <c r="BL17" i="20"/>
  <c r="BM17" i="20"/>
  <c r="AQ25" i="20"/>
  <c r="N39" i="20"/>
  <c r="N37" i="20"/>
  <c r="N35" i="20"/>
  <c r="M39" i="20"/>
  <c r="M37" i="20"/>
  <c r="BN37" i="20" s="1"/>
  <c r="M35" i="20"/>
  <c r="N36" i="20"/>
  <c r="N33" i="20"/>
  <c r="AS33" i="20" s="1"/>
  <c r="N38" i="20"/>
  <c r="M36" i="20"/>
  <c r="M38" i="20"/>
  <c r="N31" i="20"/>
  <c r="N29" i="20"/>
  <c r="BN29" i="20" s="1"/>
  <c r="N27" i="20"/>
  <c r="N25" i="20"/>
  <c r="N34" i="20"/>
  <c r="M31" i="20"/>
  <c r="M29" i="20"/>
  <c r="M27" i="20"/>
  <c r="AS27" i="20" s="1"/>
  <c r="M25" i="20"/>
  <c r="AS25" i="20" s="1"/>
  <c r="M34" i="20"/>
  <c r="M32" i="20"/>
  <c r="M30" i="20"/>
  <c r="M28" i="20"/>
  <c r="M23" i="20"/>
  <c r="M21" i="20"/>
  <c r="M19" i="20"/>
  <c r="N24" i="20"/>
  <c r="BN24" i="20" s="1"/>
  <c r="N22" i="20"/>
  <c r="N20" i="20"/>
  <c r="N18" i="20"/>
  <c r="N15" i="20"/>
  <c r="BL18" i="20"/>
  <c r="AM18" i="20"/>
  <c r="AI18" i="20"/>
  <c r="BG18" i="20"/>
  <c r="AC21" i="20"/>
  <c r="N21" i="20"/>
  <c r="O21" i="20" s="1"/>
  <c r="AB22" i="20"/>
  <c r="AS23" i="20"/>
  <c r="AQ24" i="20"/>
  <c r="M24" i="20"/>
  <c r="N26" i="20"/>
  <c r="BN26" i="20" s="1"/>
  <c r="BJ27" i="20"/>
  <c r="AO27" i="20"/>
  <c r="AN27" i="20"/>
  <c r="AB27" i="20"/>
  <c r="AC28" i="20"/>
  <c r="N28" i="20"/>
  <c r="BJ31" i="20"/>
  <c r="AO31" i="20"/>
  <c r="AN31" i="20"/>
  <c r="AB31" i="20"/>
  <c r="AC32" i="20"/>
  <c r="N32" i="20"/>
  <c r="O32" i="20" s="1"/>
  <c r="AC37" i="20"/>
  <c r="AB40" i="20"/>
  <c r="AB38" i="20"/>
  <c r="AB36" i="20"/>
  <c r="AB37" i="20"/>
  <c r="AF37" i="20" s="1"/>
  <c r="AB34" i="20"/>
  <c r="AB39" i="20"/>
  <c r="AB32" i="20"/>
  <c r="AF32" i="20" s="1"/>
  <c r="AB30" i="20"/>
  <c r="AB28" i="20"/>
  <c r="AB26" i="20"/>
  <c r="AF26" i="20" s="1"/>
  <c r="AB24" i="20"/>
  <c r="AB33" i="20"/>
  <c r="AB25" i="20"/>
  <c r="AB23" i="20"/>
  <c r="AB21" i="20"/>
  <c r="AF21" i="20" s="1"/>
  <c r="AB19" i="20"/>
  <c r="AI16" i="20"/>
  <c r="M17" i="20"/>
  <c r="BO18" i="20"/>
  <c r="AT18" i="20"/>
  <c r="BJ19" i="20"/>
  <c r="AK39" i="20"/>
  <c r="AK37" i="20"/>
  <c r="AK35" i="20"/>
  <c r="AK36" i="20"/>
  <c r="AK33" i="20"/>
  <c r="AK32" i="20"/>
  <c r="BI30" i="20"/>
  <c r="AK40" i="20"/>
  <c r="AM37" i="20"/>
  <c r="AK31" i="20"/>
  <c r="AK29" i="20"/>
  <c r="AK27" i="20"/>
  <c r="AK25" i="20"/>
  <c r="AK23" i="20"/>
  <c r="AK21" i="20"/>
  <c r="AK19" i="20"/>
  <c r="AM35" i="20"/>
  <c r="BI33" i="20"/>
  <c r="AM33" i="20"/>
  <c r="AB16" i="20"/>
  <c r="AJ16" i="20"/>
  <c r="AN16" i="20"/>
  <c r="BI16" i="20"/>
  <c r="N17" i="20"/>
  <c r="AT17" i="20"/>
  <c r="BG17" i="20"/>
  <c r="BK17" i="20"/>
  <c r="AL18" i="20"/>
  <c r="AO18" i="20"/>
  <c r="BF18" i="20"/>
  <c r="AC19" i="20"/>
  <c r="N19" i="20"/>
  <c r="BK19" i="20"/>
  <c r="AL20" i="20"/>
  <c r="AB20" i="20"/>
  <c r="BI20" i="20"/>
  <c r="BN21" i="20"/>
  <c r="AS21" i="20"/>
  <c r="AM21" i="20"/>
  <c r="AQ22" i="20"/>
  <c r="M22" i="20"/>
  <c r="AK22" i="20"/>
  <c r="BF23" i="20"/>
  <c r="BI23" i="20"/>
  <c r="AJ23" i="20"/>
  <c r="BG23" i="20"/>
  <c r="BO24" i="20"/>
  <c r="AK26" i="20"/>
  <c r="BG29" i="20"/>
  <c r="BF29" i="20"/>
  <c r="BL29" i="20"/>
  <c r="AM29" i="20"/>
  <c r="BO29" i="20"/>
  <c r="AT29" i="20"/>
  <c r="AK30" i="20"/>
  <c r="BI35" i="20"/>
  <c r="AC40" i="20"/>
  <c r="AD40" i="20" s="1"/>
  <c r="AE40" i="20" s="1"/>
  <c r="AQ40" i="20"/>
  <c r="M40" i="20"/>
  <c r="AM16" i="20"/>
  <c r="BL16" i="20"/>
  <c r="AL22" i="20"/>
  <c r="BK39" i="20"/>
  <c r="BK37" i="20"/>
  <c r="BK35" i="20"/>
  <c r="BO40" i="20"/>
  <c r="AO38" i="20"/>
  <c r="BK36" i="20"/>
  <c r="AT36" i="20"/>
  <c r="BK33" i="20"/>
  <c r="AO40" i="20"/>
  <c r="BK38" i="20"/>
  <c r="AT38" i="20"/>
  <c r="BK40" i="20"/>
  <c r="AN39" i="20"/>
  <c r="AN37" i="20"/>
  <c r="AO36" i="20"/>
  <c r="AO34" i="20"/>
  <c r="BK31" i="20"/>
  <c r="BK29" i="20"/>
  <c r="BK27" i="20"/>
  <c r="BK25" i="20"/>
  <c r="BO38" i="20"/>
  <c r="BO36" i="20"/>
  <c r="BK34" i="20"/>
  <c r="AT34" i="20"/>
  <c r="BK32" i="20"/>
  <c r="BO32" i="20"/>
  <c r="BO30" i="20"/>
  <c r="BO28" i="20"/>
  <c r="BO26" i="20"/>
  <c r="AO30" i="20"/>
  <c r="AO28" i="20"/>
  <c r="AO26" i="20"/>
  <c r="BK24" i="20"/>
  <c r="BK22" i="20"/>
  <c r="BK20" i="20"/>
  <c r="BK18" i="20"/>
  <c r="M16" i="20"/>
  <c r="AS16" i="20" s="1"/>
  <c r="AK16" i="20"/>
  <c r="AO16" i="20"/>
  <c r="AI17" i="20"/>
  <c r="AM17" i="20"/>
  <c r="AQ18" i="20"/>
  <c r="M18" i="20"/>
  <c r="AS18" i="20" s="1"/>
  <c r="AB18" i="20"/>
  <c r="AF18" i="20" s="1"/>
  <c r="AJ18" i="20"/>
  <c r="BI18" i="20"/>
  <c r="AQ20" i="20"/>
  <c r="M20" i="20"/>
  <c r="AS20" i="20" s="1"/>
  <c r="AK20" i="20"/>
  <c r="BJ20" i="20"/>
  <c r="BF21" i="20"/>
  <c r="BI21" i="20"/>
  <c r="AJ21" i="20"/>
  <c r="BG21" i="20"/>
  <c r="AN22" i="20"/>
  <c r="BJ23" i="20"/>
  <c r="AI23" i="20"/>
  <c r="AT24" i="20"/>
  <c r="AK24" i="20"/>
  <c r="BG25" i="20"/>
  <c r="BF25" i="20"/>
  <c r="BL25" i="20"/>
  <c r="AM25" i="20"/>
  <c r="BI25" i="20"/>
  <c r="AJ25" i="20"/>
  <c r="BO25" i="20"/>
  <c r="AT25" i="20"/>
  <c r="AN25" i="20"/>
  <c r="BK26" i="20"/>
  <c r="BI28" i="20"/>
  <c r="AT28" i="20"/>
  <c r="AL29" i="20"/>
  <c r="BJ29" i="20"/>
  <c r="AO29" i="20"/>
  <c r="AN29" i="20"/>
  <c r="AB29" i="20"/>
  <c r="BI29" i="20"/>
  <c r="AC30" i="20"/>
  <c r="N30" i="20"/>
  <c r="BK30" i="20"/>
  <c r="AT32" i="20"/>
  <c r="AO33" i="20"/>
  <c r="BJ33" i="20"/>
  <c r="AN33" i="20"/>
  <c r="AK34" i="20"/>
  <c r="AB35" i="20"/>
  <c r="AC38" i="20"/>
  <c r="N40" i="20"/>
  <c r="AN19" i="20"/>
  <c r="AT20" i="20"/>
  <c r="BG20" i="20"/>
  <c r="AN21" i="20"/>
  <c r="AT22" i="20"/>
  <c r="BG22" i="20"/>
  <c r="AN23" i="20"/>
  <c r="BJ25" i="20"/>
  <c r="AO25" i="20"/>
  <c r="BI26" i="20"/>
  <c r="AC27" i="20"/>
  <c r="AN28" i="20"/>
  <c r="AC29" i="20"/>
  <c r="AN30" i="20"/>
  <c r="AC31" i="20"/>
  <c r="AL35" i="20"/>
  <c r="BJ35" i="20"/>
  <c r="AO35" i="20"/>
  <c r="AN35" i="20"/>
  <c r="BL35" i="20"/>
  <c r="AN36" i="20"/>
  <c r="AO19" i="20"/>
  <c r="AI20" i="20"/>
  <c r="AM20" i="20"/>
  <c r="AO21" i="20"/>
  <c r="AI22" i="20"/>
  <c r="AM22" i="20"/>
  <c r="AO23" i="20"/>
  <c r="BI24" i="20"/>
  <c r="AJ24" i="20"/>
  <c r="BL24" i="20"/>
  <c r="AM24" i="20"/>
  <c r="AI24" i="20"/>
  <c r="BF24" i="20"/>
  <c r="AC25" i="20"/>
  <c r="AD25" i="20" s="1"/>
  <c r="AE25" i="20" s="1"/>
  <c r="AN26" i="20"/>
  <c r="AQ28" i="20"/>
  <c r="AQ30" i="20"/>
  <c r="BN31" i="20"/>
  <c r="AQ34" i="20"/>
  <c r="AC36" i="20"/>
  <c r="AI26" i="20"/>
  <c r="AM26" i="20"/>
  <c r="BL26" i="20"/>
  <c r="AI28" i="20"/>
  <c r="AM28" i="20"/>
  <c r="BL28" i="20"/>
  <c r="AI30" i="20"/>
  <c r="AM30" i="20"/>
  <c r="BI32" i="20"/>
  <c r="AJ32" i="20"/>
  <c r="AI32" i="20"/>
  <c r="AO32" i="20"/>
  <c r="BF32" i="20"/>
  <c r="AJ33" i="20"/>
  <c r="BF33" i="20"/>
  <c r="BL33" i="20"/>
  <c r="AC35" i="20"/>
  <c r="AN38" i="20"/>
  <c r="AJ26" i="20"/>
  <c r="AN32" i="20"/>
  <c r="BL32" i="20"/>
  <c r="BO33" i="20"/>
  <c r="AT33" i="20"/>
  <c r="BI34" i="20"/>
  <c r="BI36" i="20"/>
  <c r="AQ38" i="20"/>
  <c r="BG39" i="20"/>
  <c r="BF39" i="20"/>
  <c r="BL39" i="20"/>
  <c r="AM39" i="20"/>
  <c r="BI39" i="20"/>
  <c r="AJ39" i="20"/>
  <c r="BO39" i="20"/>
  <c r="AT39" i="20"/>
  <c r="AI34" i="20"/>
  <c r="AM34" i="20"/>
  <c r="BL34" i="20"/>
  <c r="BN35" i="20"/>
  <c r="AQ36" i="20"/>
  <c r="BG37" i="20"/>
  <c r="BF37" i="20"/>
  <c r="BO37" i="20"/>
  <c r="AT37" i="20"/>
  <c r="AI37" i="20"/>
  <c r="BJ39" i="20"/>
  <c r="AO39" i="20"/>
  <c r="BI40" i="20"/>
  <c r="AJ34" i="20"/>
  <c r="AN34" i="20"/>
  <c r="BG35" i="20"/>
  <c r="BF35" i="20"/>
  <c r="BO35" i="20"/>
  <c r="AT35" i="20"/>
  <c r="AI35" i="20"/>
  <c r="BJ37" i="20"/>
  <c r="AO37" i="20"/>
  <c r="AJ37" i="20"/>
  <c r="BI37" i="20"/>
  <c r="BI38" i="20"/>
  <c r="AC39" i="20"/>
  <c r="AN40" i="20"/>
  <c r="AI36" i="20"/>
  <c r="AM36" i="20"/>
  <c r="BL36" i="20"/>
  <c r="AI38" i="20"/>
  <c r="AM38" i="20"/>
  <c r="BL38" i="20"/>
  <c r="AI40" i="20"/>
  <c r="AM40" i="20"/>
  <c r="BL40" i="20"/>
  <c r="AJ36" i="20"/>
  <c r="AJ38" i="20"/>
  <c r="AJ40" i="20"/>
  <c r="B15" i="16"/>
  <c r="B15" i="18"/>
  <c r="B15" i="17"/>
  <c r="B15" i="13"/>
  <c r="B15" i="9"/>
  <c r="B15" i="12"/>
  <c r="B15" i="8"/>
  <c r="B15" i="4"/>
  <c r="B15" i="6"/>
  <c r="B15" i="10"/>
  <c r="AQ16" i="19"/>
  <c r="BG32" i="19"/>
  <c r="BF17" i="19"/>
  <c r="AT32" i="19"/>
  <c r="BM22" i="19"/>
  <c r="BF20" i="19"/>
  <c r="AI21" i="19"/>
  <c r="BK21" i="19"/>
  <c r="BF24" i="19"/>
  <c r="AL26" i="19"/>
  <c r="AJ27" i="19"/>
  <c r="AL32" i="19"/>
  <c r="AT21" i="19"/>
  <c r="BI18" i="19"/>
  <c r="AC24" i="19"/>
  <c r="AO17" i="19"/>
  <c r="BJ17" i="19"/>
  <c r="AJ20" i="19"/>
  <c r="BL20" i="19"/>
  <c r="BF22" i="19"/>
  <c r="AJ33" i="19"/>
  <c r="AC16" i="19"/>
  <c r="AB16" i="19"/>
  <c r="AC17" i="19"/>
  <c r="AC18" i="19"/>
  <c r="AF18" i="19" s="1"/>
  <c r="AC21" i="19"/>
  <c r="AD21" i="19" s="1"/>
  <c r="AE21" i="19" s="1"/>
  <c r="AC30" i="19"/>
  <c r="AC20" i="19"/>
  <c r="AC26" i="19"/>
  <c r="AC27" i="19"/>
  <c r="AC32" i="19"/>
  <c r="AC19" i="19"/>
  <c r="AC22" i="19"/>
  <c r="BC18" i="15"/>
  <c r="BC22" i="15"/>
  <c r="BC28" i="15"/>
  <c r="BC30" i="15"/>
  <c r="BC20" i="15"/>
  <c r="BC26" i="15"/>
  <c r="BC32" i="15"/>
  <c r="BC36" i="15"/>
  <c r="BC17" i="15"/>
  <c r="BC19" i="15"/>
  <c r="BC21" i="15"/>
  <c r="BC24" i="15"/>
  <c r="BC23" i="15"/>
  <c r="BC25" i="15"/>
  <c r="BC27" i="15"/>
  <c r="BC29" i="15"/>
  <c r="BC38" i="15"/>
  <c r="BC34" i="15"/>
  <c r="BC31" i="15"/>
  <c r="BC33" i="15"/>
  <c r="BC35" i="15"/>
  <c r="BC37" i="15"/>
  <c r="BC39" i="15"/>
  <c r="BC40" i="15"/>
  <c r="BC16" i="15"/>
  <c r="BC16" i="16"/>
  <c r="BC24" i="16"/>
  <c r="BC17" i="16"/>
  <c r="BC18" i="16"/>
  <c r="BC20" i="16"/>
  <c r="BC21" i="16"/>
  <c r="BC25" i="16"/>
  <c r="BC22" i="16"/>
  <c r="BC26" i="16"/>
  <c r="BC29" i="16"/>
  <c r="BC19" i="16"/>
  <c r="BC23" i="16"/>
  <c r="BC27" i="16"/>
  <c r="BC30" i="16"/>
  <c r="BC34" i="16"/>
  <c r="BC32" i="16"/>
  <c r="BC28" i="16"/>
  <c r="BC31" i="16"/>
  <c r="BC37" i="16"/>
  <c r="BC33" i="16"/>
  <c r="BC36" i="16"/>
  <c r="BC40" i="16"/>
  <c r="BC38" i="16"/>
  <c r="BC35" i="16"/>
  <c r="BC39" i="16"/>
  <c r="BC19" i="17"/>
  <c r="BC16" i="17"/>
  <c r="BC30" i="17"/>
  <c r="BC23" i="17"/>
  <c r="BC17" i="17"/>
  <c r="BC21" i="17"/>
  <c r="BC25" i="17"/>
  <c r="BC20" i="17"/>
  <c r="BC24" i="17"/>
  <c r="BC31" i="17"/>
  <c r="BC18" i="17"/>
  <c r="BC22" i="17"/>
  <c r="BC26" i="17"/>
  <c r="BC34" i="17"/>
  <c r="BC39" i="17"/>
  <c r="BC32" i="17"/>
  <c r="BC35" i="17"/>
  <c r="BC33" i="17"/>
  <c r="BC28" i="17"/>
  <c r="BC27" i="17"/>
  <c r="BC29" i="17"/>
  <c r="BC37" i="17"/>
  <c r="BC36" i="17"/>
  <c r="BC40" i="17"/>
  <c r="BC38" i="17"/>
  <c r="BC23" i="18"/>
  <c r="BC16" i="18"/>
  <c r="BC19" i="18"/>
  <c r="BC29" i="18"/>
  <c r="BC20" i="18"/>
  <c r="BC24" i="18"/>
  <c r="BC17" i="18"/>
  <c r="BC21" i="18"/>
  <c r="BC25" i="18"/>
  <c r="BC26" i="18"/>
  <c r="BC18" i="18"/>
  <c r="BC22" i="18"/>
  <c r="BC30" i="18"/>
  <c r="BC27" i="18"/>
  <c r="BC32" i="18"/>
  <c r="BC28" i="18"/>
  <c r="BC33" i="18"/>
  <c r="BC34" i="18"/>
  <c r="BC36" i="18"/>
  <c r="BC31" i="18"/>
  <c r="BC40" i="18"/>
  <c r="BC37" i="18"/>
  <c r="BC38" i="18"/>
  <c r="BC35" i="18"/>
  <c r="BC39" i="18"/>
  <c r="BC18" i="19"/>
  <c r="BC16" i="19"/>
  <c r="BC20" i="19"/>
  <c r="BC22" i="19"/>
  <c r="BC24" i="19"/>
  <c r="BC31" i="19"/>
  <c r="BC17" i="19"/>
  <c r="BC25" i="19"/>
  <c r="BC29" i="19"/>
  <c r="BC19" i="19"/>
  <c r="BC21" i="19"/>
  <c r="BC23" i="19"/>
  <c r="BC27" i="19"/>
  <c r="BC33" i="19"/>
  <c r="BC35" i="19"/>
  <c r="BC37" i="19"/>
  <c r="BC39" i="19"/>
  <c r="BC26" i="19"/>
  <c r="BC28" i="19"/>
  <c r="BC30" i="19"/>
  <c r="BC32" i="19"/>
  <c r="BC34" i="19"/>
  <c r="BC36" i="19"/>
  <c r="BC38" i="19"/>
  <c r="BC40" i="19"/>
  <c r="N39" i="19"/>
  <c r="N37" i="19"/>
  <c r="N35" i="19"/>
  <c r="N40" i="19"/>
  <c r="N38" i="19"/>
  <c r="N36" i="19"/>
  <c r="M34" i="19"/>
  <c r="M40" i="19"/>
  <c r="AS40" i="19" s="1"/>
  <c r="M39" i="19"/>
  <c r="AS39" i="19" s="1"/>
  <c r="M38" i="19"/>
  <c r="M37" i="19"/>
  <c r="M36" i="19"/>
  <c r="M35" i="19"/>
  <c r="N33" i="19"/>
  <c r="N31" i="19"/>
  <c r="N29" i="19"/>
  <c r="N27" i="19"/>
  <c r="N25" i="19"/>
  <c r="N34" i="19"/>
  <c r="O34" i="19" s="1"/>
  <c r="M33" i="19"/>
  <c r="M31" i="19"/>
  <c r="M29" i="19"/>
  <c r="M27" i="19"/>
  <c r="N28" i="19"/>
  <c r="M26" i="19"/>
  <c r="M25" i="19"/>
  <c r="AS25" i="19" s="1"/>
  <c r="M23" i="19"/>
  <c r="N30" i="19"/>
  <c r="M28" i="19"/>
  <c r="N24" i="19"/>
  <c r="N22" i="19"/>
  <c r="N20" i="19"/>
  <c r="N23" i="19"/>
  <c r="M22" i="19"/>
  <c r="M21" i="19"/>
  <c r="M20" i="19"/>
  <c r="AS20" i="19" s="1"/>
  <c r="M19" i="19"/>
  <c r="N18" i="19"/>
  <c r="N16" i="19"/>
  <c r="M15" i="19"/>
  <c r="M16" i="19"/>
  <c r="N32" i="19"/>
  <c r="M18" i="19"/>
  <c r="M32" i="19"/>
  <c r="M30" i="19"/>
  <c r="N26" i="19"/>
  <c r="BG16" i="19"/>
  <c r="BF16" i="19"/>
  <c r="AI16" i="19"/>
  <c r="BO19" i="19"/>
  <c r="AL19" i="19"/>
  <c r="BG31" i="19"/>
  <c r="BF31" i="19"/>
  <c r="BL31" i="19"/>
  <c r="AM31" i="19"/>
  <c r="BI31" i="19"/>
  <c r="AJ31" i="19"/>
  <c r="AI31" i="19"/>
  <c r="BJ16" i="19"/>
  <c r="AO16" i="19"/>
  <c r="AJ16" i="19"/>
  <c r="BI17" i="19"/>
  <c r="AM18" i="19"/>
  <c r="BL18" i="19"/>
  <c r="AK34" i="19"/>
  <c r="BI33" i="19"/>
  <c r="AK39" i="19"/>
  <c r="AK37" i="19"/>
  <c r="AK35" i="19"/>
  <c r="AK31" i="19"/>
  <c r="AK29" i="19"/>
  <c r="AK27" i="19"/>
  <c r="AK36" i="19"/>
  <c r="AK33" i="19"/>
  <c r="AK26" i="19"/>
  <c r="AK23" i="19"/>
  <c r="AK28" i="19"/>
  <c r="AK32" i="19"/>
  <c r="AK30" i="19"/>
  <c r="BI27" i="19"/>
  <c r="AK25" i="19"/>
  <c r="AK16" i="19"/>
  <c r="AK40" i="19"/>
  <c r="AM27" i="19"/>
  <c r="AK18" i="19"/>
  <c r="AK38" i="19"/>
  <c r="AK22" i="19"/>
  <c r="AK21" i="19"/>
  <c r="AK20" i="19"/>
  <c r="AK19" i="19"/>
  <c r="B15" i="11"/>
  <c r="B15" i="7"/>
  <c r="N15" i="19"/>
  <c r="AM16" i="19"/>
  <c r="BL16" i="19"/>
  <c r="N19" i="19"/>
  <c r="AI19" i="19"/>
  <c r="AQ24" i="19"/>
  <c r="M24" i="19"/>
  <c r="AK24" i="19"/>
  <c r="BO16" i="19"/>
  <c r="AT16" i="19"/>
  <c r="N17" i="19"/>
  <c r="AL18" i="19"/>
  <c r="BJ18" i="19"/>
  <c r="AO18" i="19"/>
  <c r="BI19" i="19"/>
  <c r="AJ19" i="19"/>
  <c r="AM19" i="19"/>
  <c r="BL19" i="19"/>
  <c r="BG19" i="19"/>
  <c r="AT19" i="19"/>
  <c r="N21" i="19"/>
  <c r="O21" i="19" s="1"/>
  <c r="BO31" i="19"/>
  <c r="AT31" i="19"/>
  <c r="BI16" i="19"/>
  <c r="B15" i="15"/>
  <c r="AB40" i="19"/>
  <c r="AB38" i="19"/>
  <c r="AB36" i="19"/>
  <c r="AB34" i="19"/>
  <c r="AB39" i="19"/>
  <c r="AB37" i="19"/>
  <c r="AB35" i="19"/>
  <c r="AB32" i="19"/>
  <c r="AF32" i="19" s="1"/>
  <c r="AB30" i="19"/>
  <c r="AB28" i="19"/>
  <c r="AB26" i="19"/>
  <c r="AF26" i="19" s="1"/>
  <c r="AB33" i="19"/>
  <c r="AB29" i="19"/>
  <c r="AB31" i="19"/>
  <c r="AB25" i="19"/>
  <c r="AB23" i="19"/>
  <c r="AB21" i="19"/>
  <c r="AB19" i="19"/>
  <c r="AB27" i="19"/>
  <c r="AF27" i="19" s="1"/>
  <c r="AB24" i="19"/>
  <c r="AF24" i="19" s="1"/>
  <c r="AD18" i="19"/>
  <c r="AE18" i="19" s="1"/>
  <c r="AB17" i="19"/>
  <c r="AD32" i="19"/>
  <c r="AE32" i="19" s="1"/>
  <c r="AB22" i="19"/>
  <c r="AF22" i="19" s="1"/>
  <c r="AB20" i="19"/>
  <c r="AN16" i="19"/>
  <c r="M17" i="19"/>
  <c r="AK17" i="19"/>
  <c r="BG18" i="19"/>
  <c r="BF18" i="19"/>
  <c r="BO18" i="19"/>
  <c r="AT18" i="19"/>
  <c r="AI18" i="19"/>
  <c r="AS19" i="19"/>
  <c r="AS23" i="19"/>
  <c r="BG25" i="19"/>
  <c r="AI25" i="19"/>
  <c r="BI25" i="19"/>
  <c r="AM25" i="19"/>
  <c r="BF25" i="19"/>
  <c r="AJ25" i="19"/>
  <c r="BO25" i="19"/>
  <c r="AT25" i="19"/>
  <c r="BO20" i="19"/>
  <c r="AT20" i="19"/>
  <c r="BI21" i="19"/>
  <c r="AJ21" i="19"/>
  <c r="BG21" i="19"/>
  <c r="BL21" i="19"/>
  <c r="BO22" i="19"/>
  <c r="AT22" i="19"/>
  <c r="BF23" i="19"/>
  <c r="BI23" i="19"/>
  <c r="AJ23" i="19"/>
  <c r="BG23" i="19"/>
  <c r="BO23" i="19"/>
  <c r="AO24" i="19"/>
  <c r="BK24" i="19"/>
  <c r="AT26" i="19"/>
  <c r="BK26" i="19"/>
  <c r="BI28" i="19"/>
  <c r="AO28" i="19"/>
  <c r="AN29" i="19"/>
  <c r="AQ32" i="19"/>
  <c r="BJ33" i="19"/>
  <c r="AC36" i="19"/>
  <c r="AI17" i="19"/>
  <c r="AM17" i="19"/>
  <c r="BL17" i="19"/>
  <c r="AN19" i="19"/>
  <c r="AQ19" i="19"/>
  <c r="AL20" i="19"/>
  <c r="AM20" i="19"/>
  <c r="BI20" i="19"/>
  <c r="AN21" i="19"/>
  <c r="AQ21" i="19"/>
  <c r="AL22" i="19"/>
  <c r="AM22" i="19"/>
  <c r="BI22" i="19"/>
  <c r="AN23" i="19"/>
  <c r="AI23" i="19"/>
  <c r="AQ23" i="19"/>
  <c r="BO24" i="19"/>
  <c r="AC25" i="19"/>
  <c r="AN28" i="19"/>
  <c r="AC29" i="19"/>
  <c r="BJ30" i="19"/>
  <c r="BM31" i="19"/>
  <c r="AO33" i="19"/>
  <c r="AN33" i="19"/>
  <c r="BG35" i="19"/>
  <c r="BL35" i="19"/>
  <c r="BF35" i="19"/>
  <c r="AJ35" i="19"/>
  <c r="AI35" i="19"/>
  <c r="BI35" i="19"/>
  <c r="AM35" i="19"/>
  <c r="BO35" i="19"/>
  <c r="AT35" i="19"/>
  <c r="BK39" i="19"/>
  <c r="BK37" i="19"/>
  <c r="BK35" i="19"/>
  <c r="BK40" i="19"/>
  <c r="AO40" i="19"/>
  <c r="BK38" i="19"/>
  <c r="AO38" i="19"/>
  <c r="BK36" i="19"/>
  <c r="AO36" i="19"/>
  <c r="BK34" i="19"/>
  <c r="BO33" i="19"/>
  <c r="BK33" i="19"/>
  <c r="AT33" i="19"/>
  <c r="BK31" i="19"/>
  <c r="BK29" i="19"/>
  <c r="BK27" i="19"/>
  <c r="BK25" i="19"/>
  <c r="BO32" i="19"/>
  <c r="AO30" i="19"/>
  <c r="BK28" i="19"/>
  <c r="AT28" i="19"/>
  <c r="AN25" i="19"/>
  <c r="AO23" i="19"/>
  <c r="AO32" i="19"/>
  <c r="BK30" i="19"/>
  <c r="AT30" i="19"/>
  <c r="BO26" i="19"/>
  <c r="BK22" i="19"/>
  <c r="BK20" i="19"/>
  <c r="BM40" i="19"/>
  <c r="BM38" i="19"/>
  <c r="BM36" i="19"/>
  <c r="BM34" i="19"/>
  <c r="BJ40" i="19"/>
  <c r="BJ38" i="19"/>
  <c r="BJ36" i="19"/>
  <c r="AQ40" i="19"/>
  <c r="AQ38" i="19"/>
  <c r="AQ36" i="19"/>
  <c r="BM32" i="19"/>
  <c r="BM30" i="19"/>
  <c r="BM28" i="19"/>
  <c r="BM26" i="19"/>
  <c r="BM24" i="19"/>
  <c r="AQ39" i="19"/>
  <c r="AQ34" i="19"/>
  <c r="AQ27" i="19"/>
  <c r="BJ26" i="19"/>
  <c r="BJ25" i="19"/>
  <c r="BJ23" i="19"/>
  <c r="AQ37" i="19"/>
  <c r="BM35" i="19"/>
  <c r="AQ35" i="19"/>
  <c r="AQ29" i="19"/>
  <c r="BJ28" i="19"/>
  <c r="BM27" i="19"/>
  <c r="BM23" i="19"/>
  <c r="BM21" i="19"/>
  <c r="BM19" i="19"/>
  <c r="BK16" i="19"/>
  <c r="AJ17" i="19"/>
  <c r="BM17" i="19"/>
  <c r="BK18" i="19"/>
  <c r="BJ19" i="19"/>
  <c r="AI20" i="19"/>
  <c r="AN20" i="19"/>
  <c r="BJ20" i="19"/>
  <c r="AM21" i="19"/>
  <c r="BJ21" i="19"/>
  <c r="AI22" i="19"/>
  <c r="AN22" i="19"/>
  <c r="BJ22" i="19"/>
  <c r="AC23" i="19"/>
  <c r="AL23" i="19"/>
  <c r="BK23" i="19"/>
  <c r="AN24" i="19"/>
  <c r="BJ24" i="19"/>
  <c r="AT24" i="19"/>
  <c r="BI26" i="19"/>
  <c r="AJ26" i="19"/>
  <c r="BL26" i="19"/>
  <c r="AM26" i="19"/>
  <c r="AI26" i="19"/>
  <c r="BG26" i="19"/>
  <c r="BJ27" i="19"/>
  <c r="AO27" i="19"/>
  <c r="AN27" i="19"/>
  <c r="AC28" i="19"/>
  <c r="BM29" i="19"/>
  <c r="BO30" i="19"/>
  <c r="BJ32" i="19"/>
  <c r="AO35" i="19"/>
  <c r="BJ35" i="19"/>
  <c r="AN35" i="19"/>
  <c r="BM37" i="19"/>
  <c r="BM39" i="19"/>
  <c r="AN26" i="19"/>
  <c r="AQ28" i="19"/>
  <c r="BG29" i="19"/>
  <c r="BF29" i="19"/>
  <c r="BO29" i="19"/>
  <c r="AT29" i="19"/>
  <c r="AI29" i="19"/>
  <c r="BJ31" i="19"/>
  <c r="AO31" i="19"/>
  <c r="BI32" i="19"/>
  <c r="AC33" i="19"/>
  <c r="BI34" i="19"/>
  <c r="BF34" i="19"/>
  <c r="AJ34" i="19"/>
  <c r="AM34" i="19"/>
  <c r="BL34" i="19"/>
  <c r="BO34" i="19"/>
  <c r="AT34" i="19"/>
  <c r="BG34" i="19"/>
  <c r="BG37" i="19"/>
  <c r="BL37" i="19"/>
  <c r="BF37" i="19"/>
  <c r="AJ37" i="19"/>
  <c r="AI37" i="19"/>
  <c r="BI37" i="19"/>
  <c r="AM37" i="19"/>
  <c r="BO37" i="19"/>
  <c r="AT37" i="19"/>
  <c r="AC38" i="19"/>
  <c r="AD38" i="19" s="1"/>
  <c r="AE38" i="19" s="1"/>
  <c r="BI24" i="19"/>
  <c r="AI24" i="19"/>
  <c r="AM24" i="19"/>
  <c r="AQ26" i="19"/>
  <c r="BG27" i="19"/>
  <c r="BF27" i="19"/>
  <c r="BO27" i="19"/>
  <c r="AT27" i="19"/>
  <c r="AI27" i="19"/>
  <c r="AL29" i="19"/>
  <c r="BJ29" i="19"/>
  <c r="AO29" i="19"/>
  <c r="AJ29" i="19"/>
  <c r="BI29" i="19"/>
  <c r="BI30" i="19"/>
  <c r="AC31" i="19"/>
  <c r="AN32" i="19"/>
  <c r="BG39" i="19"/>
  <c r="BL39" i="19"/>
  <c r="BF39" i="19"/>
  <c r="AJ39" i="19"/>
  <c r="AI39" i="19"/>
  <c r="BI39" i="19"/>
  <c r="AM39" i="19"/>
  <c r="BO39" i="19"/>
  <c r="AT39" i="19"/>
  <c r="AC40" i="19"/>
  <c r="AO37" i="19"/>
  <c r="BJ37" i="19"/>
  <c r="AN37" i="19"/>
  <c r="AS38" i="19"/>
  <c r="AO39" i="19"/>
  <c r="BJ39" i="19"/>
  <c r="AN39" i="19"/>
  <c r="AI28" i="19"/>
  <c r="AM28" i="19"/>
  <c r="BL28" i="19"/>
  <c r="AI30" i="19"/>
  <c r="AM30" i="19"/>
  <c r="BL30" i="19"/>
  <c r="AI32" i="19"/>
  <c r="AM32" i="19"/>
  <c r="BL32" i="19"/>
  <c r="AQ33" i="19"/>
  <c r="AC34" i="19"/>
  <c r="AC35" i="19"/>
  <c r="BI36" i="19"/>
  <c r="AJ36" i="19"/>
  <c r="BF36" i="19"/>
  <c r="AI36" i="19"/>
  <c r="AM36" i="19"/>
  <c r="AT36" i="19"/>
  <c r="BO36" i="19"/>
  <c r="BL36" i="19"/>
  <c r="AC37" i="19"/>
  <c r="BI38" i="19"/>
  <c r="AJ38" i="19"/>
  <c r="BF38" i="19"/>
  <c r="AI38" i="19"/>
  <c r="AM38" i="19"/>
  <c r="AT38" i="19"/>
  <c r="BO38" i="19"/>
  <c r="BL38" i="19"/>
  <c r="AC39" i="19"/>
  <c r="BI40" i="19"/>
  <c r="AJ40" i="19"/>
  <c r="BF40" i="19"/>
  <c r="AI40" i="19"/>
  <c r="AM40" i="19"/>
  <c r="AT40" i="19"/>
  <c r="BO40" i="19"/>
  <c r="BL40" i="19"/>
  <c r="AJ28" i="19"/>
  <c r="AJ30" i="19"/>
  <c r="AJ32" i="19"/>
  <c r="AS34" i="19"/>
  <c r="BN34" i="19"/>
  <c r="AN36" i="19"/>
  <c r="AN38" i="19"/>
  <c r="AN40" i="19"/>
  <c r="BG33" i="19"/>
  <c r="AN34" i="19"/>
  <c r="BJ34" i="19"/>
  <c r="AI33" i="19"/>
  <c r="AM33" i="19"/>
  <c r="AO34" i="19"/>
  <c r="N15" i="16"/>
  <c r="AT16" i="16"/>
  <c r="AT19" i="16"/>
  <c r="AN20" i="16"/>
  <c r="BI21" i="16"/>
  <c r="AN27" i="16"/>
  <c r="AK28" i="16"/>
  <c r="BK16" i="16"/>
  <c r="M16" i="16"/>
  <c r="AT17" i="16"/>
  <c r="AN17" i="16"/>
  <c r="N17" i="16"/>
  <c r="AQ19" i="16"/>
  <c r="AO19" i="16"/>
  <c r="AO22" i="16"/>
  <c r="AT23" i="16"/>
  <c r="AT26" i="16"/>
  <c r="BO21" i="17"/>
  <c r="BO17" i="17"/>
  <c r="AO18" i="17"/>
  <c r="AO22" i="17"/>
  <c r="AO16" i="17"/>
  <c r="BO25" i="17"/>
  <c r="N15" i="17"/>
  <c r="AN19" i="17"/>
  <c r="AN23" i="17"/>
  <c r="N15" i="18"/>
  <c r="N21" i="18"/>
  <c r="M18" i="18"/>
  <c r="BI19" i="18"/>
  <c r="AQ20" i="18"/>
  <c r="BG32" i="18"/>
  <c r="AK18" i="18"/>
  <c r="BG22" i="18"/>
  <c r="AK22" i="18"/>
  <c r="BF18" i="18"/>
  <c r="BI20" i="18"/>
  <c r="AI26" i="18"/>
  <c r="BF29" i="18"/>
  <c r="AJ32" i="18"/>
  <c r="BL35" i="18"/>
  <c r="AJ40" i="18"/>
  <c r="AN26" i="18"/>
  <c r="BF19" i="18"/>
  <c r="BG28" i="18"/>
  <c r="BG31" i="18"/>
  <c r="AJ39" i="18"/>
  <c r="M15" i="18"/>
  <c r="AC29" i="18"/>
  <c r="AC30" i="18"/>
  <c r="AC18" i="18"/>
  <c r="AC22" i="18"/>
  <c r="AC23" i="18"/>
  <c r="AC28" i="18"/>
  <c r="AT21" i="18"/>
  <c r="AN36" i="18"/>
  <c r="BM40" i="18"/>
  <c r="BM36" i="18"/>
  <c r="BM39" i="18"/>
  <c r="BM35" i="18"/>
  <c r="BM38" i="18"/>
  <c r="BM32" i="18"/>
  <c r="BM31" i="18"/>
  <c r="BM37" i="18"/>
  <c r="AQ34" i="18"/>
  <c r="BM29" i="18"/>
  <c r="BM33" i="18"/>
  <c r="BM28" i="18"/>
  <c r="BM34" i="18"/>
  <c r="AQ33" i="18"/>
  <c r="BM27" i="18"/>
  <c r="AQ27" i="18"/>
  <c r="AQ37" i="18"/>
  <c r="AQ30" i="18"/>
  <c r="BM26" i="18"/>
  <c r="BM23" i="18"/>
  <c r="BM19" i="18"/>
  <c r="BM30" i="18"/>
  <c r="BM22" i="18"/>
  <c r="BM18" i="18"/>
  <c r="BM25" i="18"/>
  <c r="BM21" i="18"/>
  <c r="BM17" i="18"/>
  <c r="AC16" i="18"/>
  <c r="AM16" i="18"/>
  <c r="BM16" i="18"/>
  <c r="BJ17" i="18"/>
  <c r="AQ18" i="18"/>
  <c r="AO18" i="18"/>
  <c r="AL19" i="18"/>
  <c r="AO19" i="18"/>
  <c r="AB19" i="18"/>
  <c r="BJ19" i="18"/>
  <c r="AC20" i="18"/>
  <c r="BM20" i="18"/>
  <c r="BI22" i="18"/>
  <c r="BK22" i="18"/>
  <c r="BL24" i="18"/>
  <c r="BG24" i="18"/>
  <c r="BF24" i="18"/>
  <c r="AJ24" i="18"/>
  <c r="AT24" i="18"/>
  <c r="BO24" i="18"/>
  <c r="AM24" i="18"/>
  <c r="BJ25" i="18"/>
  <c r="AC26" i="18"/>
  <c r="AQ26" i="18"/>
  <c r="M26" i="18"/>
  <c r="BO27" i="18"/>
  <c r="AO28" i="18"/>
  <c r="AC31" i="18"/>
  <c r="AD31" i="18" s="1"/>
  <c r="AE31" i="18" s="1"/>
  <c r="AQ31" i="18"/>
  <c r="AO16" i="18"/>
  <c r="BG17" i="18"/>
  <c r="BF17" i="18"/>
  <c r="AJ17" i="18"/>
  <c r="BI17" i="18"/>
  <c r="AM17" i="18"/>
  <c r="AI17" i="18"/>
  <c r="BO17" i="18"/>
  <c r="BO18" i="18"/>
  <c r="AT19" i="18"/>
  <c r="M38" i="18"/>
  <c r="AS38" i="18" s="1"/>
  <c r="N37" i="18"/>
  <c r="N40" i="18"/>
  <c r="M37" i="18"/>
  <c r="N36" i="18"/>
  <c r="M40" i="18"/>
  <c r="N39" i="18"/>
  <c r="M36" i="18"/>
  <c r="M39" i="18"/>
  <c r="M34" i="18"/>
  <c r="N33" i="18"/>
  <c r="N35" i="18"/>
  <c r="M33" i="18"/>
  <c r="N32" i="18"/>
  <c r="M35" i="18"/>
  <c r="N38" i="18"/>
  <c r="N30" i="18"/>
  <c r="BN30" i="18" s="1"/>
  <c r="M27" i="18"/>
  <c r="N26" i="18"/>
  <c r="M30" i="18"/>
  <c r="N29" i="18"/>
  <c r="N34" i="18"/>
  <c r="M32" i="18"/>
  <c r="N31" i="18"/>
  <c r="M29" i="18"/>
  <c r="AS29" i="18" s="1"/>
  <c r="N28" i="18"/>
  <c r="M25" i="18"/>
  <c r="N24" i="18"/>
  <c r="M21" i="18"/>
  <c r="N20" i="18"/>
  <c r="M17" i="18"/>
  <c r="N16" i="18"/>
  <c r="N27" i="18"/>
  <c r="AS27" i="18" s="1"/>
  <c r="M24" i="18"/>
  <c r="N23" i="18"/>
  <c r="M20" i="18"/>
  <c r="N19" i="18"/>
  <c r="M16" i="18"/>
  <c r="M28" i="18"/>
  <c r="M23" i="18"/>
  <c r="N22" i="18"/>
  <c r="M19" i="18"/>
  <c r="N18" i="18"/>
  <c r="AN16" i="18"/>
  <c r="AC17" i="18"/>
  <c r="AQ17" i="18"/>
  <c r="N17" i="18"/>
  <c r="AT17" i="18"/>
  <c r="BL17" i="18"/>
  <c r="AC19" i="18"/>
  <c r="AQ19" i="18"/>
  <c r="BO21" i="18"/>
  <c r="BJ22" i="18"/>
  <c r="BO22" i="18"/>
  <c r="BI23" i="18"/>
  <c r="AT23" i="18"/>
  <c r="AQ24" i="18"/>
  <c r="BI24" i="18"/>
  <c r="AC25" i="18"/>
  <c r="AQ25" i="18"/>
  <c r="N25" i="18"/>
  <c r="BN25" i="18" s="1"/>
  <c r="AT25" i="18"/>
  <c r="BJ29" i="18"/>
  <c r="BK38" i="18"/>
  <c r="AO38" i="18"/>
  <c r="BK37" i="18"/>
  <c r="BK40" i="18"/>
  <c r="AT39" i="18"/>
  <c r="BO36" i="18"/>
  <c r="BK36" i="18"/>
  <c r="AO39" i="18"/>
  <c r="BO35" i="18"/>
  <c r="AO35" i="18"/>
  <c r="BK30" i="18"/>
  <c r="AT35" i="18"/>
  <c r="BK34" i="18"/>
  <c r="BK33" i="18"/>
  <c r="AN40" i="18"/>
  <c r="BO39" i="18"/>
  <c r="BK35" i="18"/>
  <c r="BO32" i="18"/>
  <c r="BK27" i="18"/>
  <c r="BK39" i="18"/>
  <c r="AT38" i="18"/>
  <c r="BO31" i="18"/>
  <c r="AO31" i="18"/>
  <c r="AT29" i="18"/>
  <c r="BK26" i="18"/>
  <c r="AT34" i="18"/>
  <c r="BK32" i="18"/>
  <c r="AT31" i="18"/>
  <c r="BO29" i="18"/>
  <c r="BK29" i="18"/>
  <c r="BK31" i="18"/>
  <c r="BO25" i="18"/>
  <c r="BK25" i="18"/>
  <c r="AO25" i="18"/>
  <c r="BK21" i="18"/>
  <c r="AO21" i="18"/>
  <c r="BK17" i="18"/>
  <c r="AO17" i="18"/>
  <c r="AN29" i="18"/>
  <c r="BO28" i="18"/>
  <c r="AT27" i="18"/>
  <c r="BK24" i="18"/>
  <c r="BK20" i="18"/>
  <c r="BK16" i="18"/>
  <c r="BK28" i="18"/>
  <c r="BK23" i="18"/>
  <c r="AT22" i="18"/>
  <c r="BO19" i="18"/>
  <c r="BK19" i="18"/>
  <c r="AT18" i="18"/>
  <c r="AB39" i="18"/>
  <c r="AB35" i="18"/>
  <c r="AB38" i="18"/>
  <c r="AB37" i="18"/>
  <c r="AB31" i="18"/>
  <c r="AB40" i="18"/>
  <c r="AB34" i="18"/>
  <c r="AB36" i="18"/>
  <c r="AB33" i="18"/>
  <c r="AB28" i="18"/>
  <c r="AB27" i="18"/>
  <c r="AB30" i="18"/>
  <c r="AB32" i="18"/>
  <c r="AB29" i="18"/>
  <c r="AB22" i="18"/>
  <c r="AB18" i="18"/>
  <c r="AB26" i="18"/>
  <c r="AF26" i="18" s="1"/>
  <c r="AB25" i="18"/>
  <c r="AB21" i="18"/>
  <c r="AF21" i="18" s="1"/>
  <c r="AB17" i="18"/>
  <c r="AB24" i="18"/>
  <c r="AB20" i="18"/>
  <c r="AB16" i="18"/>
  <c r="BJ16" i="18"/>
  <c r="AK38" i="18"/>
  <c r="AK37" i="18"/>
  <c r="AK40" i="18"/>
  <c r="AK36" i="18"/>
  <c r="AK34" i="18"/>
  <c r="AK39" i="18"/>
  <c r="AK33" i="18"/>
  <c r="AK35" i="18"/>
  <c r="AK27" i="18"/>
  <c r="AK30" i="18"/>
  <c r="AK26" i="18"/>
  <c r="BI37" i="18"/>
  <c r="AK32" i="18"/>
  <c r="AK29" i="18"/>
  <c r="AK31" i="18"/>
  <c r="AK28" i="18"/>
  <c r="AM26" i="18"/>
  <c r="AK25" i="18"/>
  <c r="AK21" i="18"/>
  <c r="AK17" i="18"/>
  <c r="AK24" i="18"/>
  <c r="AK20" i="18"/>
  <c r="AK16" i="18"/>
  <c r="AM33" i="18"/>
  <c r="BI26" i="18"/>
  <c r="AK23" i="18"/>
  <c r="AK19" i="18"/>
  <c r="BL16" i="18"/>
  <c r="BG16" i="18"/>
  <c r="AT16" i="18"/>
  <c r="BO16" i="18"/>
  <c r="AI16" i="18"/>
  <c r="AQ16" i="18"/>
  <c r="BI16" i="18"/>
  <c r="AS17" i="18"/>
  <c r="BI18" i="18"/>
  <c r="BK18" i="18"/>
  <c r="BL20" i="18"/>
  <c r="BG20" i="18"/>
  <c r="BF20" i="18"/>
  <c r="AJ20" i="18"/>
  <c r="AT20" i="18"/>
  <c r="BO20" i="18"/>
  <c r="AM20" i="18"/>
  <c r="BJ21" i="18"/>
  <c r="AQ22" i="18"/>
  <c r="M22" i="18"/>
  <c r="AO22" i="18"/>
  <c r="AL23" i="18"/>
  <c r="AO23" i="18"/>
  <c r="AB23" i="18"/>
  <c r="BJ23" i="18"/>
  <c r="AC24" i="18"/>
  <c r="BM24" i="18"/>
  <c r="BJ28" i="18"/>
  <c r="AL18" i="18"/>
  <c r="BL18" i="18"/>
  <c r="BG19" i="18"/>
  <c r="AN20" i="18"/>
  <c r="BJ20" i="18"/>
  <c r="AI21" i="18"/>
  <c r="AM21" i="18"/>
  <c r="BI21" i="18"/>
  <c r="AL22" i="18"/>
  <c r="BL22" i="18"/>
  <c r="BG23" i="18"/>
  <c r="BO23" i="18"/>
  <c r="AN24" i="18"/>
  <c r="BJ24" i="18"/>
  <c r="BN24" i="18"/>
  <c r="AI25" i="18"/>
  <c r="AM25" i="18"/>
  <c r="BI25" i="18"/>
  <c r="AO27" i="18"/>
  <c r="AQ28" i="18"/>
  <c r="AL32" i="18"/>
  <c r="AO32" i="18"/>
  <c r="AN32" i="18"/>
  <c r="BJ32" i="18"/>
  <c r="BI36" i="18"/>
  <c r="AT36" i="18"/>
  <c r="AN17" i="18"/>
  <c r="AI18" i="18"/>
  <c r="AM18" i="18"/>
  <c r="BL19" i="18"/>
  <c r="AO20" i="18"/>
  <c r="AJ21" i="18"/>
  <c r="AN21" i="18"/>
  <c r="BF21" i="18"/>
  <c r="AI22" i="18"/>
  <c r="AM22" i="18"/>
  <c r="BL23" i="18"/>
  <c r="AO24" i="18"/>
  <c r="AJ25" i="18"/>
  <c r="AN25" i="18"/>
  <c r="BF25" i="18"/>
  <c r="BL26" i="18"/>
  <c r="BG26" i="18"/>
  <c r="AT26" i="18"/>
  <c r="BO26" i="18"/>
  <c r="AJ26" i="18"/>
  <c r="AC27" i="18"/>
  <c r="AD27" i="18" s="1"/>
  <c r="AE27" i="18" s="1"/>
  <c r="BI29" i="18"/>
  <c r="BG30" i="18"/>
  <c r="BF30" i="18"/>
  <c r="BL30" i="18"/>
  <c r="BI30" i="18"/>
  <c r="AJ30" i="18"/>
  <c r="BO30" i="18"/>
  <c r="AT30" i="18"/>
  <c r="AM30" i="18"/>
  <c r="AC32" i="18"/>
  <c r="BL33" i="18"/>
  <c r="BG33" i="18"/>
  <c r="BF33" i="18"/>
  <c r="AJ33" i="18"/>
  <c r="AI33" i="18"/>
  <c r="BI33" i="18"/>
  <c r="AT33" i="18"/>
  <c r="BO33" i="18"/>
  <c r="AN18" i="18"/>
  <c r="AI19" i="18"/>
  <c r="AM19" i="18"/>
  <c r="AL20" i="18"/>
  <c r="AN22" i="18"/>
  <c r="AI23" i="18"/>
  <c r="AM23" i="18"/>
  <c r="AL26" i="18"/>
  <c r="AO26" i="18"/>
  <c r="AT28" i="18"/>
  <c r="AL29" i="18"/>
  <c r="AO29" i="18"/>
  <c r="AI27" i="18"/>
  <c r="AM27" i="18"/>
  <c r="BI27" i="18"/>
  <c r="BL28" i="18"/>
  <c r="BJ30" i="18"/>
  <c r="AN30" i="18"/>
  <c r="AQ32" i="18"/>
  <c r="AC34" i="18"/>
  <c r="AD34" i="18" s="1"/>
  <c r="AE34" i="18" s="1"/>
  <c r="AC39" i="18"/>
  <c r="AD39" i="18" s="1"/>
  <c r="AE39" i="18" s="1"/>
  <c r="AJ27" i="18"/>
  <c r="AN27" i="18"/>
  <c r="BF27" i="18"/>
  <c r="BJ27" i="18"/>
  <c r="AI28" i="18"/>
  <c r="AM28" i="18"/>
  <c r="BI28" i="18"/>
  <c r="BL29" i="18"/>
  <c r="AO30" i="18"/>
  <c r="AC33" i="18"/>
  <c r="BN34" i="18"/>
  <c r="BJ35" i="18"/>
  <c r="AJ28" i="18"/>
  <c r="AN28" i="18"/>
  <c r="AI29" i="18"/>
  <c r="AM29" i="18"/>
  <c r="BJ31" i="18"/>
  <c r="BI32" i="18"/>
  <c r="AT32" i="18"/>
  <c r="BO34" i="18"/>
  <c r="AC35" i="18"/>
  <c r="AC38" i="18"/>
  <c r="AD38" i="18" s="1"/>
  <c r="AE38" i="18" s="1"/>
  <c r="AQ38" i="18"/>
  <c r="AN33" i="18"/>
  <c r="BJ33" i="18"/>
  <c r="AI34" i="18"/>
  <c r="AM34" i="18"/>
  <c r="BI34" i="18"/>
  <c r="AQ35" i="18"/>
  <c r="AO36" i="18"/>
  <c r="BJ36" i="18"/>
  <c r="AC37" i="18"/>
  <c r="BI40" i="18"/>
  <c r="AT40" i="18"/>
  <c r="AI31" i="18"/>
  <c r="AM31" i="18"/>
  <c r="BI31" i="18"/>
  <c r="BL32" i="18"/>
  <c r="AO33" i="18"/>
  <c r="BJ34" i="18"/>
  <c r="AJ34" i="18"/>
  <c r="AN34" i="18"/>
  <c r="BF34" i="18"/>
  <c r="BN35" i="18"/>
  <c r="AC36" i="18"/>
  <c r="AQ36" i="18"/>
  <c r="BO38" i="18"/>
  <c r="BJ39" i="18"/>
  <c r="AO40" i="18"/>
  <c r="BJ40" i="18"/>
  <c r="AJ31" i="18"/>
  <c r="AN31" i="18"/>
  <c r="AI32" i="18"/>
  <c r="AM32" i="18"/>
  <c r="AO34" i="18"/>
  <c r="BG34" i="18"/>
  <c r="BL37" i="18"/>
  <c r="BG37" i="18"/>
  <c r="BF37" i="18"/>
  <c r="AJ37" i="18"/>
  <c r="AT37" i="18"/>
  <c r="BO37" i="18"/>
  <c r="AM37" i="18"/>
  <c r="BJ38" i="18"/>
  <c r="AQ39" i="18"/>
  <c r="AC40" i="18"/>
  <c r="AQ40" i="18"/>
  <c r="BG36" i="18"/>
  <c r="AN37" i="18"/>
  <c r="BJ37" i="18"/>
  <c r="AI38" i="18"/>
  <c r="AM38" i="18"/>
  <c r="BI38" i="18"/>
  <c r="BL39" i="18"/>
  <c r="BG40" i="18"/>
  <c r="BO40" i="18"/>
  <c r="AI35" i="18"/>
  <c r="AM35" i="18"/>
  <c r="BI35" i="18"/>
  <c r="BL36" i="18"/>
  <c r="AO37" i="18"/>
  <c r="AJ38" i="18"/>
  <c r="AN38" i="18"/>
  <c r="BF38" i="18"/>
  <c r="AI39" i="18"/>
  <c r="AM39" i="18"/>
  <c r="BI39" i="18"/>
  <c r="BL40" i="18"/>
  <c r="AJ35" i="18"/>
  <c r="AN35" i="18"/>
  <c r="AI36" i="18"/>
  <c r="AM36" i="18"/>
  <c r="AN39" i="18"/>
  <c r="AI40" i="18"/>
  <c r="AM40" i="18"/>
  <c r="AJ19" i="17"/>
  <c r="BL28" i="17"/>
  <c r="AL35" i="17"/>
  <c r="BG22" i="17"/>
  <c r="AL26" i="17"/>
  <c r="BF32" i="17"/>
  <c r="AC18" i="17"/>
  <c r="AC19" i="17"/>
  <c r="BL21" i="17"/>
  <c r="BG31" i="17"/>
  <c r="BG32" i="17"/>
  <c r="BL35" i="17"/>
  <c r="AJ37" i="17"/>
  <c r="BL39" i="17"/>
  <c r="BF35" i="17"/>
  <c r="BF39" i="17"/>
  <c r="BG18" i="17"/>
  <c r="AJ23" i="17"/>
  <c r="BG29" i="17"/>
  <c r="BF37" i="17"/>
  <c r="BL17" i="17"/>
  <c r="BL25" i="17"/>
  <c r="AC23" i="17"/>
  <c r="AC22" i="17"/>
  <c r="BL16" i="17"/>
  <c r="BF16" i="17"/>
  <c r="AJ16" i="17"/>
  <c r="BG16" i="17"/>
  <c r="BJ22" i="17"/>
  <c r="AQ23" i="17"/>
  <c r="BJ29" i="17"/>
  <c r="M38" i="17"/>
  <c r="N37" i="17"/>
  <c r="N40" i="17"/>
  <c r="M37" i="17"/>
  <c r="N36" i="17"/>
  <c r="M39" i="17"/>
  <c r="N38" i="17"/>
  <c r="M35" i="17"/>
  <c r="M36" i="17"/>
  <c r="AS36" i="17" s="1"/>
  <c r="M34" i="17"/>
  <c r="N33" i="17"/>
  <c r="M40" i="17"/>
  <c r="BN40" i="17" s="1"/>
  <c r="M33" i="17"/>
  <c r="N32" i="17"/>
  <c r="N39" i="17"/>
  <c r="M32" i="17"/>
  <c r="N31" i="17"/>
  <c r="M31" i="17"/>
  <c r="M28" i="17"/>
  <c r="N27" i="17"/>
  <c r="BN27" i="17" s="1"/>
  <c r="N35" i="17"/>
  <c r="N30" i="17"/>
  <c r="M27" i="17"/>
  <c r="N34" i="17"/>
  <c r="M30" i="17"/>
  <c r="N29" i="17"/>
  <c r="M25" i="17"/>
  <c r="N24" i="17"/>
  <c r="M21" i="17"/>
  <c r="N20" i="17"/>
  <c r="M17" i="17"/>
  <c r="N28" i="17"/>
  <c r="AS28" i="17" s="1"/>
  <c r="M24" i="17"/>
  <c r="N23" i="17"/>
  <c r="M20" i="17"/>
  <c r="N19" i="17"/>
  <c r="M29" i="17"/>
  <c r="N26" i="17"/>
  <c r="M23" i="17"/>
  <c r="N22" i="17"/>
  <c r="M19" i="17"/>
  <c r="N18" i="17"/>
  <c r="BJ16" i="17"/>
  <c r="AK16" i="17"/>
  <c r="AQ16" i="17"/>
  <c r="BI16" i="17"/>
  <c r="AO17" i="17"/>
  <c r="AQ18" i="17"/>
  <c r="M18" i="17"/>
  <c r="BK18" i="17"/>
  <c r="BL20" i="17"/>
  <c r="BG20" i="17"/>
  <c r="BF20" i="17"/>
  <c r="AJ20" i="17"/>
  <c r="AT20" i="17"/>
  <c r="BO20" i="17"/>
  <c r="AM20" i="17"/>
  <c r="AO21" i="17"/>
  <c r="AQ22" i="17"/>
  <c r="M22" i="17"/>
  <c r="AS22" i="17" s="1"/>
  <c r="BK22" i="17"/>
  <c r="BL24" i="17"/>
  <c r="BG24" i="17"/>
  <c r="BF24" i="17"/>
  <c r="AJ24" i="17"/>
  <c r="AT24" i="17"/>
  <c r="BO24" i="17"/>
  <c r="AM24" i="17"/>
  <c r="AO25" i="17"/>
  <c r="AC26" i="17"/>
  <c r="AQ26" i="17"/>
  <c r="M26" i="17"/>
  <c r="AC29" i="17"/>
  <c r="AC30" i="17"/>
  <c r="AB39" i="17"/>
  <c r="AB38" i="17"/>
  <c r="AB40" i="17"/>
  <c r="AB36" i="17"/>
  <c r="AB35" i="17"/>
  <c r="AB31" i="17"/>
  <c r="AB34" i="17"/>
  <c r="AB37" i="17"/>
  <c r="AB33" i="17"/>
  <c r="AB29" i="17"/>
  <c r="AB28" i="17"/>
  <c r="AB32" i="17"/>
  <c r="AB27" i="17"/>
  <c r="AB30" i="17"/>
  <c r="AB22" i="17"/>
  <c r="AB18" i="17"/>
  <c r="AB25" i="17"/>
  <c r="AB21" i="17"/>
  <c r="AB17" i="17"/>
  <c r="AB26" i="17"/>
  <c r="AB24" i="17"/>
  <c r="AB20" i="17"/>
  <c r="AK38" i="17"/>
  <c r="AK37" i="17"/>
  <c r="AK39" i="17"/>
  <c r="AK35" i="17"/>
  <c r="AK34" i="17"/>
  <c r="AK33" i="17"/>
  <c r="AK36" i="17"/>
  <c r="AK32" i="17"/>
  <c r="AK30" i="17"/>
  <c r="AK28" i="17"/>
  <c r="AK27" i="17"/>
  <c r="AK40" i="17"/>
  <c r="AK31" i="17"/>
  <c r="AK26" i="17"/>
  <c r="AK29" i="17"/>
  <c r="AK25" i="17"/>
  <c r="AK21" i="17"/>
  <c r="AK17" i="17"/>
  <c r="AK24" i="17"/>
  <c r="AK20" i="17"/>
  <c r="AK23" i="17"/>
  <c r="AK19" i="17"/>
  <c r="M16" i="17"/>
  <c r="AB16" i="17"/>
  <c r="AF16" i="17" s="1"/>
  <c r="AM16" i="17"/>
  <c r="BK16" i="17"/>
  <c r="AC17" i="17"/>
  <c r="AQ17" i="17"/>
  <c r="N17" i="17"/>
  <c r="BN17" i="17" s="1"/>
  <c r="AT17" i="17"/>
  <c r="BO18" i="17"/>
  <c r="BI19" i="17"/>
  <c r="AT19" i="17"/>
  <c r="AQ20" i="17"/>
  <c r="BI20" i="17"/>
  <c r="AC21" i="17"/>
  <c r="AQ21" i="17"/>
  <c r="N21" i="17"/>
  <c r="AT21" i="17"/>
  <c r="BN22" i="17"/>
  <c r="BO22" i="17"/>
  <c r="BI23" i="17"/>
  <c r="AT23" i="17"/>
  <c r="BI24" i="17"/>
  <c r="AC25" i="17"/>
  <c r="AD25" i="17" s="1"/>
  <c r="AE25" i="17" s="1"/>
  <c r="AQ25" i="17"/>
  <c r="N25" i="17"/>
  <c r="O25" i="17" s="1"/>
  <c r="AT25" i="17"/>
  <c r="BO28" i="17"/>
  <c r="AM33" i="17"/>
  <c r="AM38" i="17"/>
  <c r="BM40" i="17"/>
  <c r="BM36" i="17"/>
  <c r="BM39" i="17"/>
  <c r="BM35" i="17"/>
  <c r="BM37" i="17"/>
  <c r="BM32" i="17"/>
  <c r="BM38" i="17"/>
  <c r="BM31" i="17"/>
  <c r="AQ38" i="17"/>
  <c r="BM30" i="17"/>
  <c r="BM26" i="17"/>
  <c r="BM33" i="17"/>
  <c r="BJ32" i="17"/>
  <c r="BM29" i="17"/>
  <c r="AQ33" i="17"/>
  <c r="BM28" i="17"/>
  <c r="BM34" i="17"/>
  <c r="BM27" i="17"/>
  <c r="BM23" i="17"/>
  <c r="BM19" i="17"/>
  <c r="AQ30" i="17"/>
  <c r="AQ27" i="17"/>
  <c r="BM22" i="17"/>
  <c r="BM18" i="17"/>
  <c r="BM25" i="17"/>
  <c r="BM21" i="17"/>
  <c r="BM17" i="17"/>
  <c r="AT16" i="17"/>
  <c r="BO16" i="17"/>
  <c r="BJ18" i="17"/>
  <c r="AQ19" i="17"/>
  <c r="BK38" i="17"/>
  <c r="AO38" i="17"/>
  <c r="AT37" i="17"/>
  <c r="BO37" i="17"/>
  <c r="BK37" i="17"/>
  <c r="BK39" i="17"/>
  <c r="BK35" i="17"/>
  <c r="BO40" i="17"/>
  <c r="BK36" i="17"/>
  <c r="AT35" i="17"/>
  <c r="BK34" i="17"/>
  <c r="BK30" i="17"/>
  <c r="BK40" i="17"/>
  <c r="AT39" i="17"/>
  <c r="AO36" i="17"/>
  <c r="BK33" i="17"/>
  <c r="AO40" i="17"/>
  <c r="BO32" i="17"/>
  <c r="BK32" i="17"/>
  <c r="AN37" i="17"/>
  <c r="BO36" i="17"/>
  <c r="BK31" i="17"/>
  <c r="BK28" i="17"/>
  <c r="AO31" i="17"/>
  <c r="BK27" i="17"/>
  <c r="AT34" i="17"/>
  <c r="BK26" i="17"/>
  <c r="AN32" i="17"/>
  <c r="BO31" i="17"/>
  <c r="BK25" i="17"/>
  <c r="BK21" i="17"/>
  <c r="BK17" i="17"/>
  <c r="BO29" i="17"/>
  <c r="AT28" i="17"/>
  <c r="BK24" i="17"/>
  <c r="BK20" i="17"/>
  <c r="BK29" i="17"/>
  <c r="BK23" i="17"/>
  <c r="BK19" i="17"/>
  <c r="M15" i="17"/>
  <c r="N16" i="17"/>
  <c r="O16" i="17" s="1"/>
  <c r="AI16" i="17"/>
  <c r="AN16" i="17"/>
  <c r="BM16" i="17"/>
  <c r="AT18" i="17"/>
  <c r="AK18" i="17"/>
  <c r="AL19" i="17"/>
  <c r="AO19" i="17"/>
  <c r="AB19" i="17"/>
  <c r="BJ19" i="17"/>
  <c r="AC20" i="17"/>
  <c r="BM20" i="17"/>
  <c r="AT22" i="17"/>
  <c r="AK22" i="17"/>
  <c r="AL23" i="17"/>
  <c r="AO23" i="17"/>
  <c r="AB23" i="17"/>
  <c r="BJ23" i="17"/>
  <c r="AC24" i="17"/>
  <c r="BM24" i="17"/>
  <c r="AI17" i="17"/>
  <c r="AM17" i="17"/>
  <c r="BI17" i="17"/>
  <c r="AL18" i="17"/>
  <c r="BL18" i="17"/>
  <c r="BG19" i="17"/>
  <c r="BO19" i="17"/>
  <c r="AN20" i="17"/>
  <c r="BJ20" i="17"/>
  <c r="AI21" i="17"/>
  <c r="AM21" i="17"/>
  <c r="BI21" i="17"/>
  <c r="BL22" i="17"/>
  <c r="BG23" i="17"/>
  <c r="BO23" i="17"/>
  <c r="AN24" i="17"/>
  <c r="BJ24" i="17"/>
  <c r="AI25" i="17"/>
  <c r="AM25" i="17"/>
  <c r="BI25" i="17"/>
  <c r="BJ26" i="17"/>
  <c r="BL27" i="17"/>
  <c r="BG27" i="17"/>
  <c r="BF27" i="17"/>
  <c r="AJ27" i="17"/>
  <c r="AT27" i="17"/>
  <c r="BO27" i="17"/>
  <c r="AM27" i="17"/>
  <c r="AO28" i="17"/>
  <c r="AQ29" i="17"/>
  <c r="AJ17" i="17"/>
  <c r="AN17" i="17"/>
  <c r="BF17" i="17"/>
  <c r="BJ17" i="17"/>
  <c r="AI18" i="17"/>
  <c r="AM18" i="17"/>
  <c r="BI18" i="17"/>
  <c r="BL19" i="17"/>
  <c r="AO20" i="17"/>
  <c r="AJ21" i="17"/>
  <c r="AN21" i="17"/>
  <c r="BF21" i="17"/>
  <c r="BJ21" i="17"/>
  <c r="AI22" i="17"/>
  <c r="AM22" i="17"/>
  <c r="BI22" i="17"/>
  <c r="BL23" i="17"/>
  <c r="AO24" i="17"/>
  <c r="AJ25" i="17"/>
  <c r="AN25" i="17"/>
  <c r="BF25" i="17"/>
  <c r="BJ25" i="17"/>
  <c r="BI26" i="17"/>
  <c r="AM26" i="17"/>
  <c r="AI26" i="17"/>
  <c r="BG26" i="17"/>
  <c r="BO26" i="17"/>
  <c r="AT26" i="17"/>
  <c r="BL26" i="17"/>
  <c r="BI27" i="17"/>
  <c r="AC28" i="17"/>
  <c r="AQ28" i="17"/>
  <c r="BL30" i="17"/>
  <c r="AT30" i="17"/>
  <c r="BL33" i="17"/>
  <c r="BG33" i="17"/>
  <c r="BF33" i="17"/>
  <c r="AJ33" i="17"/>
  <c r="AI33" i="17"/>
  <c r="BI33" i="17"/>
  <c r="AT33" i="17"/>
  <c r="BO33" i="17"/>
  <c r="AC40" i="17"/>
  <c r="AJ18" i="17"/>
  <c r="AN18" i="17"/>
  <c r="AI19" i="17"/>
  <c r="AM19" i="17"/>
  <c r="AL20" i="17"/>
  <c r="AJ22" i="17"/>
  <c r="AN22" i="17"/>
  <c r="AI23" i="17"/>
  <c r="AM23" i="17"/>
  <c r="AO26" i="17"/>
  <c r="AN26" i="17"/>
  <c r="BF26" i="17"/>
  <c r="AC27" i="17"/>
  <c r="AT29" i="17"/>
  <c r="BJ30" i="17"/>
  <c r="AN30" i="17"/>
  <c r="AO30" i="17"/>
  <c r="AC31" i="17"/>
  <c r="BI32" i="17"/>
  <c r="AT32" i="17"/>
  <c r="AN27" i="17"/>
  <c r="BJ27" i="17"/>
  <c r="AI28" i="17"/>
  <c r="AM28" i="17"/>
  <c r="BI28" i="17"/>
  <c r="AL29" i="17"/>
  <c r="BL29" i="17"/>
  <c r="AM30" i="17"/>
  <c r="BI30" i="17"/>
  <c r="AT31" i="17"/>
  <c r="AL32" i="17"/>
  <c r="AO32" i="17"/>
  <c r="AC34" i="17"/>
  <c r="AQ34" i="17"/>
  <c r="AO27" i="17"/>
  <c r="AJ28" i="17"/>
  <c r="AN28" i="17"/>
  <c r="BF28" i="17"/>
  <c r="BJ28" i="17"/>
  <c r="AI29" i="17"/>
  <c r="AM29" i="17"/>
  <c r="BI29" i="17"/>
  <c r="AI30" i="17"/>
  <c r="BJ31" i="17"/>
  <c r="AC32" i="17"/>
  <c r="AQ32" i="17"/>
  <c r="AC33" i="17"/>
  <c r="AC35" i="17"/>
  <c r="AQ35" i="17"/>
  <c r="BG38" i="17"/>
  <c r="BF38" i="17"/>
  <c r="AJ38" i="17"/>
  <c r="BL38" i="17"/>
  <c r="AI38" i="17"/>
  <c r="BI38" i="17"/>
  <c r="BO38" i="17"/>
  <c r="AT38" i="17"/>
  <c r="BI40" i="17"/>
  <c r="AT40" i="17"/>
  <c r="AJ29" i="17"/>
  <c r="AN29" i="17"/>
  <c r="BG30" i="17"/>
  <c r="BF30" i="17"/>
  <c r="AJ30" i="17"/>
  <c r="BO30" i="17"/>
  <c r="AQ31" i="17"/>
  <c r="BO34" i="17"/>
  <c r="AC36" i="17"/>
  <c r="BI37" i="17"/>
  <c r="BJ39" i="17"/>
  <c r="BL31" i="17"/>
  <c r="AN33" i="17"/>
  <c r="BJ33" i="17"/>
  <c r="BF34" i="17"/>
  <c r="BL34" i="17"/>
  <c r="AI34" i="17"/>
  <c r="AM34" i="17"/>
  <c r="BG34" i="17"/>
  <c r="AN35" i="17"/>
  <c r="BI36" i="17"/>
  <c r="AT36" i="17"/>
  <c r="BL37" i="17"/>
  <c r="AO37" i="17"/>
  <c r="BJ38" i="17"/>
  <c r="AC39" i="17"/>
  <c r="AQ39" i="17"/>
  <c r="AI31" i="17"/>
  <c r="AM31" i="17"/>
  <c r="BI31" i="17"/>
  <c r="BL32" i="17"/>
  <c r="AO33" i="17"/>
  <c r="BJ34" i="17"/>
  <c r="AJ34" i="17"/>
  <c r="AN34" i="17"/>
  <c r="BI34" i="17"/>
  <c r="BI35" i="17"/>
  <c r="BO35" i="17"/>
  <c r="AC37" i="17"/>
  <c r="AQ37" i="17"/>
  <c r="BJ37" i="17"/>
  <c r="AC38" i="17"/>
  <c r="AD38" i="17" s="1"/>
  <c r="AE38" i="17" s="1"/>
  <c r="AQ40" i="17"/>
  <c r="AJ31" i="17"/>
  <c r="AN31" i="17"/>
  <c r="AI32" i="17"/>
  <c r="AM32" i="17"/>
  <c r="AO34" i="17"/>
  <c r="BJ35" i="17"/>
  <c r="AO35" i="17"/>
  <c r="AQ36" i="17"/>
  <c r="BI39" i="17"/>
  <c r="BO39" i="17"/>
  <c r="BG35" i="17"/>
  <c r="AJ36" i="17"/>
  <c r="AN36" i="17"/>
  <c r="BF36" i="17"/>
  <c r="BJ36" i="17"/>
  <c r="AI37" i="17"/>
  <c r="AM37" i="17"/>
  <c r="AL38" i="17"/>
  <c r="AO39" i="17"/>
  <c r="BG39" i="17"/>
  <c r="AJ40" i="17"/>
  <c r="AN40" i="17"/>
  <c r="BF40" i="17"/>
  <c r="BJ40" i="17"/>
  <c r="AI35" i="17"/>
  <c r="AM35" i="17"/>
  <c r="BL36" i="17"/>
  <c r="AN38" i="17"/>
  <c r="AI39" i="17"/>
  <c r="AM39" i="17"/>
  <c r="BL40" i="17"/>
  <c r="AI36" i="17"/>
  <c r="AM36" i="17"/>
  <c r="AN39" i="17"/>
  <c r="AI40" i="17"/>
  <c r="AM40" i="17"/>
  <c r="BF32" i="16"/>
  <c r="BL39" i="16"/>
  <c r="BF26" i="16"/>
  <c r="AJ27" i="16"/>
  <c r="AJ24" i="16"/>
  <c r="AJ26" i="16"/>
  <c r="BG26" i="16"/>
  <c r="AK23" i="16"/>
  <c r="BF22" i="16"/>
  <c r="AO16" i="16"/>
  <c r="AJ17" i="16"/>
  <c r="BF18" i="16"/>
  <c r="BL22" i="16"/>
  <c r="BL16" i="16"/>
  <c r="AJ20" i="16"/>
  <c r="AJ22" i="16"/>
  <c r="AC16" i="16"/>
  <c r="AC17" i="16"/>
  <c r="AC21" i="16"/>
  <c r="AC25" i="16"/>
  <c r="AC28" i="16"/>
  <c r="AC19" i="16"/>
  <c r="AC23" i="16"/>
  <c r="BM40" i="16"/>
  <c r="BM36" i="16"/>
  <c r="BM39" i="16"/>
  <c r="BM35" i="16"/>
  <c r="BM37" i="16"/>
  <c r="AQ38" i="16"/>
  <c r="BM34" i="16"/>
  <c r="BM30" i="16"/>
  <c r="BM33" i="16"/>
  <c r="BM32" i="16"/>
  <c r="BM38" i="16"/>
  <c r="BM29" i="16"/>
  <c r="BJ37" i="16"/>
  <c r="BM31" i="16"/>
  <c r="BM27" i="16"/>
  <c r="BM24" i="16"/>
  <c r="AQ24" i="16"/>
  <c r="BM20" i="16"/>
  <c r="BJ27" i="16"/>
  <c r="BM23" i="16"/>
  <c r="AQ30" i="16"/>
  <c r="BM28" i="16"/>
  <c r="BM26" i="16"/>
  <c r="BM22" i="16"/>
  <c r="BM18" i="16"/>
  <c r="BM17" i="16"/>
  <c r="AB18" i="16"/>
  <c r="BJ18" i="16"/>
  <c r="BF19" i="16"/>
  <c r="AJ19" i="16"/>
  <c r="BL19" i="16"/>
  <c r="AT21" i="16"/>
  <c r="BO21" i="16"/>
  <c r="BL24" i="16"/>
  <c r="AO24" i="16"/>
  <c r="AO29" i="16"/>
  <c r="AN29" i="16"/>
  <c r="BL29" i="16"/>
  <c r="AL29" i="16"/>
  <c r="BL30" i="16"/>
  <c r="BG30" i="16"/>
  <c r="BF30" i="16"/>
  <c r="AJ30" i="16"/>
  <c r="AI30" i="16"/>
  <c r="BI30" i="16"/>
  <c r="BO30" i="16"/>
  <c r="AT30" i="16"/>
  <c r="BJ32" i="16"/>
  <c r="M38" i="16"/>
  <c r="N37" i="16"/>
  <c r="N40" i="16"/>
  <c r="M37" i="16"/>
  <c r="N36" i="16"/>
  <c r="M39" i="16"/>
  <c r="N38" i="16"/>
  <c r="M35" i="16"/>
  <c r="N39" i="16"/>
  <c r="N35" i="16"/>
  <c r="M32" i="16"/>
  <c r="N31" i="16"/>
  <c r="M40" i="16"/>
  <c r="M36" i="16"/>
  <c r="N34" i="16"/>
  <c r="M34" i="16"/>
  <c r="N33" i="16"/>
  <c r="N30" i="16"/>
  <c r="M33" i="16"/>
  <c r="M30" i="16"/>
  <c r="N32" i="16"/>
  <c r="M29" i="16"/>
  <c r="N28" i="16"/>
  <c r="BN28" i="16" s="1"/>
  <c r="M26" i="16"/>
  <c r="N25" i="16"/>
  <c r="M22" i="16"/>
  <c r="N21" i="16"/>
  <c r="M18" i="16"/>
  <c r="M25" i="16"/>
  <c r="AS25" i="16" s="1"/>
  <c r="N24" i="16"/>
  <c r="M21" i="16"/>
  <c r="AS21" i="16" s="1"/>
  <c r="N20" i="16"/>
  <c r="N29" i="16"/>
  <c r="N27" i="16"/>
  <c r="M24" i="16"/>
  <c r="AS24" i="16" s="1"/>
  <c r="N23" i="16"/>
  <c r="M20" i="16"/>
  <c r="N19" i="16"/>
  <c r="AB16" i="16"/>
  <c r="AJ16" i="16"/>
  <c r="AN16" i="16"/>
  <c r="BF16" i="16"/>
  <c r="BJ16" i="16"/>
  <c r="AI17" i="16"/>
  <c r="AM17" i="16"/>
  <c r="AQ17" i="16"/>
  <c r="BI17" i="16"/>
  <c r="BO17" i="16"/>
  <c r="AC18" i="16"/>
  <c r="AQ18" i="16"/>
  <c r="N18" i="16"/>
  <c r="AS18" i="16" s="1"/>
  <c r="AL18" i="16"/>
  <c r="AT18" i="16"/>
  <c r="BL18" i="16"/>
  <c r="BJ19" i="16"/>
  <c r="AI19" i="16"/>
  <c r="BI19" i="16"/>
  <c r="BI20" i="16"/>
  <c r="BO20" i="16"/>
  <c r="AQ21" i="16"/>
  <c r="AC22" i="16"/>
  <c r="AQ22" i="16"/>
  <c r="N22" i="16"/>
  <c r="O22" i="16" s="1"/>
  <c r="BJ23" i="16"/>
  <c r="AO23" i="16"/>
  <c r="AC24" i="16"/>
  <c r="BI26" i="16"/>
  <c r="AC27" i="16"/>
  <c r="AQ27" i="16"/>
  <c r="M27" i="16"/>
  <c r="AS27" i="16" s="1"/>
  <c r="AQ28" i="16"/>
  <c r="M28" i="16"/>
  <c r="AB39" i="16"/>
  <c r="AB35" i="16"/>
  <c r="AB38" i="16"/>
  <c r="AB40" i="16"/>
  <c r="AB36" i="16"/>
  <c r="AB33" i="16"/>
  <c r="AB31" i="16"/>
  <c r="AB28" i="16"/>
  <c r="AB37" i="16"/>
  <c r="AB30" i="16"/>
  <c r="AB23" i="16"/>
  <c r="AD23" i="16" s="1"/>
  <c r="AE23" i="16" s="1"/>
  <c r="AB19" i="16"/>
  <c r="AB27" i="16"/>
  <c r="AB26" i="16"/>
  <c r="AB22" i="16"/>
  <c r="AB34" i="16"/>
  <c r="AB32" i="16"/>
  <c r="AB25" i="16"/>
  <c r="AB21" i="16"/>
  <c r="AI16" i="16"/>
  <c r="AM16" i="16"/>
  <c r="AQ16" i="16"/>
  <c r="BI16" i="16"/>
  <c r="BM16" i="16"/>
  <c r="AK16" i="16"/>
  <c r="AB17" i="16"/>
  <c r="M19" i="16"/>
  <c r="AS19" i="16" s="1"/>
  <c r="AK19" i="16"/>
  <c r="BL20" i="16"/>
  <c r="AL20" i="16"/>
  <c r="AO20" i="16"/>
  <c r="AB20" i="16"/>
  <c r="BJ20" i="16"/>
  <c r="BM21" i="16"/>
  <c r="AS22" i="16"/>
  <c r="AT22" i="16"/>
  <c r="AQ23" i="16"/>
  <c r="M23" i="16"/>
  <c r="AS23" i="16" s="1"/>
  <c r="BL25" i="16"/>
  <c r="BG25" i="16"/>
  <c r="BF25" i="16"/>
  <c r="AJ25" i="16"/>
  <c r="AT25" i="16"/>
  <c r="BO25" i="16"/>
  <c r="AM25" i="16"/>
  <c r="AO26" i="16"/>
  <c r="AB29" i="16"/>
  <c r="AC31" i="16"/>
  <c r="AQ31" i="16"/>
  <c r="M31" i="16"/>
  <c r="AS31" i="16" s="1"/>
  <c r="BJ34" i="16"/>
  <c r="AL34" i="16"/>
  <c r="AO34" i="16"/>
  <c r="AN34" i="16"/>
  <c r="AC38" i="16"/>
  <c r="BG19" i="16"/>
  <c r="BO19" i="16"/>
  <c r="BL21" i="16"/>
  <c r="BG21" i="16"/>
  <c r="BF21" i="16"/>
  <c r="AJ21" i="16"/>
  <c r="AM21" i="16"/>
  <c r="AB24" i="16"/>
  <c r="BJ24" i="16"/>
  <c r="BM25" i="16"/>
  <c r="AK38" i="16"/>
  <c r="AK37" i="16"/>
  <c r="AK39" i="16"/>
  <c r="AK35" i="16"/>
  <c r="AK32" i="16"/>
  <c r="AK34" i="16"/>
  <c r="AK36" i="16"/>
  <c r="AK30" i="16"/>
  <c r="AK40" i="16"/>
  <c r="AK29" i="16"/>
  <c r="AK31" i="16"/>
  <c r="AK26" i="16"/>
  <c r="AK22" i="16"/>
  <c r="AK18" i="16"/>
  <c r="AK33" i="16"/>
  <c r="AK25" i="16"/>
  <c r="AK21" i="16"/>
  <c r="AK27" i="16"/>
  <c r="AK24" i="16"/>
  <c r="AK20" i="16"/>
  <c r="BG16" i="16"/>
  <c r="BO16" i="16"/>
  <c r="BJ17" i="16"/>
  <c r="BK17" i="16"/>
  <c r="AN18" i="16"/>
  <c r="BK38" i="16"/>
  <c r="BK37" i="16"/>
  <c r="BK39" i="16"/>
  <c r="BK35" i="16"/>
  <c r="BO40" i="16"/>
  <c r="AT39" i="16"/>
  <c r="BO36" i="16"/>
  <c r="AT35" i="16"/>
  <c r="BK32" i="16"/>
  <c r="BK40" i="16"/>
  <c r="BK36" i="16"/>
  <c r="BK34" i="16"/>
  <c r="AT34" i="16"/>
  <c r="AO40" i="16"/>
  <c r="AO36" i="16"/>
  <c r="BO33" i="16"/>
  <c r="BK27" i="16"/>
  <c r="BK33" i="16"/>
  <c r="AO31" i="16"/>
  <c r="BK30" i="16"/>
  <c r="AO30" i="16"/>
  <c r="AO33" i="16"/>
  <c r="AT32" i="16"/>
  <c r="BK29" i="16"/>
  <c r="BO26" i="16"/>
  <c r="BK26" i="16"/>
  <c r="BO22" i="16"/>
  <c r="BK22" i="16"/>
  <c r="BK18" i="16"/>
  <c r="BK31" i="16"/>
  <c r="AO28" i="16"/>
  <c r="BK25" i="16"/>
  <c r="AO25" i="16"/>
  <c r="AT24" i="16"/>
  <c r="BK21" i="16"/>
  <c r="AO21" i="16"/>
  <c r="AT20" i="16"/>
  <c r="BO34" i="16"/>
  <c r="AT29" i="16"/>
  <c r="BK24" i="16"/>
  <c r="BK20" i="16"/>
  <c r="M15" i="16"/>
  <c r="O15" i="16" s="1"/>
  <c r="N16" i="16"/>
  <c r="M17" i="16"/>
  <c r="AK17" i="16"/>
  <c r="AO17" i="16"/>
  <c r="BG17" i="16"/>
  <c r="BL17" i="16"/>
  <c r="BO18" i="16"/>
  <c r="AM19" i="16"/>
  <c r="BM19" i="16"/>
  <c r="AC20" i="16"/>
  <c r="AQ20" i="16"/>
  <c r="BN20" i="16"/>
  <c r="AI21" i="16"/>
  <c r="BO23" i="16"/>
  <c r="BI24" i="16"/>
  <c r="BO24" i="16"/>
  <c r="AN24" i="16"/>
  <c r="AQ25" i="16"/>
  <c r="BI25" i="16"/>
  <c r="AC26" i="16"/>
  <c r="AQ26" i="16"/>
  <c r="N26" i="16"/>
  <c r="O26" i="16" s="1"/>
  <c r="AO27" i="16"/>
  <c r="AM28" i="16"/>
  <c r="BK28" i="16"/>
  <c r="BJ29" i="16"/>
  <c r="AM30" i="16"/>
  <c r="AI18" i="16"/>
  <c r="AM18" i="16"/>
  <c r="BI18" i="16"/>
  <c r="AL19" i="16"/>
  <c r="BG20" i="16"/>
  <c r="AN21" i="16"/>
  <c r="BJ21" i="16"/>
  <c r="AI22" i="16"/>
  <c r="AM22" i="16"/>
  <c r="BI22" i="16"/>
  <c r="AL23" i="16"/>
  <c r="BL23" i="16"/>
  <c r="BG24" i="16"/>
  <c r="AN25" i="16"/>
  <c r="BJ25" i="16"/>
  <c r="AI26" i="16"/>
  <c r="AM26" i="16"/>
  <c r="AC29" i="16"/>
  <c r="AQ29" i="16"/>
  <c r="AC33" i="16"/>
  <c r="AN22" i="16"/>
  <c r="BJ22" i="16"/>
  <c r="AI23" i="16"/>
  <c r="AM23" i="16"/>
  <c r="BI23" i="16"/>
  <c r="AN26" i="16"/>
  <c r="BJ26" i="16"/>
  <c r="BI27" i="16"/>
  <c r="AM27" i="16"/>
  <c r="AI27" i="16"/>
  <c r="BO27" i="16"/>
  <c r="BF28" i="16"/>
  <c r="AJ28" i="16"/>
  <c r="BL28" i="16"/>
  <c r="AT28" i="16"/>
  <c r="BG28" i="16"/>
  <c r="BO28" i="16"/>
  <c r="AC30" i="16"/>
  <c r="AM31" i="16"/>
  <c r="AC40" i="16"/>
  <c r="AN19" i="16"/>
  <c r="AI20" i="16"/>
  <c r="AM20" i="16"/>
  <c r="AJ23" i="16"/>
  <c r="AN23" i="16"/>
  <c r="AI24" i="16"/>
  <c r="AM24" i="16"/>
  <c r="BF27" i="16"/>
  <c r="BL27" i="16"/>
  <c r="BJ28" i="16"/>
  <c r="AI28" i="16"/>
  <c r="BI28" i="16"/>
  <c r="BI29" i="16"/>
  <c r="BO29" i="16"/>
  <c r="AO32" i="16"/>
  <c r="AN32" i="16"/>
  <c r="BL32" i="16"/>
  <c r="AL32" i="16"/>
  <c r="BF33" i="16"/>
  <c r="AJ33" i="16"/>
  <c r="BI33" i="16"/>
  <c r="AM33" i="16"/>
  <c r="AI33" i="16"/>
  <c r="BL33" i="16"/>
  <c r="BG33" i="16"/>
  <c r="AT33" i="16"/>
  <c r="BG29" i="16"/>
  <c r="AN30" i="16"/>
  <c r="BJ30" i="16"/>
  <c r="BN31" i="16"/>
  <c r="AC32" i="16"/>
  <c r="AQ32" i="16"/>
  <c r="BJ33" i="16"/>
  <c r="AC34" i="16"/>
  <c r="AQ34" i="16"/>
  <c r="AC36" i="16"/>
  <c r="AL37" i="16"/>
  <c r="AO37" i="16"/>
  <c r="AN37" i="16"/>
  <c r="BL31" i="16"/>
  <c r="BF31" i="16"/>
  <c r="AJ31" i="16"/>
  <c r="AT31" i="16"/>
  <c r="BG31" i="16"/>
  <c r="BO31" i="16"/>
  <c r="AS32" i="16"/>
  <c r="AQ33" i="16"/>
  <c r="BI40" i="16"/>
  <c r="AT40" i="16"/>
  <c r="AN28" i="16"/>
  <c r="AI29" i="16"/>
  <c r="AM29" i="16"/>
  <c r="AI31" i="16"/>
  <c r="BI31" i="16"/>
  <c r="BO32" i="16"/>
  <c r="BI34" i="16"/>
  <c r="BN35" i="16"/>
  <c r="AS35" i="16"/>
  <c r="BI36" i="16"/>
  <c r="AT36" i="16"/>
  <c r="AN31" i="16"/>
  <c r="BJ31" i="16"/>
  <c r="AI32" i="16"/>
  <c r="AM32" i="16"/>
  <c r="BI32" i="16"/>
  <c r="AL33" i="16"/>
  <c r="BO35" i="16"/>
  <c r="AC37" i="16"/>
  <c r="BO39" i="16"/>
  <c r="BJ35" i="16"/>
  <c r="AQ36" i="16"/>
  <c r="BG38" i="16"/>
  <c r="BF38" i="16"/>
  <c r="AJ38" i="16"/>
  <c r="BL38" i="16"/>
  <c r="BO38" i="16"/>
  <c r="AT38" i="16"/>
  <c r="AM38" i="16"/>
  <c r="BJ39" i="16"/>
  <c r="AQ40" i="16"/>
  <c r="AN33" i="16"/>
  <c r="BL34" i="16"/>
  <c r="AI34" i="16"/>
  <c r="AM34" i="16"/>
  <c r="BF34" i="16"/>
  <c r="AC35" i="16"/>
  <c r="AD35" i="16" s="1"/>
  <c r="AE35" i="16" s="1"/>
  <c r="AQ35" i="16"/>
  <c r="BL37" i="16"/>
  <c r="AT37" i="16"/>
  <c r="AO38" i="16"/>
  <c r="BI38" i="16"/>
  <c r="AC39" i="16"/>
  <c r="AQ39" i="16"/>
  <c r="AO35" i="16"/>
  <c r="BG35" i="16"/>
  <c r="AJ36" i="16"/>
  <c r="AN36" i="16"/>
  <c r="BF36" i="16"/>
  <c r="BJ36" i="16"/>
  <c r="AI37" i="16"/>
  <c r="AM37" i="16"/>
  <c r="AQ37" i="16"/>
  <c r="BI37" i="16"/>
  <c r="AL38" i="16"/>
  <c r="AO39" i="16"/>
  <c r="BG39" i="16"/>
  <c r="AJ40" i="16"/>
  <c r="AN40" i="16"/>
  <c r="BF40" i="16"/>
  <c r="BJ40" i="16"/>
  <c r="AI35" i="16"/>
  <c r="AM35" i="16"/>
  <c r="BI35" i="16"/>
  <c r="AL36" i="16"/>
  <c r="BL36" i="16"/>
  <c r="BG37" i="16"/>
  <c r="BO37" i="16"/>
  <c r="AN38" i="16"/>
  <c r="BJ38" i="16"/>
  <c r="AI39" i="16"/>
  <c r="AM39" i="16"/>
  <c r="BI39" i="16"/>
  <c r="AL40" i="16"/>
  <c r="BL40" i="16"/>
  <c r="AJ35" i="16"/>
  <c r="AN35" i="16"/>
  <c r="AI36" i="16"/>
  <c r="AM36" i="16"/>
  <c r="AJ39" i="16"/>
  <c r="AN39" i="16"/>
  <c r="AI40" i="16"/>
  <c r="AM40" i="16"/>
  <c r="AT28" i="15"/>
  <c r="AT18" i="15"/>
  <c r="AT22" i="15"/>
  <c r="AT26" i="15"/>
  <c r="AT30" i="15"/>
  <c r="AT34" i="15"/>
  <c r="AT38" i="15"/>
  <c r="AT19" i="15"/>
  <c r="AT23" i="15"/>
  <c r="AT27" i="15"/>
  <c r="AT31" i="15"/>
  <c r="AT35" i="15"/>
  <c r="AT39" i="15"/>
  <c r="AT17" i="15"/>
  <c r="AT21" i="15"/>
  <c r="AT25" i="15"/>
  <c r="AT29" i="15"/>
  <c r="AT33" i="15"/>
  <c r="AT37" i="15"/>
  <c r="AT16" i="15"/>
  <c r="AT40" i="15"/>
  <c r="AT24" i="15"/>
  <c r="AT36" i="15"/>
  <c r="AT20" i="15"/>
  <c r="AO30" i="15"/>
  <c r="AO19" i="15"/>
  <c r="AO23" i="15"/>
  <c r="AO17" i="15"/>
  <c r="AO21" i="15"/>
  <c r="AO18" i="15"/>
  <c r="AO22" i="15"/>
  <c r="AO26" i="15"/>
  <c r="AO34" i="15"/>
  <c r="AO38" i="15"/>
  <c r="AO35" i="15"/>
  <c r="AO39" i="15"/>
  <c r="AO27" i="15"/>
  <c r="AO31" i="15"/>
  <c r="AO16" i="15"/>
  <c r="AO20" i="15"/>
  <c r="AO28" i="15"/>
  <c r="AO32" i="15"/>
  <c r="AO36" i="15"/>
  <c r="AO40" i="15"/>
  <c r="AO25" i="15"/>
  <c r="AO29" i="15"/>
  <c r="AO33" i="15"/>
  <c r="AO37" i="15"/>
  <c r="AL24" i="15"/>
  <c r="AO24" i="15"/>
  <c r="AC27" i="15"/>
  <c r="AC17" i="15"/>
  <c r="AN38" i="15"/>
  <c r="AQ17" i="15"/>
  <c r="AN35" i="15"/>
  <c r="AI36" i="15"/>
  <c r="BG36" i="15"/>
  <c r="AQ37" i="15"/>
  <c r="AI39" i="15"/>
  <c r="BL39" i="15"/>
  <c r="AQ27" i="15"/>
  <c r="AN28" i="15"/>
  <c r="AQ31" i="15"/>
  <c r="AN32" i="15"/>
  <c r="AN18" i="15"/>
  <c r="AL18" i="15"/>
  <c r="AB34" i="15"/>
  <c r="AB20" i="15"/>
  <c r="AN21" i="15"/>
  <c r="AQ24" i="15"/>
  <c r="AN25" i="15"/>
  <c r="AL25" i="15"/>
  <c r="AI26" i="15"/>
  <c r="BF26" i="15"/>
  <c r="AQ40" i="15"/>
  <c r="AQ18" i="15"/>
  <c r="AN19" i="15"/>
  <c r="AQ21" i="15"/>
  <c r="AN22" i="15"/>
  <c r="AQ25" i="15"/>
  <c r="AN26" i="15"/>
  <c r="AL26" i="15"/>
  <c r="AQ28" i="15"/>
  <c r="AN29" i="15"/>
  <c r="AL29" i="15"/>
  <c r="AQ32" i="15"/>
  <c r="AN33" i="15"/>
  <c r="AL33" i="15"/>
  <c r="AQ35" i="15"/>
  <c r="AN36" i="15"/>
  <c r="AL36" i="15"/>
  <c r="AQ38" i="15"/>
  <c r="AN39" i="15"/>
  <c r="AL39" i="15"/>
  <c r="AK16" i="15"/>
  <c r="AM16" i="15"/>
  <c r="AN16" i="15"/>
  <c r="AQ19" i="15"/>
  <c r="AN20" i="15"/>
  <c r="AL20" i="15"/>
  <c r="AQ22" i="15"/>
  <c r="AN23" i="15"/>
  <c r="AL23" i="15"/>
  <c r="AQ26" i="15"/>
  <c r="AL27" i="15"/>
  <c r="AQ29" i="15"/>
  <c r="AN30" i="15"/>
  <c r="AQ33" i="15"/>
  <c r="AN34" i="15"/>
  <c r="AL34" i="15"/>
  <c r="AQ36" i="15"/>
  <c r="AL37" i="15"/>
  <c r="AQ39" i="15"/>
  <c r="AL40" i="15"/>
  <c r="AQ16" i="15"/>
  <c r="AN17" i="15"/>
  <c r="AC20" i="15"/>
  <c r="AQ20" i="15"/>
  <c r="AQ23" i="15"/>
  <c r="AN27" i="15"/>
  <c r="AQ30" i="15"/>
  <c r="AN31" i="15"/>
  <c r="AL31" i="15"/>
  <c r="AQ34" i="15"/>
  <c r="BF34" i="15"/>
  <c r="AL35" i="15"/>
  <c r="AN37" i="15"/>
  <c r="AN40" i="15"/>
  <c r="BL21" i="15"/>
  <c r="AL19" i="15"/>
  <c r="BM18" i="15"/>
  <c r="BF17" i="15"/>
  <c r="BF19" i="15"/>
  <c r="BF24" i="15"/>
  <c r="BF28" i="15"/>
  <c r="BL30" i="15"/>
  <c r="BF32" i="15"/>
  <c r="BF38" i="15"/>
  <c r="AI16" i="15"/>
  <c r="AK40" i="15"/>
  <c r="AK39" i="15"/>
  <c r="AK38" i="15"/>
  <c r="AK37" i="15"/>
  <c r="AK36" i="15"/>
  <c r="AK35" i="15"/>
  <c r="AK34" i="15"/>
  <c r="AK33" i="15"/>
  <c r="AK32" i="15"/>
  <c r="AK31" i="15"/>
  <c r="AK30" i="15"/>
  <c r="AK29" i="15"/>
  <c r="AK28" i="15"/>
  <c r="AK27" i="15"/>
  <c r="AK26" i="15"/>
  <c r="AK25" i="15"/>
  <c r="AK24" i="15"/>
  <c r="AK23" i="15"/>
  <c r="AK22" i="15"/>
  <c r="AK21" i="15"/>
  <c r="AK20" i="15"/>
  <c r="AK19" i="15"/>
  <c r="AK18" i="15"/>
  <c r="AK17" i="15"/>
  <c r="AL38" i="15"/>
  <c r="AL32" i="15"/>
  <c r="AL30" i="15"/>
  <c r="AL28" i="15"/>
  <c r="BG17" i="15"/>
  <c r="BG19" i="15"/>
  <c r="BF21" i="15"/>
  <c r="BF22" i="15"/>
  <c r="BG27" i="15"/>
  <c r="BG37" i="15"/>
  <c r="BF40" i="15"/>
  <c r="AJ16" i="15"/>
  <c r="AJ40" i="15"/>
  <c r="AJ39" i="15"/>
  <c r="AJ38" i="15"/>
  <c r="AJ37" i="15"/>
  <c r="AJ36" i="15"/>
  <c r="AJ35" i="15"/>
  <c r="AJ34" i="15"/>
  <c r="AJ33" i="15"/>
  <c r="AJ31" i="15"/>
  <c r="AJ30" i="15"/>
  <c r="AJ29" i="15"/>
  <c r="AJ27" i="15"/>
  <c r="AJ26" i="15"/>
  <c r="AJ25" i="15"/>
  <c r="AN24" i="15"/>
  <c r="AJ23" i="15"/>
  <c r="AJ22" i="15"/>
  <c r="AJ21" i="15"/>
  <c r="AJ20" i="15"/>
  <c r="AJ19" i="15"/>
  <c r="AJ18" i="15"/>
  <c r="AJ17" i="15"/>
  <c r="BG21" i="15"/>
  <c r="BL24" i="15"/>
  <c r="BL27" i="15"/>
  <c r="BL28" i="15"/>
  <c r="BL29" i="15"/>
  <c r="BG31" i="15"/>
  <c r="BL32" i="15"/>
  <c r="BF36" i="15"/>
  <c r="BL37" i="15"/>
  <c r="BG39" i="15"/>
  <c r="AM40" i="15"/>
  <c r="AM39" i="15"/>
  <c r="AM38" i="15"/>
  <c r="AM37" i="15"/>
  <c r="AM36" i="15"/>
  <c r="AM35" i="15"/>
  <c r="AI35" i="15"/>
  <c r="AM34" i="15"/>
  <c r="AI34" i="15"/>
  <c r="AM33" i="15"/>
  <c r="AM32" i="15"/>
  <c r="AI32" i="15"/>
  <c r="AM31" i="15"/>
  <c r="AM30" i="15"/>
  <c r="AM29" i="15"/>
  <c r="AM28" i="15"/>
  <c r="AI28" i="15"/>
  <c r="AM27" i="15"/>
  <c r="AM26" i="15"/>
  <c r="AM25" i="15"/>
  <c r="AM24" i="15"/>
  <c r="AI24" i="15"/>
  <c r="AM23" i="15"/>
  <c r="AM22" i="15"/>
  <c r="AI22" i="15"/>
  <c r="AM21" i="15"/>
  <c r="AM20" i="15"/>
  <c r="AM19" i="15"/>
  <c r="AM18" i="15"/>
  <c r="AM17" i="15"/>
  <c r="AC19" i="15"/>
  <c r="AB24" i="15"/>
  <c r="AC26" i="15"/>
  <c r="AB26" i="15"/>
  <c r="AC38" i="15"/>
  <c r="AB16" i="15"/>
  <c r="AC21" i="15"/>
  <c r="AC22" i="15"/>
  <c r="AC18" i="15"/>
  <c r="AB18" i="15"/>
  <c r="AC28" i="15"/>
  <c r="AC30" i="15"/>
  <c r="AB30" i="15"/>
  <c r="AC34" i="15"/>
  <c r="AD34" i="15" s="1"/>
  <c r="AE34" i="15" s="1"/>
  <c r="BK21" i="15"/>
  <c r="BO22" i="15"/>
  <c r="BK23" i="15"/>
  <c r="BO24" i="15"/>
  <c r="BM16" i="15"/>
  <c r="BK17" i="15"/>
  <c r="BO19" i="15"/>
  <c r="BJ25" i="15"/>
  <c r="BO17" i="15"/>
  <c r="N17" i="15"/>
  <c r="N19" i="15"/>
  <c r="M17" i="15"/>
  <c r="M19" i="15"/>
  <c r="N27" i="15"/>
  <c r="N21" i="15"/>
  <c r="BM36" i="15"/>
  <c r="BM24" i="15"/>
  <c r="BM30" i="15"/>
  <c r="BM20" i="15"/>
  <c r="BJ17" i="15"/>
  <c r="BI18" i="15"/>
  <c r="BJ19" i="15"/>
  <c r="BJ22" i="15"/>
  <c r="BK19" i="15"/>
  <c r="BO21" i="15"/>
  <c r="BK25" i="15"/>
  <c r="BJ27" i="15"/>
  <c r="BO27" i="15"/>
  <c r="BJ38" i="15"/>
  <c r="BM26" i="15"/>
  <c r="BO32" i="15"/>
  <c r="BG16" i="15"/>
  <c r="BF16" i="15"/>
  <c r="BF25" i="15"/>
  <c r="BI25" i="15"/>
  <c r="BG25" i="15"/>
  <c r="BI20" i="15"/>
  <c r="AC16" i="15"/>
  <c r="BI19" i="15"/>
  <c r="BG20" i="15"/>
  <c r="BF20" i="15"/>
  <c r="BO20" i="15"/>
  <c r="BL20" i="15"/>
  <c r="BJ24" i="15"/>
  <c r="BJ26" i="15"/>
  <c r="BI36" i="15"/>
  <c r="BI35" i="15"/>
  <c r="BI24" i="15"/>
  <c r="BI32" i="15"/>
  <c r="BI26" i="15"/>
  <c r="BO16" i="15"/>
  <c r="BL16" i="15"/>
  <c r="BJ18" i="15"/>
  <c r="BI22" i="15"/>
  <c r="BO25" i="15"/>
  <c r="BJ16" i="15"/>
  <c r="BL25" i="15"/>
  <c r="M39" i="15"/>
  <c r="M37" i="15"/>
  <c r="M35" i="15"/>
  <c r="N40" i="15"/>
  <c r="N38" i="15"/>
  <c r="N36" i="15"/>
  <c r="M40" i="15"/>
  <c r="M33" i="15"/>
  <c r="N34" i="15"/>
  <c r="N32" i="15"/>
  <c r="N30" i="15"/>
  <c r="N37" i="15"/>
  <c r="M36" i="15"/>
  <c r="N33" i="15"/>
  <c r="M32" i="15"/>
  <c r="M31" i="15"/>
  <c r="M29" i="15"/>
  <c r="M27" i="15"/>
  <c r="M25" i="15"/>
  <c r="M23" i="15"/>
  <c r="N35" i="15"/>
  <c r="M34" i="15"/>
  <c r="M30" i="15"/>
  <c r="AS30" i="15" s="1"/>
  <c r="N28" i="15"/>
  <c r="N26" i="15"/>
  <c r="N24" i="15"/>
  <c r="N22" i="15"/>
  <c r="N23" i="15"/>
  <c r="M22" i="15"/>
  <c r="N20" i="15"/>
  <c r="N18" i="15"/>
  <c r="N16" i="15"/>
  <c r="N39" i="15"/>
  <c r="O39" i="15" s="1"/>
  <c r="N25" i="15"/>
  <c r="M24" i="15"/>
  <c r="M20" i="15"/>
  <c r="M18" i="15"/>
  <c r="M16" i="15"/>
  <c r="N15" i="15"/>
  <c r="M38" i="15"/>
  <c r="M15" i="15"/>
  <c r="BI16" i="15"/>
  <c r="BI17" i="15"/>
  <c r="BG18" i="15"/>
  <c r="BF18" i="15"/>
  <c r="BO18" i="15"/>
  <c r="BL18" i="15"/>
  <c r="BJ20" i="15"/>
  <c r="M21" i="15"/>
  <c r="BF23" i="15"/>
  <c r="BI23" i="15"/>
  <c r="BG23" i="15"/>
  <c r="BL23" i="15"/>
  <c r="BO23" i="15"/>
  <c r="AC24" i="15"/>
  <c r="M26" i="15"/>
  <c r="M28" i="15"/>
  <c r="BI28" i="15"/>
  <c r="AC29" i="15"/>
  <c r="N29" i="15"/>
  <c r="AC31" i="15"/>
  <c r="N31" i="15"/>
  <c r="BF33" i="15"/>
  <c r="BI33" i="15"/>
  <c r="BG33" i="15"/>
  <c r="BL33" i="15"/>
  <c r="BO33" i="15"/>
  <c r="BJ34" i="15"/>
  <c r="BI38" i="15"/>
  <c r="BK40" i="15"/>
  <c r="BK38" i="15"/>
  <c r="BO36" i="15"/>
  <c r="BK36" i="15"/>
  <c r="BK37" i="15"/>
  <c r="BK39" i="15"/>
  <c r="BK32" i="15"/>
  <c r="BK30" i="15"/>
  <c r="BO39" i="15"/>
  <c r="BO37" i="15"/>
  <c r="BK35" i="15"/>
  <c r="BO34" i="15"/>
  <c r="BK29" i="15"/>
  <c r="BK34" i="15"/>
  <c r="BK31" i="15"/>
  <c r="BK28" i="15"/>
  <c r="BK26" i="15"/>
  <c r="BK24" i="15"/>
  <c r="BK22" i="15"/>
  <c r="AB40" i="15"/>
  <c r="AB39" i="15"/>
  <c r="AB37" i="15"/>
  <c r="AB38" i="15"/>
  <c r="AB36" i="15"/>
  <c r="AB35" i="15"/>
  <c r="AB33" i="15"/>
  <c r="AB31" i="15"/>
  <c r="AB32" i="15"/>
  <c r="AB29" i="15"/>
  <c r="AB27" i="15"/>
  <c r="AB25" i="15"/>
  <c r="AB23" i="15"/>
  <c r="BL17" i="15"/>
  <c r="BL19" i="15"/>
  <c r="BI21" i="15"/>
  <c r="AB22" i="15"/>
  <c r="BM22" i="15"/>
  <c r="BJ23" i="15"/>
  <c r="AC25" i="15"/>
  <c r="BO28" i="15"/>
  <c r="BJ28" i="15"/>
  <c r="BI29" i="15"/>
  <c r="BF29" i="15"/>
  <c r="BO29" i="15"/>
  <c r="BG29" i="15"/>
  <c r="BG30" i="15"/>
  <c r="BI30" i="15"/>
  <c r="BO30" i="15"/>
  <c r="BF30" i="15"/>
  <c r="AC32" i="15"/>
  <c r="BK33" i="15"/>
  <c r="AC36" i="15"/>
  <c r="AC39" i="15"/>
  <c r="BM40" i="15"/>
  <c r="BM39" i="15"/>
  <c r="BM37" i="15"/>
  <c r="BM38" i="15"/>
  <c r="BM35" i="15"/>
  <c r="BJ33" i="15"/>
  <c r="BJ31" i="15"/>
  <c r="BM34" i="15"/>
  <c r="BM33" i="15"/>
  <c r="BM31" i="15"/>
  <c r="BM29" i="15"/>
  <c r="BM32" i="15"/>
  <c r="BM27" i="15"/>
  <c r="BM25" i="15"/>
  <c r="BM23" i="15"/>
  <c r="BM21" i="15"/>
  <c r="BK16" i="15"/>
  <c r="AB17" i="15"/>
  <c r="BM17" i="15"/>
  <c r="BK18" i="15"/>
  <c r="AB19" i="15"/>
  <c r="BM19" i="15"/>
  <c r="BK20" i="15"/>
  <c r="AB21" i="15"/>
  <c r="BJ21" i="15"/>
  <c r="AC23" i="15"/>
  <c r="BL26" i="15"/>
  <c r="BO26" i="15"/>
  <c r="BF27" i="15"/>
  <c r="BI27" i="15"/>
  <c r="BK27" i="15"/>
  <c r="AB28" i="15"/>
  <c r="BM28" i="15"/>
  <c r="BJ30" i="15"/>
  <c r="BF31" i="15"/>
  <c r="BI31" i="15"/>
  <c r="BL31" i="15"/>
  <c r="BO31" i="15"/>
  <c r="BJ32" i="15"/>
  <c r="BO35" i="15"/>
  <c r="BI40" i="15"/>
  <c r="BO40" i="15"/>
  <c r="BG22" i="15"/>
  <c r="BG24" i="15"/>
  <c r="BG26" i="15"/>
  <c r="BG28" i="15"/>
  <c r="BJ29" i="15"/>
  <c r="AC35" i="15"/>
  <c r="BJ37" i="15"/>
  <c r="AC40" i="15"/>
  <c r="AC33" i="15"/>
  <c r="AC37" i="15"/>
  <c r="BG32" i="15"/>
  <c r="BG35" i="15"/>
  <c r="BL35" i="15"/>
  <c r="BL36" i="15"/>
  <c r="BL38" i="15"/>
  <c r="BO38" i="15"/>
  <c r="BF39" i="15"/>
  <c r="BI39" i="15"/>
  <c r="BJ40" i="15"/>
  <c r="BL34" i="15"/>
  <c r="BI34" i="15"/>
  <c r="BJ35" i="15"/>
  <c r="BJ36" i="15"/>
  <c r="BF37" i="15"/>
  <c r="BI37" i="15"/>
  <c r="BJ39" i="15"/>
  <c r="BG38" i="15"/>
  <c r="BG40" i="15"/>
  <c r="BL40" i="15"/>
  <c r="Q15" i="22"/>
  <c r="Z19" i="22"/>
  <c r="U18" i="22"/>
  <c r="W16" i="22"/>
  <c r="Z25" i="22"/>
  <c r="Z28" i="22"/>
  <c r="T20" i="22"/>
  <c r="W17" i="22"/>
  <c r="X19" i="22"/>
  <c r="Q22" i="22"/>
  <c r="R24" i="22"/>
  <c r="W25" i="22"/>
  <c r="AA26" i="22"/>
  <c r="Z18" i="22"/>
  <c r="Z20" i="22"/>
  <c r="Z22" i="22"/>
  <c r="Z24" i="22"/>
  <c r="U29" i="22"/>
  <c r="Q17" i="22"/>
  <c r="R19" i="22"/>
  <c r="W22" i="22"/>
  <c r="X24" i="22"/>
  <c r="Q25" i="22"/>
  <c r="T27" i="22"/>
  <c r="Q31" i="22"/>
  <c r="Q27" i="22"/>
  <c r="R29" i="22"/>
  <c r="W30" i="22"/>
  <c r="AA27" i="22"/>
  <c r="AA29" i="22"/>
  <c r="W27" i="22"/>
  <c r="X29" i="22"/>
  <c r="Q30" i="22"/>
  <c r="T33" i="22"/>
  <c r="Q33" i="22"/>
  <c r="X35" i="22"/>
  <c r="Z31" i="22"/>
  <c r="Z33" i="22"/>
  <c r="R40" i="22"/>
  <c r="W33" i="22"/>
  <c r="X37" i="22"/>
  <c r="AA36" i="22"/>
  <c r="AA38" i="22"/>
  <c r="AA40" i="22"/>
  <c r="R35" i="22"/>
  <c r="Q39" i="22"/>
  <c r="X40" i="22"/>
  <c r="T36" i="22"/>
  <c r="T38" i="22"/>
  <c r="T40" i="22"/>
  <c r="AL37" i="22"/>
  <c r="AL34" i="22"/>
  <c r="BP33" i="22"/>
  <c r="BP27" i="22"/>
  <c r="BP29" i="22"/>
  <c r="BH18" i="22"/>
  <c r="BH29" i="22"/>
  <c r="BQ37" i="22"/>
  <c r="BQ40" i="22"/>
  <c r="BQ30" i="22"/>
  <c r="BQ34" i="22"/>
  <c r="BQ26" i="22"/>
  <c r="BH31" i="22"/>
  <c r="BQ25" i="22"/>
  <c r="BQ17" i="22"/>
  <c r="BH27" i="22"/>
  <c r="BQ20" i="22"/>
  <c r="AH37" i="22"/>
  <c r="AH39" i="22"/>
  <c r="AG27" i="22"/>
  <c r="AG24" i="22"/>
  <c r="AP17" i="22"/>
  <c r="AP18" i="22"/>
  <c r="AH29" i="22"/>
  <c r="BE31" i="22"/>
  <c r="AH19" i="22"/>
  <c r="BE24" i="22"/>
  <c r="BE26" i="22"/>
  <c r="BP26" i="22"/>
  <c r="BP23" i="22"/>
  <c r="BE34" i="22"/>
  <c r="AL26" i="22"/>
  <c r="AL28" i="22"/>
  <c r="AH33" i="22"/>
  <c r="AP34" i="22"/>
  <c r="AH31" i="22"/>
  <c r="AP33" i="22"/>
  <c r="AR35" i="22"/>
  <c r="AL36" i="22"/>
  <c r="AL40" i="22"/>
  <c r="BP35" i="22"/>
  <c r="BP39" i="22"/>
  <c r="AP38" i="22"/>
  <c r="AG19" i="22"/>
  <c r="AH26" i="22"/>
  <c r="AP28" i="22"/>
  <c r="BP31" i="22"/>
  <c r="AL30" i="22"/>
  <c r="BE37" i="22"/>
  <c r="R16" i="22"/>
  <c r="AA16" i="22"/>
  <c r="T18" i="22"/>
  <c r="X16" i="22"/>
  <c r="U22" i="22"/>
  <c r="U26" i="22"/>
  <c r="T16" i="22"/>
  <c r="AA23" i="22"/>
  <c r="R18" i="22"/>
  <c r="W19" i="22"/>
  <c r="X21" i="22"/>
  <c r="Q24" i="22"/>
  <c r="Z26" i="22"/>
  <c r="AA18" i="22"/>
  <c r="AA20" i="22"/>
  <c r="AA22" i="22"/>
  <c r="AA24" i="22"/>
  <c r="T29" i="22"/>
  <c r="X18" i="22"/>
  <c r="Q19" i="22"/>
  <c r="R21" i="22"/>
  <c r="W24" i="22"/>
  <c r="X26" i="22"/>
  <c r="AA30" i="22"/>
  <c r="R38" i="22"/>
  <c r="Q29" i="22"/>
  <c r="U31" i="22"/>
  <c r="T28" i="22"/>
  <c r="T30" i="22"/>
  <c r="W29" i="22"/>
  <c r="AA32" i="22"/>
  <c r="X32" i="22"/>
  <c r="W35" i="22"/>
  <c r="AA31" i="22"/>
  <c r="AA33" i="22"/>
  <c r="R36" i="22"/>
  <c r="Q40" i="22"/>
  <c r="R32" i="22"/>
  <c r="W37" i="22"/>
  <c r="Z36" i="22"/>
  <c r="Z38" i="22"/>
  <c r="Z40" i="22"/>
  <c r="W36" i="22"/>
  <c r="R37" i="22"/>
  <c r="AA35" i="22"/>
  <c r="AA37" i="22"/>
  <c r="AA39" i="22"/>
  <c r="AG16" i="22"/>
  <c r="BQ16" i="22"/>
  <c r="AL35" i="22"/>
  <c r="BP28" i="22"/>
  <c r="BP30" i="22"/>
  <c r="BH20" i="22"/>
  <c r="AP39" i="22"/>
  <c r="AP37" i="22"/>
  <c r="AH16" i="22"/>
  <c r="AP20" i="22"/>
  <c r="BE25" i="22"/>
  <c r="BH40" i="22"/>
  <c r="BH36" i="22"/>
  <c r="BQ35" i="22"/>
  <c r="BH37" i="22"/>
  <c r="BH34" i="22"/>
  <c r="BQ33" i="22"/>
  <c r="BH28" i="22"/>
  <c r="BQ29" i="22"/>
  <c r="BQ23" i="22"/>
  <c r="BH23" i="22"/>
  <c r="BH19" i="22"/>
  <c r="BH26" i="22"/>
  <c r="BQ18" i="22"/>
  <c r="AH34" i="22"/>
  <c r="BE36" i="22"/>
  <c r="AG28" i="22"/>
  <c r="AG25" i="22"/>
  <c r="AG21" i="22"/>
  <c r="AG17" i="22"/>
  <c r="BE23" i="22"/>
  <c r="AH24" i="22"/>
  <c r="BH24" i="22"/>
  <c r="BE28" i="22"/>
  <c r="AL29" i="22"/>
  <c r="AH17" i="22"/>
  <c r="BE22" i="22"/>
  <c r="AH25" i="22"/>
  <c r="AP29" i="22"/>
  <c r="BP21" i="22"/>
  <c r="AH27" i="22"/>
  <c r="BE30" i="22"/>
  <c r="AP32" i="22"/>
  <c r="BE29" i="22"/>
  <c r="AL33" i="22"/>
  <c r="AL31" i="22"/>
  <c r="BE33" i="22"/>
  <c r="BE39" i="22"/>
  <c r="AH38" i="22"/>
  <c r="AG23" i="22"/>
  <c r="AH21" i="22"/>
  <c r="AR30" i="22"/>
  <c r="BP40" i="22"/>
  <c r="BE35" i="22"/>
  <c r="BP34" i="22"/>
  <c r="Q16" i="22"/>
  <c r="Z16" i="22"/>
  <c r="U24" i="22"/>
  <c r="AA21" i="22"/>
  <c r="AA17" i="22"/>
  <c r="T22" i="22"/>
  <c r="T26" i="22"/>
  <c r="U16" i="22"/>
  <c r="Z23" i="22"/>
  <c r="Q18" i="22"/>
  <c r="R20" i="22"/>
  <c r="W21" i="22"/>
  <c r="X23" i="22"/>
  <c r="R26" i="22"/>
  <c r="T17" i="22"/>
  <c r="T19" i="22"/>
  <c r="T21" i="22"/>
  <c r="T23" i="22"/>
  <c r="T25" i="22"/>
  <c r="W18" i="22"/>
  <c r="X20" i="22"/>
  <c r="Q21" i="22"/>
  <c r="R23" i="22"/>
  <c r="W26" i="22"/>
  <c r="Z30" i="22"/>
  <c r="AA34" i="22"/>
  <c r="Q38" i="22"/>
  <c r="X28" i="22"/>
  <c r="T31" i="22"/>
  <c r="U28" i="22"/>
  <c r="U30" i="22"/>
  <c r="R28" i="22"/>
  <c r="Z32" i="22"/>
  <c r="W32" i="22"/>
  <c r="X34" i="22"/>
  <c r="X39" i="22"/>
  <c r="T32" i="22"/>
  <c r="T34" i="22"/>
  <c r="Q36" i="22"/>
  <c r="W31" i="22"/>
  <c r="Q32" i="22"/>
  <c r="R34" i="22"/>
  <c r="U35" i="22"/>
  <c r="U37" i="22"/>
  <c r="U39" i="22"/>
  <c r="Q35" i="22"/>
  <c r="X36" i="22"/>
  <c r="W38" i="22"/>
  <c r="R39" i="22"/>
  <c r="Z35" i="22"/>
  <c r="Z37" i="22"/>
  <c r="Z39" i="22"/>
  <c r="BH22" i="22"/>
  <c r="AP30" i="22"/>
  <c r="AL39" i="22"/>
  <c r="AP22" i="22"/>
  <c r="BP24" i="22"/>
  <c r="AP19" i="22"/>
  <c r="BP22" i="22"/>
  <c r="AP27" i="22"/>
  <c r="BQ36" i="22"/>
  <c r="BQ38" i="22"/>
  <c r="BQ31" i="22"/>
  <c r="BQ27" i="22"/>
  <c r="BQ21" i="22"/>
  <c r="BQ24" i="22"/>
  <c r="AP23" i="22"/>
  <c r="AH32" i="22"/>
  <c r="AH35" i="22"/>
  <c r="AG22" i="22"/>
  <c r="BP16" i="22"/>
  <c r="BP20" i="22"/>
  <c r="AL24" i="22"/>
  <c r="AP26" i="22"/>
  <c r="AL17" i="22"/>
  <c r="AR18" i="22"/>
  <c r="BE20" i="22"/>
  <c r="AH23" i="22"/>
  <c r="AL25" i="22"/>
  <c r="BP19" i="22"/>
  <c r="AL27" i="22"/>
  <c r="BE27" i="22"/>
  <c r="AH30" i="22"/>
  <c r="BE32" i="22"/>
  <c r="BE38" i="22"/>
  <c r="AH36" i="22"/>
  <c r="AH40" i="22"/>
  <c r="BP38" i="22"/>
  <c r="BP37" i="22"/>
  <c r="AP36" i="22"/>
  <c r="AP40" i="22"/>
  <c r="AH28" i="22"/>
  <c r="AP31" i="22"/>
  <c r="BP32" i="22"/>
  <c r="AA19" i="22"/>
  <c r="T24" i="22"/>
  <c r="Z21" i="22"/>
  <c r="Z17" i="22"/>
  <c r="AA25" i="22"/>
  <c r="AA28" i="22"/>
  <c r="U20" i="22"/>
  <c r="X17" i="22"/>
  <c r="Q20" i="22"/>
  <c r="R22" i="22"/>
  <c r="W23" i="22"/>
  <c r="X25" i="22"/>
  <c r="Q26" i="22"/>
  <c r="U17" i="22"/>
  <c r="U19" i="22"/>
  <c r="U21" i="22"/>
  <c r="U23" i="22"/>
  <c r="U25" i="22"/>
  <c r="R17" i="22"/>
  <c r="W20" i="22"/>
  <c r="X22" i="22"/>
  <c r="Q23" i="22"/>
  <c r="R25" i="22"/>
  <c r="U27" i="22"/>
  <c r="R31" i="22"/>
  <c r="Z34" i="22"/>
  <c r="R27" i="22"/>
  <c r="W28" i="22"/>
  <c r="X30" i="22"/>
  <c r="Z27" i="22"/>
  <c r="Z29" i="22"/>
  <c r="X27" i="22"/>
  <c r="Q28" i="22"/>
  <c r="R30" i="22"/>
  <c r="U33" i="22"/>
  <c r="R33" i="22"/>
  <c r="W34" i="22"/>
  <c r="W39" i="22"/>
  <c r="U32" i="22"/>
  <c r="U34" i="22"/>
  <c r="X31" i="22"/>
  <c r="X33" i="22"/>
  <c r="Q34" i="22"/>
  <c r="T35" i="22"/>
  <c r="T37" i="22"/>
  <c r="T39" i="22"/>
  <c r="Q37" i="22"/>
  <c r="X38" i="22"/>
  <c r="W40" i="22"/>
  <c r="U36" i="22"/>
  <c r="U38" i="22"/>
  <c r="U40" i="22"/>
  <c r="BH16" i="22"/>
  <c r="AP21" i="22"/>
  <c r="AP35" i="22"/>
  <c r="BH38" i="22"/>
  <c r="BQ39" i="22"/>
  <c r="BH39" i="22"/>
  <c r="BH35" i="22"/>
  <c r="BQ32" i="22"/>
  <c r="BH32" i="22"/>
  <c r="BQ28" i="22"/>
  <c r="BH30" i="22"/>
  <c r="BH33" i="22"/>
  <c r="BQ19" i="22"/>
  <c r="BH25" i="22"/>
  <c r="BH21" i="22"/>
  <c r="BH17" i="22"/>
  <c r="BQ22" i="22"/>
  <c r="BE40" i="22"/>
  <c r="AR38" i="22"/>
  <c r="AR31" i="22"/>
  <c r="AG32" i="22"/>
  <c r="AG26" i="22"/>
  <c r="AP25" i="22"/>
  <c r="BE18" i="22"/>
  <c r="BP17" i="22"/>
  <c r="BP25" i="22"/>
  <c r="BP36" i="22"/>
  <c r="AL38" i="22"/>
  <c r="AL35" i="21"/>
  <c r="AL36" i="21"/>
  <c r="AL38" i="21"/>
  <c r="AL40" i="21"/>
  <c r="AL26" i="21"/>
  <c r="AL29" i="21"/>
  <c r="AL39" i="21"/>
  <c r="AL24" i="21"/>
  <c r="AL33" i="21"/>
  <c r="AL37" i="21"/>
  <c r="Z16" i="21"/>
  <c r="Z27" i="21"/>
  <c r="X16" i="21"/>
  <c r="W21" i="21"/>
  <c r="W19" i="21"/>
  <c r="R26" i="21"/>
  <c r="R22" i="21"/>
  <c r="AA18" i="21"/>
  <c r="AA20" i="21"/>
  <c r="AA22" i="21"/>
  <c r="AA24" i="21"/>
  <c r="AA26" i="21"/>
  <c r="AA33" i="21"/>
  <c r="R17" i="21"/>
  <c r="Q21" i="21"/>
  <c r="X22" i="21"/>
  <c r="W24" i="21"/>
  <c r="R25" i="21"/>
  <c r="T28" i="21"/>
  <c r="T18" i="21"/>
  <c r="T20" i="21"/>
  <c r="T22" i="21"/>
  <c r="T24" i="21"/>
  <c r="T26" i="21"/>
  <c r="W27" i="21"/>
  <c r="X29" i="21"/>
  <c r="U27" i="21"/>
  <c r="U29" i="21"/>
  <c r="T34" i="21"/>
  <c r="X28" i="21"/>
  <c r="Q29" i="21"/>
  <c r="T32" i="21"/>
  <c r="W31" i="21"/>
  <c r="X33" i="21"/>
  <c r="Z40" i="21"/>
  <c r="AA32" i="21"/>
  <c r="AA34" i="21"/>
  <c r="Z38" i="21"/>
  <c r="X32" i="21"/>
  <c r="Q33" i="21"/>
  <c r="Z36" i="21"/>
  <c r="X36" i="21"/>
  <c r="Q39" i="21"/>
  <c r="Z35" i="21"/>
  <c r="Z37" i="21"/>
  <c r="Z39" i="21"/>
  <c r="X35" i="21"/>
  <c r="Q36" i="21"/>
  <c r="R38" i="21"/>
  <c r="BP24" i="21"/>
  <c r="BP28" i="21"/>
  <c r="AH25" i="21"/>
  <c r="AL16" i="21"/>
  <c r="BP18" i="21"/>
  <c r="BQ34" i="21"/>
  <c r="BQ37" i="21"/>
  <c r="BQ31" i="21"/>
  <c r="BH33" i="21"/>
  <c r="BQ32" i="21"/>
  <c r="BH35" i="21"/>
  <c r="BH27" i="21"/>
  <c r="BQ26" i="21"/>
  <c r="BQ21" i="21"/>
  <c r="BH26" i="21"/>
  <c r="BH23" i="21"/>
  <c r="BH19" i="21"/>
  <c r="BE16" i="21"/>
  <c r="AG27" i="21"/>
  <c r="AG23" i="21"/>
  <c r="AG19" i="21"/>
  <c r="BE17" i="21"/>
  <c r="BE20" i="21"/>
  <c r="AP21" i="21"/>
  <c r="BE25" i="21"/>
  <c r="BE26" i="21"/>
  <c r="BH28" i="21"/>
  <c r="AP27" i="21"/>
  <c r="AH30" i="21"/>
  <c r="AH27" i="21"/>
  <c r="R24" i="21"/>
  <c r="X17" i="21"/>
  <c r="X25" i="21"/>
  <c r="R16" i="21"/>
  <c r="X23" i="21"/>
  <c r="Q26" i="21"/>
  <c r="R18" i="21"/>
  <c r="Q22" i="21"/>
  <c r="Z18" i="21"/>
  <c r="Z20" i="21"/>
  <c r="Z22" i="21"/>
  <c r="Z24" i="21"/>
  <c r="Z26" i="21"/>
  <c r="Z33" i="21"/>
  <c r="W18" i="21"/>
  <c r="R19" i="21"/>
  <c r="Q23" i="21"/>
  <c r="X24" i="21"/>
  <c r="W26" i="21"/>
  <c r="AA17" i="21"/>
  <c r="AA19" i="21"/>
  <c r="AA21" i="21"/>
  <c r="AA23" i="21"/>
  <c r="AA25" i="21"/>
  <c r="AA29" i="21"/>
  <c r="R28" i="21"/>
  <c r="W29" i="21"/>
  <c r="AA31" i="21"/>
  <c r="Z28" i="21"/>
  <c r="Z30" i="21"/>
  <c r="W28" i="21"/>
  <c r="X30" i="21"/>
  <c r="U39" i="21"/>
  <c r="R32" i="21"/>
  <c r="W33" i="21"/>
  <c r="U37" i="21"/>
  <c r="T31" i="21"/>
  <c r="T33" i="21"/>
  <c r="U35" i="21"/>
  <c r="W32" i="21"/>
  <c r="X34" i="21"/>
  <c r="R35" i="21"/>
  <c r="W36" i="21"/>
  <c r="X38" i="21"/>
  <c r="AA35" i="21"/>
  <c r="AA37" i="21"/>
  <c r="AA39" i="21"/>
  <c r="W35" i="21"/>
  <c r="X37" i="21"/>
  <c r="Q38" i="21"/>
  <c r="R40" i="21"/>
  <c r="AG16" i="21"/>
  <c r="AH21" i="21"/>
  <c r="BE22" i="21"/>
  <c r="AP23" i="21"/>
  <c r="AP29" i="21"/>
  <c r="AR16" i="21"/>
  <c r="BQ16" i="21"/>
  <c r="BQ20" i="21"/>
  <c r="BQ40" i="21"/>
  <c r="BH40" i="21"/>
  <c r="BH36" i="21"/>
  <c r="BQ35" i="21"/>
  <c r="BH39" i="21"/>
  <c r="BH34" i="21"/>
  <c r="BH24" i="21"/>
  <c r="BH20" i="21"/>
  <c r="BQ19" i="21"/>
  <c r="AR20" i="21"/>
  <c r="AG36" i="21"/>
  <c r="BE21" i="21"/>
  <c r="AH26" i="21"/>
  <c r="BP17" i="21"/>
  <c r="BP21" i="21"/>
  <c r="BP25" i="21"/>
  <c r="AP18" i="21"/>
  <c r="AP22" i="21"/>
  <c r="BE29" i="21"/>
  <c r="BP30" i="21"/>
  <c r="AL27" i="21"/>
  <c r="BE30" i="21"/>
  <c r="AH32" i="21"/>
  <c r="AP33" i="21"/>
  <c r="AP36" i="21"/>
  <c r="BP29" i="21"/>
  <c r="AP31" i="21"/>
  <c r="Q15" i="21"/>
  <c r="R20" i="21"/>
  <c r="Q24" i="21"/>
  <c r="W17" i="21"/>
  <c r="W25" i="21"/>
  <c r="Q16" i="21"/>
  <c r="W23" i="21"/>
  <c r="T16" i="21"/>
  <c r="Q18" i="21"/>
  <c r="U17" i="21"/>
  <c r="U19" i="21"/>
  <c r="U21" i="21"/>
  <c r="U23" i="21"/>
  <c r="U25" i="21"/>
  <c r="U30" i="21"/>
  <c r="Q17" i="21"/>
  <c r="X18" i="21"/>
  <c r="W20" i="21"/>
  <c r="R21" i="21"/>
  <c r="Q25" i="21"/>
  <c r="X26" i="21"/>
  <c r="Z17" i="21"/>
  <c r="Z19" i="21"/>
  <c r="Z21" i="21"/>
  <c r="Z23" i="21"/>
  <c r="Z25" i="21"/>
  <c r="Z29" i="21"/>
  <c r="Q28" i="21"/>
  <c r="R30" i="21"/>
  <c r="Z31" i="21"/>
  <c r="AA28" i="21"/>
  <c r="AA30" i="21"/>
  <c r="R27" i="21"/>
  <c r="W30" i="21"/>
  <c r="T39" i="21"/>
  <c r="Q32" i="21"/>
  <c r="R34" i="21"/>
  <c r="T37" i="21"/>
  <c r="U31" i="21"/>
  <c r="U33" i="21"/>
  <c r="T35" i="21"/>
  <c r="R31" i="21"/>
  <c r="W34" i="21"/>
  <c r="Q35" i="21"/>
  <c r="R37" i="21"/>
  <c r="W38" i="21"/>
  <c r="X40" i="21"/>
  <c r="T36" i="21"/>
  <c r="T38" i="21"/>
  <c r="T40" i="21"/>
  <c r="W37" i="21"/>
  <c r="X39" i="21"/>
  <c r="Q40" i="21"/>
  <c r="BP37" i="21"/>
  <c r="BP32" i="21"/>
  <c r="BP39" i="21"/>
  <c r="AP16" i="21"/>
  <c r="BH16" i="21"/>
  <c r="AH17" i="21"/>
  <c r="BE18" i="21"/>
  <c r="AP19" i="21"/>
  <c r="BE23" i="21"/>
  <c r="AH34" i="21"/>
  <c r="AL17" i="21"/>
  <c r="AH22" i="21"/>
  <c r="BQ38" i="21"/>
  <c r="BH37" i="21"/>
  <c r="BH31" i="21"/>
  <c r="BQ29" i="21"/>
  <c r="BH29" i="21"/>
  <c r="BH32" i="21"/>
  <c r="BH30" i="21"/>
  <c r="BQ25" i="21"/>
  <c r="BQ17" i="21"/>
  <c r="BH25" i="21"/>
  <c r="BH21" i="21"/>
  <c r="BH17" i="21"/>
  <c r="BQ18" i="21"/>
  <c r="AG29" i="21"/>
  <c r="AG26" i="21"/>
  <c r="AP30" i="21"/>
  <c r="AP28" i="21"/>
  <c r="BE28" i="21"/>
  <c r="BE31" i="21"/>
  <c r="BP27" i="21"/>
  <c r="AH35" i="21"/>
  <c r="AL30" i="21"/>
  <c r="AH31" i="21"/>
  <c r="AA16" i="21"/>
  <c r="Q20" i="21"/>
  <c r="AA27" i="21"/>
  <c r="W16" i="21"/>
  <c r="X21" i="21"/>
  <c r="X19" i="21"/>
  <c r="U16" i="21"/>
  <c r="T17" i="21"/>
  <c r="T19" i="21"/>
  <c r="T21" i="21"/>
  <c r="T23" i="21"/>
  <c r="T25" i="21"/>
  <c r="T30" i="21"/>
  <c r="Q19" i="21"/>
  <c r="X20" i="21"/>
  <c r="W22" i="21"/>
  <c r="R23" i="21"/>
  <c r="U28" i="21"/>
  <c r="U18" i="21"/>
  <c r="U20" i="21"/>
  <c r="U22" i="21"/>
  <c r="U24" i="21"/>
  <c r="U26" i="21"/>
  <c r="X27" i="21"/>
  <c r="Q30" i="21"/>
  <c r="T27" i="21"/>
  <c r="T29" i="21"/>
  <c r="U34" i="21"/>
  <c r="Q27" i="21"/>
  <c r="R29" i="21"/>
  <c r="U32" i="21"/>
  <c r="X31" i="21"/>
  <c r="Q34" i="21"/>
  <c r="AA40" i="21"/>
  <c r="Z32" i="21"/>
  <c r="Z34" i="21"/>
  <c r="AA38" i="21"/>
  <c r="Q31" i="21"/>
  <c r="R33" i="21"/>
  <c r="AA36" i="21"/>
  <c r="Q37" i="21"/>
  <c r="R39" i="21"/>
  <c r="W40" i="21"/>
  <c r="U36" i="21"/>
  <c r="U38" i="21"/>
  <c r="U40" i="21"/>
  <c r="R36" i="21"/>
  <c r="W39" i="21"/>
  <c r="BP20" i="21"/>
  <c r="BP35" i="21"/>
  <c r="BE19" i="21"/>
  <c r="AP24" i="21"/>
  <c r="BQ22" i="21"/>
  <c r="AH18" i="21"/>
  <c r="BP22" i="21"/>
  <c r="AL25" i="21"/>
  <c r="BQ36" i="21"/>
  <c r="BH38" i="21"/>
  <c r="BQ39" i="21"/>
  <c r="BQ33" i="21"/>
  <c r="BQ27" i="21"/>
  <c r="BQ28" i="21"/>
  <c r="BH22" i="21"/>
  <c r="BH18" i="21"/>
  <c r="BQ23" i="21"/>
  <c r="BQ30" i="21"/>
  <c r="AP17" i="21"/>
  <c r="AH19" i="21"/>
  <c r="BE24" i="21"/>
  <c r="AP25" i="21"/>
  <c r="BP26" i="21"/>
  <c r="BE33" i="21"/>
  <c r="BP19" i="21"/>
  <c r="BP23" i="21"/>
  <c r="AP20" i="21"/>
  <c r="AH29" i="21"/>
  <c r="AP34" i="21"/>
  <c r="AP32" i="21"/>
  <c r="AL31" i="21"/>
  <c r="BE34" i="21"/>
  <c r="BP33" i="21"/>
  <c r="AH39" i="21"/>
  <c r="AP40" i="21"/>
  <c r="BE35" i="21"/>
  <c r="AH38" i="21"/>
  <c r="BP38" i="21"/>
  <c r="AP37" i="21"/>
  <c r="BP31" i="21"/>
  <c r="BE38" i="21"/>
  <c r="AH37" i="21"/>
  <c r="AP38" i="21"/>
  <c r="AH36" i="21"/>
  <c r="BP36" i="21"/>
  <c r="AG24" i="21"/>
  <c r="AR23" i="21"/>
  <c r="BE32" i="21"/>
  <c r="BP34" i="21"/>
  <c r="BE36" i="21"/>
  <c r="BE39" i="21"/>
  <c r="AG20" i="21"/>
  <c r="AH33" i="21"/>
  <c r="AP35" i="21"/>
  <c r="BE40" i="21"/>
  <c r="AP39" i="21"/>
  <c r="AR35" i="21"/>
  <c r="BE37" i="21"/>
  <c r="AH40" i="21"/>
  <c r="BP40" i="21"/>
  <c r="R21" i="15"/>
  <c r="R27" i="15"/>
  <c r="R33" i="15"/>
  <c r="AA17" i="15"/>
  <c r="AA21" i="15"/>
  <c r="AA25" i="15"/>
  <c r="AA29" i="15"/>
  <c r="AA33" i="15"/>
  <c r="Q40" i="15"/>
  <c r="R16" i="15"/>
  <c r="R20" i="15"/>
  <c r="R24" i="15"/>
  <c r="R28" i="15"/>
  <c r="R32" i="15"/>
  <c r="Q35" i="15"/>
  <c r="R17" i="15"/>
  <c r="R29" i="15"/>
  <c r="AA18" i="15"/>
  <c r="AA22" i="15"/>
  <c r="AA26" i="15"/>
  <c r="AA30" i="15"/>
  <c r="Q38" i="15"/>
  <c r="X16" i="15"/>
  <c r="X18" i="15"/>
  <c r="X20" i="15"/>
  <c r="X22" i="15"/>
  <c r="X24" i="15"/>
  <c r="X26" i="15"/>
  <c r="X28" i="15"/>
  <c r="X30" i="15"/>
  <c r="X32" i="15"/>
  <c r="X34" i="15"/>
  <c r="X36" i="15"/>
  <c r="X38" i="15"/>
  <c r="X40" i="15"/>
  <c r="Z35" i="15"/>
  <c r="Z37" i="15"/>
  <c r="Z39" i="15"/>
  <c r="T16" i="15"/>
  <c r="U18" i="15"/>
  <c r="U20" i="15"/>
  <c r="T22" i="15"/>
  <c r="U24" i="15"/>
  <c r="U26" i="15"/>
  <c r="T28" i="15"/>
  <c r="U30" i="15"/>
  <c r="U32" i="15"/>
  <c r="T34" i="15"/>
  <c r="T36" i="15"/>
  <c r="T38" i="15"/>
  <c r="T40" i="15"/>
  <c r="R37" i="15"/>
  <c r="Z19" i="15"/>
  <c r="Z31" i="15"/>
  <c r="Q22" i="15"/>
  <c r="Q30" i="15"/>
  <c r="Q23" i="15"/>
  <c r="Z28" i="15"/>
  <c r="W18" i="15"/>
  <c r="W26" i="15"/>
  <c r="W32" i="15"/>
  <c r="W38" i="15"/>
  <c r="AA35" i="15"/>
  <c r="T18" i="15"/>
  <c r="T24" i="15"/>
  <c r="T30" i="15"/>
  <c r="U38" i="15"/>
  <c r="Q21" i="15"/>
  <c r="Q27" i="15"/>
  <c r="Q33" i="15"/>
  <c r="Z17" i="15"/>
  <c r="Z21" i="15"/>
  <c r="Z25" i="15"/>
  <c r="Z29" i="15"/>
  <c r="Z33" i="15"/>
  <c r="R40" i="15"/>
  <c r="Q16" i="15"/>
  <c r="Q20" i="15"/>
  <c r="Q24" i="15"/>
  <c r="Q28" i="15"/>
  <c r="Q32" i="15"/>
  <c r="R35" i="15"/>
  <c r="Q17" i="15"/>
  <c r="Q29" i="15"/>
  <c r="Z18" i="15"/>
  <c r="Z22" i="15"/>
  <c r="Z26" i="15"/>
  <c r="Z30" i="15"/>
  <c r="R38" i="15"/>
  <c r="W17" i="15"/>
  <c r="W19" i="15"/>
  <c r="W21" i="15"/>
  <c r="W23" i="15"/>
  <c r="W25" i="15"/>
  <c r="W27" i="15"/>
  <c r="W29" i="15"/>
  <c r="W31" i="15"/>
  <c r="W33" i="15"/>
  <c r="W35" i="15"/>
  <c r="W37" i="15"/>
  <c r="W39" i="15"/>
  <c r="AA34" i="15"/>
  <c r="AA36" i="15"/>
  <c r="AA38" i="15"/>
  <c r="AA40" i="15"/>
  <c r="U17" i="15"/>
  <c r="U19" i="15"/>
  <c r="U21" i="15"/>
  <c r="U23" i="15"/>
  <c r="U25" i="15"/>
  <c r="U27" i="15"/>
  <c r="U29" i="15"/>
  <c r="U31" i="15"/>
  <c r="U33" i="15"/>
  <c r="U35" i="15"/>
  <c r="U37" i="15"/>
  <c r="U39" i="15"/>
  <c r="Q31" i="15"/>
  <c r="Z27" i="15"/>
  <c r="Q19" i="15"/>
  <c r="Q26" i="15"/>
  <c r="R39" i="15"/>
  <c r="Z20" i="15"/>
  <c r="Z32" i="15"/>
  <c r="W20" i="15"/>
  <c r="W22" i="15"/>
  <c r="W28" i="15"/>
  <c r="W34" i="15"/>
  <c r="W40" i="15"/>
  <c r="AA39" i="15"/>
  <c r="T20" i="15"/>
  <c r="T26" i="15"/>
  <c r="T32" i="15"/>
  <c r="U36" i="15"/>
  <c r="R25" i="15"/>
  <c r="R31" i="15"/>
  <c r="Q37" i="15"/>
  <c r="AA19" i="15"/>
  <c r="AA23" i="15"/>
  <c r="AA27" i="15"/>
  <c r="AA31" i="15"/>
  <c r="Q36" i="15"/>
  <c r="R19" i="15"/>
  <c r="R18" i="15"/>
  <c r="R22" i="15"/>
  <c r="R26" i="15"/>
  <c r="R30" i="15"/>
  <c r="R34" i="15"/>
  <c r="Q39" i="15"/>
  <c r="R23" i="15"/>
  <c r="AA16" i="15"/>
  <c r="AA20" i="15"/>
  <c r="AA24" i="15"/>
  <c r="AA28" i="15"/>
  <c r="AA32" i="15"/>
  <c r="Q15" i="15"/>
  <c r="X17" i="15"/>
  <c r="X19" i="15"/>
  <c r="X21" i="15"/>
  <c r="X23" i="15"/>
  <c r="X25" i="15"/>
  <c r="X27" i="15"/>
  <c r="X29" i="15"/>
  <c r="X31" i="15"/>
  <c r="X33" i="15"/>
  <c r="X35" i="15"/>
  <c r="X37" i="15"/>
  <c r="X39" i="15"/>
  <c r="Z34" i="15"/>
  <c r="Z36" i="15"/>
  <c r="Z38" i="15"/>
  <c r="Z40" i="15"/>
  <c r="T17" i="15"/>
  <c r="T19" i="15"/>
  <c r="T21" i="15"/>
  <c r="T23" i="15"/>
  <c r="T25" i="15"/>
  <c r="T27" i="15"/>
  <c r="T29" i="15"/>
  <c r="T31" i="15"/>
  <c r="T33" i="15"/>
  <c r="T35" i="15"/>
  <c r="T37" i="15"/>
  <c r="T39" i="15"/>
  <c r="Q25" i="15"/>
  <c r="Z23" i="15"/>
  <c r="R36" i="15"/>
  <c r="Q18" i="15"/>
  <c r="Q34" i="15"/>
  <c r="Z16" i="15"/>
  <c r="Z24" i="15"/>
  <c r="W16" i="15"/>
  <c r="W24" i="15"/>
  <c r="W30" i="15"/>
  <c r="W36" i="15"/>
  <c r="AA37" i="15"/>
  <c r="U16" i="15"/>
  <c r="U22" i="15"/>
  <c r="U28" i="15"/>
  <c r="U34" i="15"/>
  <c r="U40" i="15"/>
  <c r="R16" i="16"/>
  <c r="R20" i="16"/>
  <c r="R22" i="16"/>
  <c r="R21" i="16"/>
  <c r="R28" i="16"/>
  <c r="R35" i="16"/>
  <c r="R39" i="16"/>
  <c r="AA16" i="16"/>
  <c r="AA18" i="16"/>
  <c r="AA20" i="16"/>
  <c r="AA22" i="16"/>
  <c r="AA24" i="16"/>
  <c r="AA26" i="16"/>
  <c r="AA28" i="16"/>
  <c r="AA30" i="16"/>
  <c r="AA32" i="16"/>
  <c r="AA34" i="16"/>
  <c r="AA36" i="16"/>
  <c r="AA38" i="16"/>
  <c r="AA40" i="16"/>
  <c r="R26" i="16"/>
  <c r="R32" i="16"/>
  <c r="R36" i="16"/>
  <c r="Q15" i="16"/>
  <c r="X17" i="16"/>
  <c r="X19" i="16"/>
  <c r="X21" i="16"/>
  <c r="X23" i="16"/>
  <c r="X25" i="16"/>
  <c r="X27" i="16"/>
  <c r="X29" i="16"/>
  <c r="X31" i="16"/>
  <c r="X33" i="16"/>
  <c r="X35" i="16"/>
  <c r="X37" i="16"/>
  <c r="X39" i="16"/>
  <c r="Q23" i="16"/>
  <c r="Q31" i="16"/>
  <c r="T16" i="16"/>
  <c r="T18" i="16"/>
  <c r="T20" i="16"/>
  <c r="T22" i="16"/>
  <c r="U24" i="16"/>
  <c r="T26" i="16"/>
  <c r="U28" i="16"/>
  <c r="U30" i="16"/>
  <c r="T32" i="16"/>
  <c r="U34" i="16"/>
  <c r="U36" i="16"/>
  <c r="U38" i="16"/>
  <c r="U40" i="16"/>
  <c r="Q17" i="16"/>
  <c r="U32" i="16"/>
  <c r="Q16" i="16"/>
  <c r="Q20" i="16"/>
  <c r="Q22" i="16"/>
  <c r="Q21" i="16"/>
  <c r="Q28" i="16"/>
  <c r="Q35" i="16"/>
  <c r="Q39" i="16"/>
  <c r="Z16" i="16"/>
  <c r="Z18" i="16"/>
  <c r="Z20" i="16"/>
  <c r="Z22" i="16"/>
  <c r="Z24" i="16"/>
  <c r="Z26" i="16"/>
  <c r="Z28" i="16"/>
  <c r="Z30" i="16"/>
  <c r="Z32" i="16"/>
  <c r="Z34" i="16"/>
  <c r="Z36" i="16"/>
  <c r="Z38" i="16"/>
  <c r="Z40" i="16"/>
  <c r="Q26" i="16"/>
  <c r="Q32" i="16"/>
  <c r="Q36" i="16"/>
  <c r="W16" i="16"/>
  <c r="W18" i="16"/>
  <c r="W20" i="16"/>
  <c r="W22" i="16"/>
  <c r="W24" i="16"/>
  <c r="W26" i="16"/>
  <c r="W28" i="16"/>
  <c r="W30" i="16"/>
  <c r="W32" i="16"/>
  <c r="W34" i="16"/>
  <c r="W36" i="16"/>
  <c r="W38" i="16"/>
  <c r="W40" i="16"/>
  <c r="R27" i="16"/>
  <c r="R34" i="16"/>
  <c r="U17" i="16"/>
  <c r="U19" i="16"/>
  <c r="U21" i="16"/>
  <c r="U23" i="16"/>
  <c r="T25" i="16"/>
  <c r="T27" i="16"/>
  <c r="T29" i="16"/>
  <c r="U31" i="16"/>
  <c r="U33" i="16"/>
  <c r="T35" i="16"/>
  <c r="U37" i="16"/>
  <c r="T39" i="16"/>
  <c r="Q18" i="16"/>
  <c r="Q30" i="16"/>
  <c r="Q40" i="16"/>
  <c r="Z17" i="16"/>
  <c r="Z23" i="16"/>
  <c r="Z27" i="16"/>
  <c r="Z29" i="16"/>
  <c r="Z33" i="16"/>
  <c r="Z37" i="16"/>
  <c r="Q24" i="16"/>
  <c r="Q33" i="16"/>
  <c r="W17" i="16"/>
  <c r="W21" i="16"/>
  <c r="W25" i="16"/>
  <c r="W31" i="16"/>
  <c r="W35" i="16"/>
  <c r="W39" i="16"/>
  <c r="R31" i="16"/>
  <c r="U18" i="16"/>
  <c r="U22" i="16"/>
  <c r="T24" i="16"/>
  <c r="T30" i="16"/>
  <c r="T36" i="16"/>
  <c r="T40" i="16"/>
  <c r="R19" i="16"/>
  <c r="R18" i="16"/>
  <c r="R17" i="16"/>
  <c r="R25" i="16"/>
  <c r="R30" i="16"/>
  <c r="R37" i="16"/>
  <c r="R40" i="16"/>
  <c r="AA17" i="16"/>
  <c r="AA19" i="16"/>
  <c r="AA21" i="16"/>
  <c r="AA23" i="16"/>
  <c r="AA25" i="16"/>
  <c r="AA27" i="16"/>
  <c r="AA29" i="16"/>
  <c r="AA31" i="16"/>
  <c r="AA33" i="16"/>
  <c r="AA35" i="16"/>
  <c r="AA37" i="16"/>
  <c r="AA39" i="16"/>
  <c r="R24" i="16"/>
  <c r="R29" i="16"/>
  <c r="R33" i="16"/>
  <c r="R38" i="16"/>
  <c r="X16" i="16"/>
  <c r="X18" i="16"/>
  <c r="X20" i="16"/>
  <c r="X22" i="16"/>
  <c r="X24" i="16"/>
  <c r="X26" i="16"/>
  <c r="X28" i="16"/>
  <c r="X30" i="16"/>
  <c r="X32" i="16"/>
  <c r="X34" i="16"/>
  <c r="X36" i="16"/>
  <c r="X38" i="16"/>
  <c r="X40" i="16"/>
  <c r="Q27" i="16"/>
  <c r="Q34" i="16"/>
  <c r="T17" i="16"/>
  <c r="T19" i="16"/>
  <c r="T21" i="16"/>
  <c r="T23" i="16"/>
  <c r="U25" i="16"/>
  <c r="U27" i="16"/>
  <c r="U29" i="16"/>
  <c r="T31" i="16"/>
  <c r="T33" i="16"/>
  <c r="U35" i="16"/>
  <c r="T37" i="16"/>
  <c r="U39" i="16"/>
  <c r="Q19" i="16"/>
  <c r="Q25" i="16"/>
  <c r="Q37" i="16"/>
  <c r="Z19" i="16"/>
  <c r="Z21" i="16"/>
  <c r="Z25" i="16"/>
  <c r="Z31" i="16"/>
  <c r="Z35" i="16"/>
  <c r="Z39" i="16"/>
  <c r="Q29" i="16"/>
  <c r="Q38" i="16"/>
  <c r="W19" i="16"/>
  <c r="W23" i="16"/>
  <c r="W27" i="16"/>
  <c r="W29" i="16"/>
  <c r="W33" i="16"/>
  <c r="W37" i="16"/>
  <c r="R23" i="16"/>
  <c r="U16" i="16"/>
  <c r="U20" i="16"/>
  <c r="U26" i="16"/>
  <c r="T28" i="16"/>
  <c r="T34" i="16"/>
  <c r="T38" i="16"/>
  <c r="Q15" i="17"/>
  <c r="R16" i="17"/>
  <c r="Q19" i="17"/>
  <c r="Q27" i="17"/>
  <c r="R17" i="17"/>
  <c r="Q25" i="17"/>
  <c r="Q33" i="17"/>
  <c r="Q20" i="17"/>
  <c r="Q28" i="17"/>
  <c r="Q22" i="17"/>
  <c r="Q30" i="17"/>
  <c r="Q35" i="17"/>
  <c r="Q37" i="17"/>
  <c r="Q39" i="17"/>
  <c r="Z16" i="17"/>
  <c r="Z18" i="17"/>
  <c r="Z20" i="17"/>
  <c r="Z22" i="17"/>
  <c r="Z24" i="17"/>
  <c r="Z26" i="17"/>
  <c r="Z28" i="17"/>
  <c r="Z30" i="17"/>
  <c r="Z32" i="17"/>
  <c r="Z34" i="17"/>
  <c r="Z36" i="17"/>
  <c r="Z38" i="17"/>
  <c r="Z40" i="17"/>
  <c r="X25" i="17"/>
  <c r="X27" i="17"/>
  <c r="X29" i="17"/>
  <c r="X31" i="17"/>
  <c r="X33" i="17"/>
  <c r="X35" i="17"/>
  <c r="X37" i="17"/>
  <c r="X39" i="17"/>
  <c r="X18" i="17"/>
  <c r="X20" i="17"/>
  <c r="X22" i="17"/>
  <c r="T16" i="17"/>
  <c r="T18" i="17"/>
  <c r="T20" i="17"/>
  <c r="T22" i="17"/>
  <c r="T24" i="17"/>
  <c r="T26" i="17"/>
  <c r="T28" i="17"/>
  <c r="T30" i="17"/>
  <c r="T32" i="17"/>
  <c r="T34" i="17"/>
  <c r="T36" i="17"/>
  <c r="T38" i="17"/>
  <c r="T40" i="17"/>
  <c r="R32" i="17"/>
  <c r="Q18" i="17"/>
  <c r="R23" i="17"/>
  <c r="R31" i="17"/>
  <c r="R21" i="17"/>
  <c r="R29" i="17"/>
  <c r="W16" i="17"/>
  <c r="R24" i="17"/>
  <c r="W17" i="17"/>
  <c r="R26" i="17"/>
  <c r="R34" i="17"/>
  <c r="R36" i="17"/>
  <c r="R38" i="17"/>
  <c r="R40" i="17"/>
  <c r="AA17" i="17"/>
  <c r="AA19" i="17"/>
  <c r="AA21" i="17"/>
  <c r="AA23" i="17"/>
  <c r="AA25" i="17"/>
  <c r="AA27" i="17"/>
  <c r="AA29" i="17"/>
  <c r="AA31" i="17"/>
  <c r="AA33" i="17"/>
  <c r="AA35" i="17"/>
  <c r="AA37" i="17"/>
  <c r="AA39" i="17"/>
  <c r="W24" i="17"/>
  <c r="W26" i="17"/>
  <c r="W28" i="17"/>
  <c r="W30" i="17"/>
  <c r="W32" i="17"/>
  <c r="W34" i="17"/>
  <c r="W36" i="17"/>
  <c r="W38" i="17"/>
  <c r="W40" i="17"/>
  <c r="W19" i="17"/>
  <c r="W21" i="17"/>
  <c r="W23" i="17"/>
  <c r="U17" i="17"/>
  <c r="U19" i="17"/>
  <c r="U21" i="17"/>
  <c r="U23" i="17"/>
  <c r="U25" i="17"/>
  <c r="U27" i="17"/>
  <c r="U29" i="17"/>
  <c r="U31" i="17"/>
  <c r="U33" i="17"/>
  <c r="U35" i="17"/>
  <c r="U37" i="17"/>
  <c r="U39" i="17"/>
  <c r="Q32" i="17"/>
  <c r="R18" i="17"/>
  <c r="Q23" i="17"/>
  <c r="Q31" i="17"/>
  <c r="Q21" i="17"/>
  <c r="Q29" i="17"/>
  <c r="X16" i="17"/>
  <c r="Q24" i="17"/>
  <c r="X17" i="17"/>
  <c r="Q26" i="17"/>
  <c r="Q34" i="17"/>
  <c r="Q36" i="17"/>
  <c r="Q38" i="17"/>
  <c r="Q40" i="17"/>
  <c r="Z17" i="17"/>
  <c r="Z19" i="17"/>
  <c r="Z21" i="17"/>
  <c r="Z23" i="17"/>
  <c r="Z25" i="17"/>
  <c r="Z27" i="17"/>
  <c r="Z29" i="17"/>
  <c r="Z31" i="17"/>
  <c r="Z33" i="17"/>
  <c r="Z35" i="17"/>
  <c r="Z37" i="17"/>
  <c r="Z39" i="17"/>
  <c r="X24" i="17"/>
  <c r="X26" i="17"/>
  <c r="X28" i="17"/>
  <c r="X30" i="17"/>
  <c r="X32" i="17"/>
  <c r="X34" i="17"/>
  <c r="X36" i="17"/>
  <c r="X38" i="17"/>
  <c r="X40" i="17"/>
  <c r="X19" i="17"/>
  <c r="X21" i="17"/>
  <c r="X23" i="17"/>
  <c r="T17" i="17"/>
  <c r="T19" i="17"/>
  <c r="T21" i="17"/>
  <c r="T23" i="17"/>
  <c r="T25" i="17"/>
  <c r="T27" i="17"/>
  <c r="T29" i="17"/>
  <c r="T31" i="17"/>
  <c r="T33" i="17"/>
  <c r="T35" i="17"/>
  <c r="T37" i="17"/>
  <c r="T39" i="17"/>
  <c r="Q16" i="17"/>
  <c r="R19" i="17"/>
  <c r="R27" i="17"/>
  <c r="Q17" i="17"/>
  <c r="R25" i="17"/>
  <c r="R33" i="17"/>
  <c r="R20" i="17"/>
  <c r="R28" i="17"/>
  <c r="R22" i="17"/>
  <c r="R30" i="17"/>
  <c r="R35" i="17"/>
  <c r="R37" i="17"/>
  <c r="R39" i="17"/>
  <c r="AA16" i="17"/>
  <c r="AA18" i="17"/>
  <c r="AA20" i="17"/>
  <c r="AA22" i="17"/>
  <c r="AA24" i="17"/>
  <c r="AA26" i="17"/>
  <c r="AA28" i="17"/>
  <c r="AA30" i="17"/>
  <c r="AA32" i="17"/>
  <c r="AA34" i="17"/>
  <c r="AA36" i="17"/>
  <c r="AA38" i="17"/>
  <c r="AA40" i="17"/>
  <c r="W25" i="17"/>
  <c r="W27" i="17"/>
  <c r="W29" i="17"/>
  <c r="W31" i="17"/>
  <c r="W33" i="17"/>
  <c r="W35" i="17"/>
  <c r="W37" i="17"/>
  <c r="W39" i="17"/>
  <c r="W18" i="17"/>
  <c r="W20" i="17"/>
  <c r="W22" i="17"/>
  <c r="U16" i="17"/>
  <c r="U18" i="17"/>
  <c r="U20" i="17"/>
  <c r="U22" i="17"/>
  <c r="U24" i="17"/>
  <c r="U26" i="17"/>
  <c r="U28" i="17"/>
  <c r="U30" i="17"/>
  <c r="U32" i="17"/>
  <c r="U34" i="17"/>
  <c r="U36" i="17"/>
  <c r="U38" i="17"/>
  <c r="U40" i="17"/>
  <c r="R31" i="18"/>
  <c r="R18" i="18"/>
  <c r="R26" i="18"/>
  <c r="R34" i="18"/>
  <c r="R23" i="18"/>
  <c r="Q21" i="18"/>
  <c r="Q29" i="18"/>
  <c r="R37" i="18"/>
  <c r="R27" i="18"/>
  <c r="Q16" i="18"/>
  <c r="Q24" i="18"/>
  <c r="R32" i="18"/>
  <c r="R40" i="18"/>
  <c r="AA23" i="18"/>
  <c r="AA29" i="18"/>
  <c r="AA33" i="18"/>
  <c r="AA35" i="18"/>
  <c r="AA37" i="18"/>
  <c r="AA39" i="18"/>
  <c r="AA18" i="18"/>
  <c r="AA24" i="18"/>
  <c r="AA32" i="18"/>
  <c r="Q15" i="18"/>
  <c r="X17" i="18"/>
  <c r="X19" i="18"/>
  <c r="X21" i="18"/>
  <c r="X23" i="18"/>
  <c r="X25" i="18"/>
  <c r="X27" i="18"/>
  <c r="X29" i="18"/>
  <c r="X31" i="18"/>
  <c r="X33" i="18"/>
  <c r="X35" i="18"/>
  <c r="X37" i="18"/>
  <c r="X39" i="18"/>
  <c r="Z17" i="18"/>
  <c r="Z22" i="18"/>
  <c r="Z27" i="18"/>
  <c r="T16" i="18"/>
  <c r="T18" i="18"/>
  <c r="T20" i="18"/>
  <c r="T22" i="18"/>
  <c r="T24" i="18"/>
  <c r="T26" i="18"/>
  <c r="T28" i="18"/>
  <c r="T30" i="18"/>
  <c r="T32" i="18"/>
  <c r="T34" i="18"/>
  <c r="T36" i="18"/>
  <c r="T38" i="18"/>
  <c r="T40" i="18"/>
  <c r="Q31" i="18"/>
  <c r="Q18" i="18"/>
  <c r="Q26" i="18"/>
  <c r="Q34" i="18"/>
  <c r="Q23" i="18"/>
  <c r="R21" i="18"/>
  <c r="R29" i="18"/>
  <c r="Q37" i="18"/>
  <c r="Q27" i="18"/>
  <c r="R16" i="18"/>
  <c r="R24" i="18"/>
  <c r="Q32" i="18"/>
  <c r="Q40" i="18"/>
  <c r="Z23" i="18"/>
  <c r="Z29" i="18"/>
  <c r="Z33" i="18"/>
  <c r="Z35" i="18"/>
  <c r="Z37" i="18"/>
  <c r="Z39" i="18"/>
  <c r="Z18" i="18"/>
  <c r="Z24" i="18"/>
  <c r="Z32" i="18"/>
  <c r="W16" i="18"/>
  <c r="W18" i="18"/>
  <c r="W20" i="18"/>
  <c r="W22" i="18"/>
  <c r="W24" i="18"/>
  <c r="W26" i="18"/>
  <c r="W28" i="18"/>
  <c r="W30" i="18"/>
  <c r="W32" i="18"/>
  <c r="W34" i="18"/>
  <c r="W36" i="18"/>
  <c r="W38" i="18"/>
  <c r="W40" i="18"/>
  <c r="AA19" i="18"/>
  <c r="AA25" i="18"/>
  <c r="AA31" i="18"/>
  <c r="U17" i="18"/>
  <c r="U19" i="18"/>
  <c r="U21" i="18"/>
  <c r="U23" i="18"/>
  <c r="U25" i="18"/>
  <c r="U27" i="18"/>
  <c r="U29" i="18"/>
  <c r="U31" i="18"/>
  <c r="U33" i="18"/>
  <c r="U35" i="18"/>
  <c r="U37" i="18"/>
  <c r="U39" i="18"/>
  <c r="R39" i="18"/>
  <c r="R22" i="18"/>
  <c r="R30" i="18"/>
  <c r="R38" i="18"/>
  <c r="R17" i="18"/>
  <c r="R25" i="18"/>
  <c r="R33" i="18"/>
  <c r="R19" i="18"/>
  <c r="R35" i="18"/>
  <c r="R20" i="18"/>
  <c r="R28" i="18"/>
  <c r="R36" i="18"/>
  <c r="AA20" i="18"/>
  <c r="AA26" i="18"/>
  <c r="AA30" i="18"/>
  <c r="AA34" i="18"/>
  <c r="AA36" i="18"/>
  <c r="AA38" i="18"/>
  <c r="AA16" i="18"/>
  <c r="AA21" i="18"/>
  <c r="AA28" i="18"/>
  <c r="AA40" i="18"/>
  <c r="X16" i="18"/>
  <c r="X18" i="18"/>
  <c r="X20" i="18"/>
  <c r="X22" i="18"/>
  <c r="X24" i="18"/>
  <c r="X26" i="18"/>
  <c r="X28" i="18"/>
  <c r="X30" i="18"/>
  <c r="X32" i="18"/>
  <c r="X34" i="18"/>
  <c r="X36" i="18"/>
  <c r="X38" i="18"/>
  <c r="X40" i="18"/>
  <c r="Z19" i="18"/>
  <c r="Z25" i="18"/>
  <c r="Z31" i="18"/>
  <c r="T17" i="18"/>
  <c r="T19" i="18"/>
  <c r="T21" i="18"/>
  <c r="T23" i="18"/>
  <c r="T25" i="18"/>
  <c r="T27" i="18"/>
  <c r="T29" i="18"/>
  <c r="T31" i="18"/>
  <c r="T33" i="18"/>
  <c r="T35" i="18"/>
  <c r="T37" i="18"/>
  <c r="T39" i="18"/>
  <c r="Q39" i="18"/>
  <c r="Q22" i="18"/>
  <c r="Q30" i="18"/>
  <c r="Q38" i="18"/>
  <c r="Q17" i="18"/>
  <c r="Q25" i="18"/>
  <c r="Q33" i="18"/>
  <c r="Q19" i="18"/>
  <c r="Q35" i="18"/>
  <c r="Q20" i="18"/>
  <c r="Q28" i="18"/>
  <c r="Q36" i="18"/>
  <c r="Z20" i="18"/>
  <c r="Z26" i="18"/>
  <c r="Z30" i="18"/>
  <c r="Z34" i="18"/>
  <c r="Z36" i="18"/>
  <c r="Z38" i="18"/>
  <c r="Z16" i="18"/>
  <c r="Z21" i="18"/>
  <c r="Z28" i="18"/>
  <c r="Z40" i="18"/>
  <c r="W17" i="18"/>
  <c r="W19" i="18"/>
  <c r="W21" i="18"/>
  <c r="W23" i="18"/>
  <c r="W25" i="18"/>
  <c r="W27" i="18"/>
  <c r="W29" i="18"/>
  <c r="W31" i="18"/>
  <c r="W33" i="18"/>
  <c r="W35" i="18"/>
  <c r="W37" i="18"/>
  <c r="W39" i="18"/>
  <c r="AA17" i="18"/>
  <c r="AA22" i="18"/>
  <c r="AA27" i="18"/>
  <c r="U16" i="18"/>
  <c r="U18" i="18"/>
  <c r="U20" i="18"/>
  <c r="U22" i="18"/>
  <c r="U24" i="18"/>
  <c r="U26" i="18"/>
  <c r="U28" i="18"/>
  <c r="U30" i="18"/>
  <c r="U32" i="18"/>
  <c r="U34" i="18"/>
  <c r="U36" i="18"/>
  <c r="U38" i="18"/>
  <c r="U40" i="18"/>
  <c r="R18" i="19"/>
  <c r="Q16" i="19"/>
  <c r="R24" i="19"/>
  <c r="R22" i="19"/>
  <c r="R21" i="19"/>
  <c r="R29" i="19"/>
  <c r="R23" i="19"/>
  <c r="Q31" i="19"/>
  <c r="R38" i="19"/>
  <c r="AA16" i="19"/>
  <c r="AA18" i="19"/>
  <c r="AA20" i="19"/>
  <c r="AA22" i="19"/>
  <c r="AA24" i="19"/>
  <c r="AA26" i="19"/>
  <c r="AA28" i="19"/>
  <c r="AA30" i="19"/>
  <c r="AA32" i="19"/>
  <c r="AA34" i="19"/>
  <c r="AA36" i="19"/>
  <c r="AA38" i="19"/>
  <c r="AA40" i="19"/>
  <c r="R32" i="19"/>
  <c r="R37" i="19"/>
  <c r="X16" i="19"/>
  <c r="X18" i="19"/>
  <c r="X20" i="19"/>
  <c r="X22" i="19"/>
  <c r="X24" i="19"/>
  <c r="X26" i="19"/>
  <c r="X28" i="19"/>
  <c r="X30" i="19"/>
  <c r="X32" i="19"/>
  <c r="X34" i="19"/>
  <c r="X36" i="19"/>
  <c r="X38" i="19"/>
  <c r="X40" i="19"/>
  <c r="Q36" i="19"/>
  <c r="T16" i="19"/>
  <c r="T18" i="19"/>
  <c r="T20" i="19"/>
  <c r="T22" i="19"/>
  <c r="T24" i="19"/>
  <c r="T26" i="19"/>
  <c r="T28" i="19"/>
  <c r="T30" i="19"/>
  <c r="T32" i="19"/>
  <c r="U34" i="19"/>
  <c r="T36" i="19"/>
  <c r="U38" i="19"/>
  <c r="U40" i="19"/>
  <c r="Q18" i="19"/>
  <c r="R16" i="19"/>
  <c r="Q24" i="19"/>
  <c r="Q22" i="19"/>
  <c r="Q21" i="19"/>
  <c r="Q29" i="19"/>
  <c r="Q23" i="19"/>
  <c r="R31" i="19"/>
  <c r="Q38" i="19"/>
  <c r="Z16" i="19"/>
  <c r="Z18" i="19"/>
  <c r="Z20" i="19"/>
  <c r="Z22" i="19"/>
  <c r="Z24" i="19"/>
  <c r="Z26" i="19"/>
  <c r="Z28" i="19"/>
  <c r="Z30" i="19"/>
  <c r="Z32" i="19"/>
  <c r="Z34" i="19"/>
  <c r="Z36" i="19"/>
  <c r="Z38" i="19"/>
  <c r="Z40" i="19"/>
  <c r="Q32" i="19"/>
  <c r="Q37" i="19"/>
  <c r="W17" i="19"/>
  <c r="W19" i="19"/>
  <c r="W21" i="19"/>
  <c r="W23" i="19"/>
  <c r="W25" i="19"/>
  <c r="W27" i="19"/>
  <c r="W29" i="19"/>
  <c r="W31" i="19"/>
  <c r="W33" i="19"/>
  <c r="W35" i="19"/>
  <c r="W37" i="19"/>
  <c r="W39" i="19"/>
  <c r="R33" i="19"/>
  <c r="R39" i="19"/>
  <c r="U17" i="19"/>
  <c r="U19" i="19"/>
  <c r="U21" i="19"/>
  <c r="U23" i="19"/>
  <c r="U25" i="19"/>
  <c r="U27" i="19"/>
  <c r="U29" i="19"/>
  <c r="T31" i="19"/>
  <c r="U33" i="19"/>
  <c r="U35" i="19"/>
  <c r="T37" i="19"/>
  <c r="T39" i="19"/>
  <c r="R26" i="19"/>
  <c r="R20" i="19"/>
  <c r="R28" i="19"/>
  <c r="Q17" i="19"/>
  <c r="R25" i="19"/>
  <c r="R19" i="19"/>
  <c r="R27" i="19"/>
  <c r="R35" i="19"/>
  <c r="R40" i="19"/>
  <c r="AA17" i="19"/>
  <c r="AA19" i="19"/>
  <c r="AA21" i="19"/>
  <c r="AA23" i="19"/>
  <c r="AA25" i="19"/>
  <c r="AA27" i="19"/>
  <c r="AA29" i="19"/>
  <c r="AA31" i="19"/>
  <c r="AA33" i="19"/>
  <c r="AA35" i="19"/>
  <c r="AA37" i="19"/>
  <c r="AA39" i="19"/>
  <c r="R30" i="19"/>
  <c r="R34" i="19"/>
  <c r="Q15" i="19"/>
  <c r="X17" i="19"/>
  <c r="X19" i="19"/>
  <c r="X21" i="19"/>
  <c r="X23" i="19"/>
  <c r="X25" i="19"/>
  <c r="X27" i="19"/>
  <c r="X29" i="19"/>
  <c r="X31" i="19"/>
  <c r="X33" i="19"/>
  <c r="X35" i="19"/>
  <c r="X37" i="19"/>
  <c r="X39" i="19"/>
  <c r="Q33" i="19"/>
  <c r="Q39" i="19"/>
  <c r="T17" i="19"/>
  <c r="T19" i="19"/>
  <c r="T21" i="19"/>
  <c r="T23" i="19"/>
  <c r="T25" i="19"/>
  <c r="T27" i="19"/>
  <c r="T29" i="19"/>
  <c r="U31" i="19"/>
  <c r="T33" i="19"/>
  <c r="T35" i="19"/>
  <c r="U37" i="19"/>
  <c r="U39" i="19"/>
  <c r="Q26" i="19"/>
  <c r="Q20" i="19"/>
  <c r="Q28" i="19"/>
  <c r="R17" i="19"/>
  <c r="Q25" i="19"/>
  <c r="Q19" i="19"/>
  <c r="Q27" i="19"/>
  <c r="Q35" i="19"/>
  <c r="Q40" i="19"/>
  <c r="Z17" i="19"/>
  <c r="Z19" i="19"/>
  <c r="Z21" i="19"/>
  <c r="Z23" i="19"/>
  <c r="Z25" i="19"/>
  <c r="Z27" i="19"/>
  <c r="Z29" i="19"/>
  <c r="Z31" i="19"/>
  <c r="Z33" i="19"/>
  <c r="Z35" i="19"/>
  <c r="Z37" i="19"/>
  <c r="Z39" i="19"/>
  <c r="Q30" i="19"/>
  <c r="Q34" i="19"/>
  <c r="W16" i="19"/>
  <c r="W18" i="19"/>
  <c r="W20" i="19"/>
  <c r="W22" i="19"/>
  <c r="W24" i="19"/>
  <c r="W26" i="19"/>
  <c r="W28" i="19"/>
  <c r="W30" i="19"/>
  <c r="W32" i="19"/>
  <c r="W34" i="19"/>
  <c r="W36" i="19"/>
  <c r="W38" i="19"/>
  <c r="W40" i="19"/>
  <c r="R36" i="19"/>
  <c r="U16" i="19"/>
  <c r="U18" i="19"/>
  <c r="U20" i="19"/>
  <c r="U22" i="19"/>
  <c r="U24" i="19"/>
  <c r="U26" i="19"/>
  <c r="U28" i="19"/>
  <c r="U30" i="19"/>
  <c r="U32" i="19"/>
  <c r="T34" i="19"/>
  <c r="U36" i="19"/>
  <c r="T38" i="19"/>
  <c r="T40" i="19"/>
  <c r="R17" i="20"/>
  <c r="U29" i="20"/>
  <c r="T21" i="20"/>
  <c r="Z28" i="20"/>
  <c r="Z17" i="20"/>
  <c r="U19" i="20"/>
  <c r="X21" i="20"/>
  <c r="Q39" i="20"/>
  <c r="Q16" i="20"/>
  <c r="X17" i="20"/>
  <c r="W19" i="20"/>
  <c r="T27" i="20"/>
  <c r="T31" i="20"/>
  <c r="Q15" i="20"/>
  <c r="T17" i="20"/>
  <c r="U23" i="20"/>
  <c r="X28" i="20"/>
  <c r="W18" i="20"/>
  <c r="R19" i="20"/>
  <c r="R21" i="20"/>
  <c r="Q23" i="20"/>
  <c r="W24" i="20"/>
  <c r="U18" i="20"/>
  <c r="T20" i="20"/>
  <c r="T22" i="20"/>
  <c r="Z24" i="20"/>
  <c r="R29" i="20"/>
  <c r="Q31" i="20"/>
  <c r="T24" i="20"/>
  <c r="T26" i="20"/>
  <c r="T28" i="20"/>
  <c r="T30" i="20"/>
  <c r="T32" i="20"/>
  <c r="X34" i="20"/>
  <c r="X25" i="20"/>
  <c r="X27" i="20"/>
  <c r="Q28" i="20"/>
  <c r="R30" i="20"/>
  <c r="Q33" i="20"/>
  <c r="AA36" i="20"/>
  <c r="T34" i="20"/>
  <c r="W38" i="20"/>
  <c r="W33" i="20"/>
  <c r="U35" i="20"/>
  <c r="AA38" i="20"/>
  <c r="T36" i="20"/>
  <c r="T38" i="20"/>
  <c r="T40" i="20"/>
  <c r="W37" i="20"/>
  <c r="W39" i="20"/>
  <c r="Q40" i="20"/>
  <c r="AL17" i="20"/>
  <c r="BH31" i="20"/>
  <c r="AP33" i="20"/>
  <c r="AP34" i="20"/>
  <c r="AP24" i="20"/>
  <c r="AH40" i="20"/>
  <c r="AH38" i="20"/>
  <c r="AH28" i="20"/>
  <c r="AL27" i="20"/>
  <c r="AP37" i="20"/>
  <c r="BQ36" i="20"/>
  <c r="BH35" i="20"/>
  <c r="BH33" i="20"/>
  <c r="BH30" i="20"/>
  <c r="BH26" i="20"/>
  <c r="BH22" i="20"/>
  <c r="BH18" i="20"/>
  <c r="BQ25" i="20"/>
  <c r="BP20" i="20"/>
  <c r="BQ20" i="20"/>
  <c r="BH29" i="20"/>
  <c r="BP22" i="20"/>
  <c r="AL40" i="20"/>
  <c r="BQ18" i="20"/>
  <c r="BE22" i="20"/>
  <c r="BQ27" i="20"/>
  <c r="BE29" i="20"/>
  <c r="AL33" i="20"/>
  <c r="AH25" i="20"/>
  <c r="BE34" i="20"/>
  <c r="AP32" i="20"/>
  <c r="BP28" i="20"/>
  <c r="BP30" i="20"/>
  <c r="AP35" i="20"/>
  <c r="AL39" i="20"/>
  <c r="BP34" i="20"/>
  <c r="BP40" i="20"/>
  <c r="W23" i="20"/>
  <c r="R40" i="20"/>
  <c r="AP26" i="20"/>
  <c r="BE27" i="20"/>
  <c r="AG37" i="20"/>
  <c r="BQ37" i="20"/>
  <c r="AR21" i="20"/>
  <c r="BE30" i="20"/>
  <c r="AP28" i="20"/>
  <c r="AP38" i="20"/>
  <c r="R20" i="20"/>
  <c r="Q17" i="20"/>
  <c r="T29" i="20"/>
  <c r="AA22" i="20"/>
  <c r="AA32" i="20"/>
  <c r="T19" i="20"/>
  <c r="W21" i="20"/>
  <c r="X30" i="20"/>
  <c r="AA18" i="20"/>
  <c r="U25" i="20"/>
  <c r="AA30" i="20"/>
  <c r="R37" i="20"/>
  <c r="AA16" i="20"/>
  <c r="T23" i="20"/>
  <c r="W28" i="20"/>
  <c r="X18" i="20"/>
  <c r="W20" i="20"/>
  <c r="R23" i="20"/>
  <c r="AA26" i="20"/>
  <c r="AA19" i="20"/>
  <c r="Z21" i="20"/>
  <c r="AA23" i="20"/>
  <c r="R27" i="20"/>
  <c r="Q29" i="20"/>
  <c r="U24" i="20"/>
  <c r="U26" i="20"/>
  <c r="U28" i="20"/>
  <c r="U30" i="20"/>
  <c r="U32" i="20"/>
  <c r="W34" i="20"/>
  <c r="Q24" i="20"/>
  <c r="W27" i="20"/>
  <c r="X29" i="20"/>
  <c r="Q30" i="20"/>
  <c r="R32" i="20"/>
  <c r="Z36" i="20"/>
  <c r="U34" i="20"/>
  <c r="U37" i="20"/>
  <c r="AA40" i="20"/>
  <c r="T35" i="20"/>
  <c r="Z38" i="20"/>
  <c r="U36" i="20"/>
  <c r="U38" i="20"/>
  <c r="U40" i="20"/>
  <c r="R36" i="20"/>
  <c r="X39" i="20"/>
  <c r="BE24" i="20"/>
  <c r="AL24" i="20"/>
  <c r="BH19" i="20"/>
  <c r="AP31" i="20"/>
  <c r="BE39" i="20"/>
  <c r="AH26" i="20"/>
  <c r="AH31" i="20"/>
  <c r="AG34" i="20"/>
  <c r="AG32" i="20"/>
  <c r="AG21" i="20"/>
  <c r="BE18" i="20"/>
  <c r="BH40" i="20"/>
  <c r="BH36" i="20"/>
  <c r="BQ32" i="20"/>
  <c r="BQ34" i="20"/>
  <c r="BQ28" i="20"/>
  <c r="BQ23" i="20"/>
  <c r="AH23" i="20"/>
  <c r="AL36" i="20"/>
  <c r="BP39" i="20"/>
  <c r="BH17" i="20"/>
  <c r="AG18" i="20"/>
  <c r="AH21" i="20"/>
  <c r="BE23" i="20"/>
  <c r="BH23" i="20"/>
  <c r="BQ31" i="20"/>
  <c r="AL25" i="20"/>
  <c r="AP25" i="20"/>
  <c r="BE38" i="20"/>
  <c r="AH37" i="20"/>
  <c r="X16" i="20"/>
  <c r="AA28" i="20"/>
  <c r="Z20" i="20"/>
  <c r="R39" i="20"/>
  <c r="W17" i="20"/>
  <c r="U27" i="20"/>
  <c r="Q22" i="20"/>
  <c r="W32" i="20"/>
  <c r="Q21" i="20"/>
  <c r="X24" i="20"/>
  <c r="T18" i="20"/>
  <c r="U22" i="20"/>
  <c r="T33" i="20"/>
  <c r="AA29" i="20"/>
  <c r="AA33" i="20"/>
  <c r="W25" i="20"/>
  <c r="R28" i="20"/>
  <c r="R33" i="20"/>
  <c r="W40" i="20"/>
  <c r="X38" i="20"/>
  <c r="X33" i="20"/>
  <c r="W36" i="20"/>
  <c r="AA37" i="20"/>
  <c r="W35" i="20"/>
  <c r="R38" i="20"/>
  <c r="AP36" i="20"/>
  <c r="AP23" i="20"/>
  <c r="AH36" i="20"/>
  <c r="AH22" i="20"/>
  <c r="BQ38" i="20"/>
  <c r="BH37" i="20"/>
  <c r="BQ24" i="20"/>
  <c r="BQ19" i="20"/>
  <c r="BQ16" i="20"/>
  <c r="AH20" i="20"/>
  <c r="AR32" i="20"/>
  <c r="AH29" i="20"/>
  <c r="AL30" i="20"/>
  <c r="BP32" i="20"/>
  <c r="BP35" i="20"/>
  <c r="BP26" i="20"/>
  <c r="BE40" i="20"/>
  <c r="BP38" i="20"/>
  <c r="Q20" i="20"/>
  <c r="W16" i="20"/>
  <c r="X23" i="20"/>
  <c r="Z22" i="20"/>
  <c r="Z32" i="20"/>
  <c r="R18" i="20"/>
  <c r="AA20" i="20"/>
  <c r="R25" i="20"/>
  <c r="W30" i="20"/>
  <c r="U16" i="20"/>
  <c r="R16" i="20"/>
  <c r="Z18" i="20"/>
  <c r="T25" i="20"/>
  <c r="Z30" i="20"/>
  <c r="Q37" i="20"/>
  <c r="Z16" i="20"/>
  <c r="R22" i="20"/>
  <c r="X26" i="20"/>
  <c r="X32" i="20"/>
  <c r="Q19" i="20"/>
  <c r="X20" i="20"/>
  <c r="W22" i="20"/>
  <c r="Z26" i="20"/>
  <c r="Z19" i="20"/>
  <c r="AA21" i="20"/>
  <c r="Z23" i="20"/>
  <c r="Q27" i="20"/>
  <c r="U33" i="20"/>
  <c r="Z25" i="20"/>
  <c r="Z27" i="20"/>
  <c r="Z29" i="20"/>
  <c r="Z31" i="20"/>
  <c r="Z33" i="20"/>
  <c r="U39" i="20"/>
  <c r="R24" i="20"/>
  <c r="R26" i="20"/>
  <c r="W29" i="20"/>
  <c r="X31" i="20"/>
  <c r="Q32" i="20"/>
  <c r="AA34" i="20"/>
  <c r="X40" i="20"/>
  <c r="R35" i="20"/>
  <c r="T37" i="20"/>
  <c r="Z40" i="20"/>
  <c r="Q34" i="20"/>
  <c r="X36" i="20"/>
  <c r="Z35" i="20"/>
  <c r="Z37" i="20"/>
  <c r="Z39" i="20"/>
  <c r="X35" i="20"/>
  <c r="Q36" i="20"/>
  <c r="Q38" i="20"/>
  <c r="AH24" i="20"/>
  <c r="BH27" i="20"/>
  <c r="AP21" i="20"/>
  <c r="BE37" i="20"/>
  <c r="AH32" i="20"/>
  <c r="AH27" i="20"/>
  <c r="BE31" i="20"/>
  <c r="BE19" i="20"/>
  <c r="BQ40" i="20"/>
  <c r="BQ39" i="20"/>
  <c r="BH34" i="20"/>
  <c r="BQ26" i="20"/>
  <c r="BQ33" i="20"/>
  <c r="BH28" i="20"/>
  <c r="BH24" i="20"/>
  <c r="BH20" i="20"/>
  <c r="BQ21" i="20"/>
  <c r="AP17" i="20"/>
  <c r="AH18" i="20"/>
  <c r="BP27" i="20"/>
  <c r="BP31" i="20"/>
  <c r="AH34" i="20"/>
  <c r="BH16" i="20"/>
  <c r="BP37" i="20"/>
  <c r="AL34" i="20"/>
  <c r="AP20" i="20"/>
  <c r="BP23" i="20"/>
  <c r="BE25" i="20"/>
  <c r="AP27" i="20"/>
  <c r="AH35" i="20"/>
  <c r="BE26" i="20"/>
  <c r="AP30" i="20"/>
  <c r="BE32" i="20"/>
  <c r="AL37" i="20"/>
  <c r="AP39" i="20"/>
  <c r="BP36" i="20"/>
  <c r="U21" i="20"/>
  <c r="AA17" i="20"/>
  <c r="Q18" i="20"/>
  <c r="Q25" i="20"/>
  <c r="T16" i="20"/>
  <c r="X19" i="20"/>
  <c r="U31" i="20"/>
  <c r="U17" i="20"/>
  <c r="W26" i="20"/>
  <c r="X22" i="20"/>
  <c r="U20" i="20"/>
  <c r="AA24" i="20"/>
  <c r="R31" i="20"/>
  <c r="AA25" i="20"/>
  <c r="AA27" i="20"/>
  <c r="AA31" i="20"/>
  <c r="T39" i="20"/>
  <c r="Q26" i="20"/>
  <c r="W31" i="20"/>
  <c r="Z34" i="20"/>
  <c r="Q35" i="20"/>
  <c r="R34" i="20"/>
  <c r="AA35" i="20"/>
  <c r="AA39" i="20"/>
  <c r="X37" i="20"/>
  <c r="BP17" i="20"/>
  <c r="BP24" i="20"/>
  <c r="AP29" i="20"/>
  <c r="AP19" i="20"/>
  <c r="AH30" i="20"/>
  <c r="AL31" i="20"/>
  <c r="AG26" i="20"/>
  <c r="BH38" i="20"/>
  <c r="BQ35" i="20"/>
  <c r="BQ30" i="20"/>
  <c r="BP18" i="20"/>
  <c r="AP22" i="20"/>
  <c r="AP40" i="20"/>
  <c r="AP18" i="20"/>
  <c r="AH33" i="20"/>
  <c r="BE28" i="20"/>
  <c r="BE35" i="20"/>
  <c r="BE36" i="20"/>
  <c r="AH39" i="20"/>
  <c r="AG18" i="19"/>
  <c r="AH40" i="19"/>
  <c r="BE25" i="19"/>
  <c r="AH34" i="19"/>
  <c r="BE31" i="19"/>
  <c r="BQ36" i="19"/>
  <c r="BQ35" i="19"/>
  <c r="BQ26" i="19"/>
  <c r="BH37" i="19"/>
  <c r="BH32" i="19"/>
  <c r="BH28" i="19"/>
  <c r="BH38" i="19"/>
  <c r="BH24" i="19"/>
  <c r="BH19" i="19"/>
  <c r="BH31" i="19"/>
  <c r="AH16" i="19"/>
  <c r="AP33" i="19"/>
  <c r="AH22" i="19"/>
  <c r="BE23" i="19"/>
  <c r="AP29" i="19"/>
  <c r="BP33" i="19"/>
  <c r="BP40" i="19"/>
  <c r="BP26" i="19"/>
  <c r="AL28" i="19"/>
  <c r="BP29" i="19"/>
  <c r="AP38" i="19"/>
  <c r="BP20" i="19"/>
  <c r="BP22" i="19"/>
  <c r="BE24" i="19"/>
  <c r="AL24" i="19"/>
  <c r="BE27" i="19"/>
  <c r="BP27" i="19"/>
  <c r="AH35" i="19"/>
  <c r="BP35" i="19"/>
  <c r="AH25" i="19"/>
  <c r="AH31" i="19"/>
  <c r="AH37" i="19"/>
  <c r="BP37" i="19"/>
  <c r="AH39" i="19"/>
  <c r="BP39" i="19"/>
  <c r="BE36" i="19"/>
  <c r="AP35" i="19"/>
  <c r="AH23" i="19"/>
  <c r="AH28" i="19"/>
  <c r="BQ28" i="19"/>
  <c r="BQ19" i="19"/>
  <c r="BE17" i="19"/>
  <c r="AH38" i="19"/>
  <c r="AH26" i="19"/>
  <c r="AH30" i="19"/>
  <c r="BH16" i="19"/>
  <c r="BQ34" i="19"/>
  <c r="BQ32" i="19"/>
  <c r="BQ24" i="19"/>
  <c r="BH36" i="19"/>
  <c r="BQ29" i="19"/>
  <c r="BQ31" i="19"/>
  <c r="BQ23" i="19"/>
  <c r="BQ17" i="19"/>
  <c r="BQ25" i="19"/>
  <c r="BQ27" i="19"/>
  <c r="BH20" i="19"/>
  <c r="AH17" i="19"/>
  <c r="AP24" i="19"/>
  <c r="AG32" i="19"/>
  <c r="AG22" i="19"/>
  <c r="BE16" i="19"/>
  <c r="BE30" i="19"/>
  <c r="BP23" i="19"/>
  <c r="BP32" i="19"/>
  <c r="AL40" i="19"/>
  <c r="BP25" i="19"/>
  <c r="AP36" i="19"/>
  <c r="AH24" i="19"/>
  <c r="AL27" i="19"/>
  <c r="BE35" i="19"/>
  <c r="AL25" i="19"/>
  <c r="AL31" i="19"/>
  <c r="AL34" i="19"/>
  <c r="AP25" i="19"/>
  <c r="AH29" i="19"/>
  <c r="BE37" i="19"/>
  <c r="BE39" i="19"/>
  <c r="AP37" i="19"/>
  <c r="AH32" i="19"/>
  <c r="AH18" i="19"/>
  <c r="BQ16" i="19"/>
  <c r="BQ38" i="19"/>
  <c r="BQ33" i="19"/>
  <c r="BH34" i="19"/>
  <c r="BE18" i="19"/>
  <c r="BP18" i="19"/>
  <c r="AG26" i="19"/>
  <c r="BE19" i="19"/>
  <c r="BE21" i="19"/>
  <c r="BE28" i="19"/>
  <c r="BP38" i="19"/>
  <c r="BP28" i="19"/>
  <c r="AL36" i="19"/>
  <c r="AL30" i="19"/>
  <c r="AP34" i="19"/>
  <c r="AP22" i="19"/>
  <c r="BP24" i="19"/>
  <c r="AH27" i="19"/>
  <c r="BP34" i="19"/>
  <c r="BE38" i="19"/>
  <c r="AH36" i="19"/>
  <c r="AH21" i="19"/>
  <c r="BE29" i="19"/>
  <c r="BQ40" i="19"/>
  <c r="BQ39" i="19"/>
  <c r="BH33" i="19"/>
  <c r="BQ30" i="19"/>
  <c r="BH39" i="19"/>
  <c r="BH35" i="19"/>
  <c r="BH30" i="19"/>
  <c r="BH26" i="19"/>
  <c r="BH27" i="19"/>
  <c r="BH29" i="19"/>
  <c r="BQ21" i="19"/>
  <c r="BH23" i="19"/>
  <c r="BH17" i="19"/>
  <c r="BH22" i="19"/>
  <c r="AP17" i="19"/>
  <c r="BQ20" i="19"/>
  <c r="AG27" i="19"/>
  <c r="BH18" i="19"/>
  <c r="AP32" i="19"/>
  <c r="BP17" i="19"/>
  <c r="AL21" i="19"/>
  <c r="AP28" i="19"/>
  <c r="AH33" i="19"/>
  <c r="BP36" i="19"/>
  <c r="BP30" i="19"/>
  <c r="AL38" i="19"/>
  <c r="BE20" i="19"/>
  <c r="BE22" i="19"/>
  <c r="BP31" i="19"/>
  <c r="AL35" i="19"/>
  <c r="BE26" i="19"/>
  <c r="AP31" i="19"/>
  <c r="BE34" i="19"/>
  <c r="AL37" i="19"/>
  <c r="AL39" i="19"/>
  <c r="AR34" i="19"/>
  <c r="BE40" i="19"/>
  <c r="AP39" i="19"/>
  <c r="AH19" i="19"/>
  <c r="AL16" i="19"/>
  <c r="BQ37" i="19"/>
  <c r="BH40" i="19"/>
  <c r="BH25" i="19"/>
  <c r="BH21" i="19"/>
  <c r="AG24" i="19"/>
  <c r="BQ18" i="19"/>
  <c r="AH20" i="19"/>
  <c r="BE33" i="19"/>
  <c r="AP40" i="19"/>
  <c r="AP20" i="19"/>
  <c r="BE32" i="19"/>
  <c r="AR21" i="19"/>
  <c r="AL36" i="18"/>
  <c r="AL33" i="18"/>
  <c r="AL39" i="18"/>
  <c r="AL25" i="18"/>
  <c r="AP38" i="18"/>
  <c r="AP24" i="18"/>
  <c r="AP16" i="18"/>
  <c r="AP34" i="18"/>
  <c r="BH17" i="18"/>
  <c r="BE19" i="18"/>
  <c r="BP21" i="18"/>
  <c r="AP25" i="18"/>
  <c r="BP16" i="18"/>
  <c r="AL27" i="18"/>
  <c r="BE34" i="18"/>
  <c r="BE33" i="18"/>
  <c r="BE17" i="18"/>
  <c r="BE22" i="18"/>
  <c r="BP38" i="18"/>
  <c r="BP31" i="18"/>
  <c r="BP27" i="18"/>
  <c r="BQ39" i="18"/>
  <c r="BH38" i="18"/>
  <c r="BQ32" i="18"/>
  <c r="BH32" i="18"/>
  <c r="BH31" i="18"/>
  <c r="BH35" i="18"/>
  <c r="BQ28" i="18"/>
  <c r="BH30" i="18"/>
  <c r="BH24" i="18"/>
  <c r="BQ19" i="18"/>
  <c r="BH19" i="18"/>
  <c r="BH27" i="18"/>
  <c r="BH22" i="18"/>
  <c r="BQ17" i="18"/>
  <c r="AP22" i="18"/>
  <c r="AH23" i="18"/>
  <c r="AP35" i="18"/>
  <c r="AP27" i="18"/>
  <c r="AH19" i="18"/>
  <c r="BH25" i="18"/>
  <c r="AL16" i="18"/>
  <c r="BE38" i="18"/>
  <c r="AH31" i="18"/>
  <c r="BE30" i="18"/>
  <c r="BQ20" i="18"/>
  <c r="AG21" i="18"/>
  <c r="BH37" i="18"/>
  <c r="BH39" i="18"/>
  <c r="AP20" i="18"/>
  <c r="BP20" i="18"/>
  <c r="AH27" i="18"/>
  <c r="BP24" i="18"/>
  <c r="BP28" i="18"/>
  <c r="BQ40" i="18"/>
  <c r="BQ38" i="18"/>
  <c r="BH33" i="18"/>
  <c r="BQ31" i="18"/>
  <c r="BH29" i="18"/>
  <c r="BH34" i="18"/>
  <c r="BP17" i="18"/>
  <c r="BH21" i="18"/>
  <c r="BE23" i="18"/>
  <c r="AH25" i="18"/>
  <c r="AH22" i="18"/>
  <c r="BP26" i="18"/>
  <c r="BE29" i="18"/>
  <c r="AH28" i="18"/>
  <c r="BP33" i="18"/>
  <c r="AH37" i="18"/>
  <c r="BE36" i="18"/>
  <c r="BE39" i="18"/>
  <c r="AH40" i="18"/>
  <c r="AH39" i="18"/>
  <c r="AL37" i="18"/>
  <c r="AP37" i="18"/>
  <c r="AP17" i="18"/>
  <c r="BP19" i="18"/>
  <c r="BQ26" i="18"/>
  <c r="BE37" i="18"/>
  <c r="BE25" i="18"/>
  <c r="AL21" i="18"/>
  <c r="AL34" i="18"/>
  <c r="AL31" i="18"/>
  <c r="BH36" i="18"/>
  <c r="BH26" i="18"/>
  <c r="BH28" i="18"/>
  <c r="BH20" i="18"/>
  <c r="BQ18" i="18"/>
  <c r="BQ25" i="18"/>
  <c r="BH18" i="18"/>
  <c r="BQ16" i="18"/>
  <c r="BP23" i="18"/>
  <c r="BP25" i="18"/>
  <c r="BP18" i="18"/>
  <c r="BE32" i="18"/>
  <c r="AH29" i="18"/>
  <c r="AH30" i="18"/>
  <c r="AL28" i="18"/>
  <c r="AP29" i="18"/>
  <c r="AP33" i="18"/>
  <c r="BE35" i="18"/>
  <c r="BP37" i="18"/>
  <c r="AH36" i="18"/>
  <c r="BP34" i="18"/>
  <c r="BP40" i="18"/>
  <c r="AP36" i="18"/>
  <c r="AP26" i="18"/>
  <c r="AP31" i="18"/>
  <c r="AH38" i="18"/>
  <c r="BE21" i="18"/>
  <c r="AG26" i="18"/>
  <c r="BQ36" i="18"/>
  <c r="BQ35" i="18"/>
  <c r="BQ34" i="18"/>
  <c r="BQ37" i="18"/>
  <c r="BQ33" i="18"/>
  <c r="BQ30" i="18"/>
  <c r="BQ27" i="18"/>
  <c r="BH23" i="18"/>
  <c r="BE28" i="18"/>
  <c r="AH18" i="18"/>
  <c r="BE27" i="18"/>
  <c r="AP28" i="18"/>
  <c r="AH32" i="18"/>
  <c r="AP19" i="18"/>
  <c r="AP23" i="18"/>
  <c r="AL24" i="18"/>
  <c r="BP29" i="18"/>
  <c r="BP30" i="18"/>
  <c r="AP32" i="18"/>
  <c r="AL30" i="18"/>
  <c r="BP36" i="18"/>
  <c r="AL40" i="18"/>
  <c r="AP39" i="18"/>
  <c r="AP40" i="18"/>
  <c r="AP18" i="18"/>
  <c r="AL17" i="18"/>
  <c r="AH34" i="18"/>
  <c r="AH24" i="18"/>
  <c r="BP35" i="18"/>
  <c r="BH40" i="18"/>
  <c r="BQ29" i="18"/>
  <c r="BQ23" i="18"/>
  <c r="BH16" i="18"/>
  <c r="BQ22" i="18"/>
  <c r="BQ21" i="18"/>
  <c r="AP21" i="18"/>
  <c r="BP22" i="18"/>
  <c r="BP32" i="18"/>
  <c r="AH26" i="18"/>
  <c r="BE26" i="18"/>
  <c r="AH35" i="18"/>
  <c r="AH33" i="18"/>
  <c r="BE31" i="18"/>
  <c r="BE40" i="18"/>
  <c r="BP39" i="18"/>
  <c r="AL37" i="17"/>
  <c r="AL40" i="17"/>
  <c r="AL33" i="17"/>
  <c r="AL36" i="17"/>
  <c r="AH39" i="17"/>
  <c r="AH28" i="17"/>
  <c r="AP17" i="17"/>
  <c r="AP22" i="17"/>
  <c r="BE25" i="17"/>
  <c r="BP26" i="17"/>
  <c r="AP30" i="17"/>
  <c r="BQ39" i="17"/>
  <c r="BH34" i="17"/>
  <c r="BH33" i="17"/>
  <c r="BH29" i="17"/>
  <c r="BH20" i="17"/>
  <c r="BH19" i="17"/>
  <c r="BH18" i="17"/>
  <c r="BP20" i="17"/>
  <c r="AP39" i="17"/>
  <c r="BP17" i="17"/>
  <c r="AH19" i="17"/>
  <c r="BP25" i="17"/>
  <c r="AL22" i="17"/>
  <c r="AL30" i="17"/>
  <c r="BP32" i="17"/>
  <c r="BP33" i="17"/>
  <c r="AH35" i="17"/>
  <c r="AP31" i="17"/>
  <c r="AH31" i="17"/>
  <c r="BP37" i="17"/>
  <c r="AH38" i="17"/>
  <c r="AP38" i="17"/>
  <c r="BE35" i="17"/>
  <c r="BP38" i="17"/>
  <c r="BE34" i="17"/>
  <c r="BE33" i="17"/>
  <c r="AH16" i="17"/>
  <c r="BE17" i="17"/>
  <c r="BE20" i="17"/>
  <c r="AP21" i="17"/>
  <c r="AL28" i="17"/>
  <c r="BH37" i="17"/>
  <c r="BH38" i="17"/>
  <c r="BQ38" i="17"/>
  <c r="BQ32" i="17"/>
  <c r="BH32" i="17"/>
  <c r="BH31" i="17"/>
  <c r="BH27" i="17"/>
  <c r="BQ28" i="17"/>
  <c r="BH24" i="17"/>
  <c r="BQ19" i="17"/>
  <c r="BH23" i="17"/>
  <c r="BQ18" i="17"/>
  <c r="BH22" i="17"/>
  <c r="BQ17" i="17"/>
  <c r="AP16" i="17"/>
  <c r="AH24" i="17"/>
  <c r="AP34" i="17"/>
  <c r="BP28" i="17"/>
  <c r="BP19" i="17"/>
  <c r="AH21" i="17"/>
  <c r="BE23" i="17"/>
  <c r="AP24" i="17"/>
  <c r="BH30" i="17"/>
  <c r="BP18" i="17"/>
  <c r="AP19" i="17"/>
  <c r="AH27" i="17"/>
  <c r="AP27" i="17"/>
  <c r="BP35" i="17"/>
  <c r="BE31" i="17"/>
  <c r="BE39" i="17"/>
  <c r="AL31" i="17"/>
  <c r="BE40" i="17"/>
  <c r="AH36" i="17"/>
  <c r="AP40" i="17"/>
  <c r="AP36" i="17"/>
  <c r="BE38" i="17"/>
  <c r="BE27" i="17"/>
  <c r="BP16" i="17"/>
  <c r="AP18" i="17"/>
  <c r="BE21" i="17"/>
  <c r="BH21" i="17"/>
  <c r="BQ36" i="17"/>
  <c r="BH36" i="17"/>
  <c r="BQ37" i="17"/>
  <c r="BH35" i="17"/>
  <c r="BH39" i="17"/>
  <c r="BQ31" i="17"/>
  <c r="BQ33" i="17"/>
  <c r="BQ26" i="17"/>
  <c r="BQ23" i="17"/>
  <c r="BQ22" i="17"/>
  <c r="BH28" i="17"/>
  <c r="BQ21" i="17"/>
  <c r="BP24" i="17"/>
  <c r="AP26" i="17"/>
  <c r="AP35" i="17"/>
  <c r="AP28" i="17"/>
  <c r="BP39" i="17"/>
  <c r="BE16" i="17"/>
  <c r="BP21" i="17"/>
  <c r="AH23" i="17"/>
  <c r="AH18" i="17"/>
  <c r="BP22" i="17"/>
  <c r="BE28" i="17"/>
  <c r="AP29" i="17"/>
  <c r="BP27" i="17"/>
  <c r="AL24" i="17"/>
  <c r="BE30" i="17"/>
  <c r="BP29" i="17"/>
  <c r="BE32" i="17"/>
  <c r="AH37" i="17"/>
  <c r="BP40" i="17"/>
  <c r="BP36" i="17"/>
  <c r="AH29" i="17"/>
  <c r="BP31" i="17"/>
  <c r="BP34" i="17"/>
  <c r="BQ16" i="17"/>
  <c r="BE36" i="17"/>
  <c r="AH34" i="17"/>
  <c r="AL16" i="17"/>
  <c r="BE24" i="17"/>
  <c r="AP25" i="17"/>
  <c r="AH26" i="17"/>
  <c r="BQ40" i="17"/>
  <c r="BH40" i="17"/>
  <c r="BQ35" i="17"/>
  <c r="BQ34" i="17"/>
  <c r="BQ29" i="17"/>
  <c r="BQ30" i="17"/>
  <c r="BH16" i="17"/>
  <c r="BQ25" i="17"/>
  <c r="AG16" i="17"/>
  <c r="AH20" i="17"/>
  <c r="BQ27" i="17"/>
  <c r="AP37" i="17"/>
  <c r="AH17" i="17"/>
  <c r="BE19" i="17"/>
  <c r="AP20" i="17"/>
  <c r="BP23" i="17"/>
  <c r="AH25" i="17"/>
  <c r="AH22" i="17"/>
  <c r="AP23" i="17"/>
  <c r="BE26" i="17"/>
  <c r="AH30" i="17"/>
  <c r="AH32" i="17"/>
  <c r="AH33" i="17"/>
  <c r="AP33" i="17"/>
  <c r="AL27" i="17"/>
  <c r="BE37" i="17"/>
  <c r="AP32" i="17"/>
  <c r="AH40" i="17"/>
  <c r="AR16" i="17"/>
  <c r="AR25" i="17"/>
  <c r="AL25" i="16"/>
  <c r="AL28" i="16"/>
  <c r="AL31" i="16"/>
  <c r="AL24" i="16"/>
  <c r="AL30" i="16"/>
  <c r="AL27" i="16"/>
  <c r="AL21" i="16"/>
  <c r="AL16" i="16"/>
  <c r="AL22" i="16"/>
  <c r="AL17" i="16"/>
  <c r="AP29" i="16"/>
  <c r="BP29" i="16"/>
  <c r="AH35" i="16"/>
  <c r="BE28" i="16"/>
  <c r="AH19" i="16"/>
  <c r="AH21" i="16"/>
  <c r="AP22" i="16"/>
  <c r="AP27" i="16"/>
  <c r="BQ16" i="16"/>
  <c r="BE20" i="16"/>
  <c r="BE25" i="16"/>
  <c r="BP34" i="16"/>
  <c r="AH29" i="16"/>
  <c r="BQ36" i="16"/>
  <c r="BH36" i="16"/>
  <c r="BQ37" i="16"/>
  <c r="BH31" i="16"/>
  <c r="BQ33" i="16"/>
  <c r="BH33" i="16"/>
  <c r="BH30" i="16"/>
  <c r="BH25" i="16"/>
  <c r="BQ20" i="16"/>
  <c r="BH24" i="16"/>
  <c r="BH27" i="16"/>
  <c r="BH23" i="16"/>
  <c r="BQ18" i="16"/>
  <c r="BP39" i="16"/>
  <c r="BP18" i="16"/>
  <c r="BE19" i="16"/>
  <c r="AH27" i="16"/>
  <c r="AH32" i="16"/>
  <c r="BP28" i="16"/>
  <c r="BP30" i="16"/>
  <c r="AH33" i="16"/>
  <c r="BP37" i="16"/>
  <c r="BP36" i="16"/>
  <c r="AH38" i="16"/>
  <c r="AP39" i="16"/>
  <c r="AP24" i="16"/>
  <c r="AH39" i="16"/>
  <c r="BQ19" i="16"/>
  <c r="BP21" i="16"/>
  <c r="AH23" i="16"/>
  <c r="BH26" i="16"/>
  <c r="AP19" i="16"/>
  <c r="AH20" i="16"/>
  <c r="AP21" i="16"/>
  <c r="AR22" i="16"/>
  <c r="AP23" i="16"/>
  <c r="BE26" i="16"/>
  <c r="BE34" i="16"/>
  <c r="BE24" i="16"/>
  <c r="AP25" i="16"/>
  <c r="BQ40" i="16"/>
  <c r="BH40" i="16"/>
  <c r="BQ35" i="16"/>
  <c r="BQ30" i="16"/>
  <c r="BQ38" i="16"/>
  <c r="BQ32" i="16"/>
  <c r="BQ29" i="16"/>
  <c r="BH29" i="16"/>
  <c r="BQ24" i="16"/>
  <c r="BQ23" i="16"/>
  <c r="BQ22" i="16"/>
  <c r="BP35" i="16"/>
  <c r="BH16" i="16"/>
  <c r="AH18" i="16"/>
  <c r="AH25" i="16"/>
  <c r="BP19" i="16"/>
  <c r="AH31" i="16"/>
  <c r="BP33" i="16"/>
  <c r="AP34" i="16"/>
  <c r="AP20" i="16"/>
  <c r="BP24" i="16"/>
  <c r="BE33" i="16"/>
  <c r="BE29" i="16"/>
  <c r="BH21" i="16"/>
  <c r="BH20" i="16"/>
  <c r="BP23" i="16"/>
  <c r="AP30" i="16"/>
  <c r="AH28" i="16"/>
  <c r="BE32" i="16"/>
  <c r="BE37" i="16"/>
  <c r="BE36" i="16"/>
  <c r="BP40" i="16"/>
  <c r="BE39" i="16"/>
  <c r="AP35" i="16"/>
  <c r="AP17" i="16"/>
  <c r="BE38" i="16"/>
  <c r="BE31" i="16"/>
  <c r="AP28" i="16"/>
  <c r="BP20" i="16"/>
  <c r="AH22" i="16"/>
  <c r="AP31" i="16"/>
  <c r="AH34" i="16"/>
  <c r="AP38" i="16"/>
  <c r="AH24" i="16"/>
  <c r="BQ39" i="16"/>
  <c r="BH34" i="16"/>
  <c r="BH39" i="16"/>
  <c r="BQ34" i="16"/>
  <c r="BH32" i="16"/>
  <c r="BH28" i="16"/>
  <c r="BQ28" i="16"/>
  <c r="BQ26" i="16"/>
  <c r="BP17" i="16"/>
  <c r="AP18" i="16"/>
  <c r="BP25" i="16"/>
  <c r="AP26" i="16"/>
  <c r="BP27" i="16"/>
  <c r="AH30" i="16"/>
  <c r="BP32" i="16"/>
  <c r="AH37" i="16"/>
  <c r="AP33" i="16"/>
  <c r="BP31" i="16"/>
  <c r="BE40" i="16"/>
  <c r="BE35" i="16"/>
  <c r="AP36" i="16"/>
  <c r="AH36" i="16"/>
  <c r="AH40" i="16"/>
  <c r="AP32" i="16"/>
  <c r="BE23" i="16"/>
  <c r="BQ25" i="16"/>
  <c r="BH37" i="16"/>
  <c r="BH38" i="16"/>
  <c r="BH35" i="16"/>
  <c r="BQ31" i="16"/>
  <c r="BQ27" i="16"/>
  <c r="BH19" i="16"/>
  <c r="BQ17" i="16"/>
  <c r="BH18" i="16"/>
  <c r="BQ21" i="16"/>
  <c r="BP26" i="16"/>
  <c r="BE27" i="16"/>
  <c r="AP37" i="16"/>
  <c r="AP40" i="16"/>
  <c r="BP38" i="16"/>
  <c r="AR26" i="16"/>
  <c r="AL21" i="15"/>
  <c r="AL17" i="15"/>
  <c r="AR39" i="15"/>
  <c r="BQ32" i="15"/>
  <c r="BQ40" i="15"/>
  <c r="BQ39" i="15"/>
  <c r="BQ36" i="15"/>
  <c r="BQ31" i="15"/>
  <c r="BQ25" i="15"/>
  <c r="BQ34" i="15"/>
  <c r="BQ24" i="15"/>
  <c r="BQ17" i="15"/>
  <c r="BQ30" i="15"/>
  <c r="BE18" i="15"/>
  <c r="BH20" i="15"/>
  <c r="BH18" i="15"/>
  <c r="BQ20" i="15"/>
  <c r="BQ16" i="15"/>
  <c r="BE19" i="15"/>
  <c r="BH23" i="15"/>
  <c r="BE34" i="15"/>
  <c r="BP37" i="15"/>
  <c r="BP19" i="15"/>
  <c r="BE21" i="15"/>
  <c r="BP30" i="15"/>
  <c r="BE29" i="15"/>
  <c r="BE33" i="15"/>
  <c r="BE40" i="15"/>
  <c r="BP36" i="15"/>
  <c r="BP38" i="15"/>
  <c r="BP24" i="15"/>
  <c r="BH40" i="15"/>
  <c r="BH36" i="15"/>
  <c r="BQ37" i="15"/>
  <c r="BH32" i="15"/>
  <c r="BQ29" i="15"/>
  <c r="BH28" i="15"/>
  <c r="BH24" i="15"/>
  <c r="BQ23" i="15"/>
  <c r="BH30" i="15"/>
  <c r="BH27" i="15"/>
  <c r="BH21" i="15"/>
  <c r="BH17" i="15"/>
  <c r="BQ18" i="15"/>
  <c r="BH35" i="15"/>
  <c r="BQ35" i="15"/>
  <c r="BQ38" i="15"/>
  <c r="BQ21" i="15"/>
  <c r="BH29" i="15"/>
  <c r="BQ26" i="15"/>
  <c r="BE35" i="15"/>
  <c r="BP22" i="15"/>
  <c r="BP25" i="15"/>
  <c r="BE28" i="15"/>
  <c r="BE30" i="15"/>
  <c r="BP33" i="15"/>
  <c r="BP39" i="15"/>
  <c r="BP29" i="15"/>
  <c r="BE36" i="15"/>
  <c r="BE38" i="15"/>
  <c r="BP26" i="15"/>
  <c r="BH38" i="15"/>
  <c r="BH22" i="15"/>
  <c r="BH25" i="15"/>
  <c r="BH31" i="15"/>
  <c r="BP18" i="15"/>
  <c r="BE20" i="15"/>
  <c r="BE32" i="15"/>
  <c r="BE37" i="15"/>
  <c r="BE22" i="15"/>
  <c r="BE39" i="15"/>
  <c r="BH26" i="15"/>
  <c r="BH39" i="15"/>
  <c r="BQ28" i="15"/>
  <c r="BP34" i="15"/>
  <c r="BP27" i="15"/>
  <c r="BE31" i="15"/>
  <c r="BH34" i="15"/>
  <c r="BQ33" i="15"/>
  <c r="BP17" i="15"/>
  <c r="BH16" i="15"/>
  <c r="BQ27" i="15"/>
  <c r="BQ19" i="15"/>
  <c r="BH19" i="15"/>
  <c r="BE16" i="15"/>
  <c r="BP28" i="15"/>
  <c r="BP32" i="15"/>
  <c r="BP40" i="15"/>
  <c r="BQ22" i="15"/>
  <c r="BH37" i="15"/>
  <c r="BE23" i="15"/>
  <c r="AS18" i="22" l="1"/>
  <c r="O20" i="22"/>
  <c r="AS32" i="22"/>
  <c r="BN36" i="22"/>
  <c r="BN18" i="22"/>
  <c r="AS37" i="22"/>
  <c r="AD34" i="22"/>
  <c r="AE34" i="22" s="1"/>
  <c r="AD39" i="22"/>
  <c r="AE39" i="22" s="1"/>
  <c r="BN39" i="22"/>
  <c r="AS38" i="22"/>
  <c r="BN31" i="22"/>
  <c r="AD25" i="22"/>
  <c r="AE25" i="22" s="1"/>
  <c r="AF30" i="22"/>
  <c r="AD17" i="22"/>
  <c r="AE17" i="22" s="1"/>
  <c r="AD33" i="22"/>
  <c r="AE33" i="22" s="1"/>
  <c r="AD29" i="22"/>
  <c r="AE29" i="22" s="1"/>
  <c r="AF36" i="22"/>
  <c r="AF20" i="22"/>
  <c r="AD22" i="22"/>
  <c r="AE22" i="22" s="1"/>
  <c r="AY40" i="22"/>
  <c r="AU40" i="22"/>
  <c r="BA37" i="22"/>
  <c r="AW37" i="22"/>
  <c r="BB39" i="22"/>
  <c r="AX39" i="22"/>
  <c r="BB37" i="22"/>
  <c r="AX37" i="22"/>
  <c r="BB35" i="22"/>
  <c r="AX35" i="22"/>
  <c r="BA34" i="22"/>
  <c r="AW34" i="22"/>
  <c r="AY39" i="22"/>
  <c r="AU39" i="22"/>
  <c r="AY34" i="22"/>
  <c r="AU34" i="22"/>
  <c r="BA28" i="22"/>
  <c r="AW28" i="22"/>
  <c r="AZ29" i="22"/>
  <c r="AZ27" i="22"/>
  <c r="AY28" i="22"/>
  <c r="AU28" i="22"/>
  <c r="AZ34" i="22"/>
  <c r="BA23" i="22"/>
  <c r="AW23" i="22"/>
  <c r="AY20" i="22"/>
  <c r="AU20" i="22"/>
  <c r="AW26" i="22"/>
  <c r="BA26" i="22"/>
  <c r="AY23" i="22"/>
  <c r="AU23" i="22"/>
  <c r="BA20" i="22"/>
  <c r="AW20" i="22"/>
  <c r="AZ17" i="22"/>
  <c r="AZ21" i="22"/>
  <c r="BB24" i="22"/>
  <c r="AX24" i="22"/>
  <c r="AZ39" i="22"/>
  <c r="AZ37" i="22"/>
  <c r="AZ35" i="22"/>
  <c r="AY38" i="22"/>
  <c r="AU38" i="22"/>
  <c r="BA35" i="22"/>
  <c r="AW35" i="22"/>
  <c r="BA32" i="22"/>
  <c r="AW32" i="22"/>
  <c r="AY31" i="22"/>
  <c r="AU31" i="22"/>
  <c r="BA36" i="22"/>
  <c r="AW36" i="22"/>
  <c r="BB34" i="22"/>
  <c r="AX34" i="22"/>
  <c r="BB32" i="22"/>
  <c r="AX32" i="22"/>
  <c r="AY32" i="22"/>
  <c r="AU32" i="22"/>
  <c r="AZ32" i="22"/>
  <c r="BB31" i="22"/>
  <c r="AX31" i="22"/>
  <c r="BA38" i="22"/>
  <c r="AW38" i="22"/>
  <c r="AZ30" i="22"/>
  <c r="AY26" i="22"/>
  <c r="AU26" i="22"/>
  <c r="BA21" i="22"/>
  <c r="AW21" i="22"/>
  <c r="AY18" i="22"/>
  <c r="AU18" i="22"/>
  <c r="BB25" i="22"/>
  <c r="AX25" i="22"/>
  <c r="BB23" i="22"/>
  <c r="AX23" i="22"/>
  <c r="BB21" i="22"/>
  <c r="AX21" i="22"/>
  <c r="BB19" i="22"/>
  <c r="AX19" i="22"/>
  <c r="BB17" i="22"/>
  <c r="AX17" i="22"/>
  <c r="AY21" i="22"/>
  <c r="AU21" i="22"/>
  <c r="BA18" i="22"/>
  <c r="AW18" i="22"/>
  <c r="AZ23" i="22"/>
  <c r="BB26" i="22"/>
  <c r="AX26" i="22"/>
  <c r="BB22" i="22"/>
  <c r="AX22" i="22"/>
  <c r="AZ16" i="22"/>
  <c r="AW16" i="22"/>
  <c r="BA16" i="22"/>
  <c r="AY36" i="22"/>
  <c r="AU36" i="22"/>
  <c r="AZ40" i="22"/>
  <c r="AZ38" i="22"/>
  <c r="AZ36" i="22"/>
  <c r="AY37" i="22"/>
  <c r="AU37" i="22"/>
  <c r="BA40" i="22"/>
  <c r="AW40" i="22"/>
  <c r="AY35" i="22"/>
  <c r="AU35" i="22"/>
  <c r="AY29" i="22"/>
  <c r="AU29" i="22"/>
  <c r="BB30" i="22"/>
  <c r="AX30" i="22"/>
  <c r="BB28" i="22"/>
  <c r="AX28" i="22"/>
  <c r="BA29" i="22"/>
  <c r="AW29" i="22"/>
  <c r="AY24" i="22"/>
  <c r="AU24" i="22"/>
  <c r="AW19" i="22"/>
  <c r="BA19" i="22"/>
  <c r="BB29" i="22"/>
  <c r="AX29" i="22"/>
  <c r="AZ26" i="22"/>
  <c r="BA24" i="22"/>
  <c r="AW24" i="22"/>
  <c r="AY19" i="22"/>
  <c r="AU19" i="22"/>
  <c r="BB16" i="22"/>
  <c r="AX16" i="22"/>
  <c r="BB18" i="22"/>
  <c r="AX18" i="22"/>
  <c r="BB40" i="22"/>
  <c r="AX40" i="22"/>
  <c r="BB38" i="22"/>
  <c r="AX38" i="22"/>
  <c r="BB36" i="22"/>
  <c r="AX36" i="22"/>
  <c r="BA39" i="22"/>
  <c r="AW39" i="22"/>
  <c r="AY33" i="22"/>
  <c r="AU33" i="22"/>
  <c r="AZ33" i="22"/>
  <c r="AZ31" i="22"/>
  <c r="BA33" i="22"/>
  <c r="AW33" i="22"/>
  <c r="BB33" i="22"/>
  <c r="AX33" i="22"/>
  <c r="BA30" i="22"/>
  <c r="AW30" i="22"/>
  <c r="AY27" i="22"/>
  <c r="AU27" i="22"/>
  <c r="AY30" i="22"/>
  <c r="AU30" i="22"/>
  <c r="BA27" i="22"/>
  <c r="AW27" i="22"/>
  <c r="BA31" i="22"/>
  <c r="AW31" i="22"/>
  <c r="BB27" i="22"/>
  <c r="AX27" i="22"/>
  <c r="BA25" i="22"/>
  <c r="AW25" i="22"/>
  <c r="AY22" i="22"/>
  <c r="AU22" i="22"/>
  <c r="AW17" i="22"/>
  <c r="BA17" i="22"/>
  <c r="AZ24" i="22"/>
  <c r="AZ22" i="22"/>
  <c r="AZ20" i="22"/>
  <c r="AZ18" i="22"/>
  <c r="AY25" i="22"/>
  <c r="AU25" i="22"/>
  <c r="BA22" i="22"/>
  <c r="AW22" i="22"/>
  <c r="AY17" i="22"/>
  <c r="AU17" i="22"/>
  <c r="BB20" i="22"/>
  <c r="AX20" i="22"/>
  <c r="AZ28" i="22"/>
  <c r="AZ25" i="22"/>
  <c r="AY16" i="22"/>
  <c r="AU16" i="22"/>
  <c r="AZ19" i="22"/>
  <c r="AV21" i="22"/>
  <c r="AV19" i="22"/>
  <c r="AV32" i="22"/>
  <c r="AV24" i="22"/>
  <c r="AV39" i="22"/>
  <c r="AV22" i="22"/>
  <c r="AV38" i="22"/>
  <c r="AV34" i="22"/>
  <c r="AV36" i="22"/>
  <c r="AV37" i="22"/>
  <c r="AV35" i="22"/>
  <c r="AV28" i="22"/>
  <c r="AV40" i="22"/>
  <c r="AV31" i="22"/>
  <c r="AV16" i="22"/>
  <c r="AV18" i="22"/>
  <c r="AV29" i="22"/>
  <c r="AV26" i="22"/>
  <c r="AV33" i="22"/>
  <c r="AV23" i="22"/>
  <c r="AV27" i="22"/>
  <c r="AV30" i="22"/>
  <c r="AV20" i="22"/>
  <c r="AV17" i="22"/>
  <c r="AV25" i="22"/>
  <c r="AF38" i="22"/>
  <c r="AF37" i="22"/>
  <c r="O17" i="22"/>
  <c r="BN17" i="22"/>
  <c r="O25" i="22"/>
  <c r="BN25" i="22"/>
  <c r="O34" i="22"/>
  <c r="BN34" i="22"/>
  <c r="O16" i="22"/>
  <c r="AS16" i="22"/>
  <c r="AF18" i="22"/>
  <c r="AD26" i="22"/>
  <c r="AE26" i="22" s="1"/>
  <c r="AD20" i="22"/>
  <c r="AE20" i="22" s="1"/>
  <c r="AD24" i="22"/>
  <c r="AE24" i="22" s="1"/>
  <c r="AF29" i="22"/>
  <c r="AD27" i="22"/>
  <c r="AE27" i="22" s="1"/>
  <c r="AD32" i="22"/>
  <c r="AE32" i="22" s="1"/>
  <c r="AD37" i="22"/>
  <c r="AE37" i="22" s="1"/>
  <c r="AD38" i="22"/>
  <c r="AE38" i="22" s="1"/>
  <c r="O19" i="22"/>
  <c r="BN19" i="22"/>
  <c r="O22" i="22"/>
  <c r="O28" i="22"/>
  <c r="BN28" i="22"/>
  <c r="BN27" i="22"/>
  <c r="O27" i="22"/>
  <c r="O37" i="22"/>
  <c r="O33" i="22"/>
  <c r="O40" i="22"/>
  <c r="AS27" i="22"/>
  <c r="AS19" i="22"/>
  <c r="AS36" i="22"/>
  <c r="BN38" i="22"/>
  <c r="AS39" i="22"/>
  <c r="BN29" i="22"/>
  <c r="AS17" i="22"/>
  <c r="AD19" i="22"/>
  <c r="AE19" i="22" s="1"/>
  <c r="AD23" i="22"/>
  <c r="AE23" i="22" s="1"/>
  <c r="AD30" i="22"/>
  <c r="AE30" i="22" s="1"/>
  <c r="AF33" i="22"/>
  <c r="AF40" i="22"/>
  <c r="AF34" i="22"/>
  <c r="AF35" i="22"/>
  <c r="AF39" i="22"/>
  <c r="O21" i="22"/>
  <c r="BN21" i="22"/>
  <c r="AS26" i="22"/>
  <c r="O24" i="22"/>
  <c r="O29" i="22"/>
  <c r="BN22" i="22"/>
  <c r="BN24" i="22"/>
  <c r="AS20" i="22"/>
  <c r="AS25" i="22"/>
  <c r="BN20" i="22"/>
  <c r="O15" i="22"/>
  <c r="AF31" i="22"/>
  <c r="AD31" i="22"/>
  <c r="AE31" i="22" s="1"/>
  <c r="AD36" i="22"/>
  <c r="AE36" i="22" s="1"/>
  <c r="O23" i="22"/>
  <c r="BN23" i="22"/>
  <c r="O26" i="22"/>
  <c r="BN26" i="22"/>
  <c r="AS34" i="22"/>
  <c r="O32" i="22"/>
  <c r="BN32" i="22"/>
  <c r="O39" i="22"/>
  <c r="O36" i="22"/>
  <c r="AS30" i="22"/>
  <c r="AS21" i="22"/>
  <c r="BN31" i="21"/>
  <c r="AD38" i="21"/>
  <c r="AE38" i="21" s="1"/>
  <c r="AD24" i="21"/>
  <c r="AE24" i="21" s="1"/>
  <c r="AS20" i="21"/>
  <c r="O22" i="21"/>
  <c r="O30" i="21"/>
  <c r="AS38" i="21"/>
  <c r="AS39" i="21"/>
  <c r="AS23" i="21"/>
  <c r="O31" i="21"/>
  <c r="AD29" i="21"/>
  <c r="AE29" i="21" s="1"/>
  <c r="AD40" i="21"/>
  <c r="AE40" i="21" s="1"/>
  <c r="AY39" i="21"/>
  <c r="AU39" i="21"/>
  <c r="AY40" i="21"/>
  <c r="AU40" i="21"/>
  <c r="BA37" i="21"/>
  <c r="AW37" i="21"/>
  <c r="AW31" i="21"/>
  <c r="BA31" i="21"/>
  <c r="AZ34" i="21"/>
  <c r="AZ32" i="21"/>
  <c r="BA34" i="21"/>
  <c r="AW34" i="21"/>
  <c r="BA27" i="21"/>
  <c r="AW27" i="21"/>
  <c r="BB29" i="21"/>
  <c r="AX29" i="21"/>
  <c r="BB27" i="21"/>
  <c r="AX27" i="21"/>
  <c r="BA30" i="21"/>
  <c r="AW30" i="21"/>
  <c r="AY22" i="21"/>
  <c r="AU22" i="21"/>
  <c r="BA19" i="21"/>
  <c r="AW19" i="21"/>
  <c r="BB30" i="21"/>
  <c r="AX30" i="21"/>
  <c r="BB25" i="21"/>
  <c r="AX25" i="21"/>
  <c r="AX23" i="21"/>
  <c r="BB23" i="21"/>
  <c r="BB21" i="21"/>
  <c r="AX21" i="21"/>
  <c r="AX19" i="21"/>
  <c r="BB19" i="21"/>
  <c r="BB17" i="21"/>
  <c r="AX17" i="21"/>
  <c r="AY16" i="21"/>
  <c r="AU16" i="21"/>
  <c r="BA20" i="21"/>
  <c r="AW20" i="21"/>
  <c r="AW40" i="21"/>
  <c r="BA40" i="21"/>
  <c r="AY37" i="21"/>
  <c r="AU37" i="21"/>
  <c r="BB40" i="21"/>
  <c r="AX40" i="21"/>
  <c r="BB38" i="21"/>
  <c r="AX38" i="21"/>
  <c r="BB36" i="21"/>
  <c r="AX36" i="21"/>
  <c r="AY38" i="21"/>
  <c r="AU38" i="21"/>
  <c r="BA35" i="21"/>
  <c r="AW35" i="21"/>
  <c r="AY34" i="21"/>
  <c r="AU34" i="21"/>
  <c r="BB35" i="21"/>
  <c r="AX35" i="21"/>
  <c r="BB37" i="21"/>
  <c r="AX37" i="21"/>
  <c r="BA32" i="21"/>
  <c r="AW32" i="21"/>
  <c r="BB39" i="21"/>
  <c r="AX39" i="21"/>
  <c r="AY30" i="21"/>
  <c r="AU30" i="21"/>
  <c r="AZ31" i="21"/>
  <c r="BA28" i="21"/>
  <c r="AW28" i="21"/>
  <c r="AZ29" i="21"/>
  <c r="AZ25" i="21"/>
  <c r="AZ23" i="21"/>
  <c r="AZ21" i="21"/>
  <c r="AZ19" i="21"/>
  <c r="AZ17" i="21"/>
  <c r="BA25" i="21"/>
  <c r="AW25" i="21"/>
  <c r="AY20" i="21"/>
  <c r="AU20" i="21"/>
  <c r="BA17" i="21"/>
  <c r="AW17" i="21"/>
  <c r="BA18" i="21"/>
  <c r="AW18" i="21"/>
  <c r="BB16" i="21"/>
  <c r="AX16" i="21"/>
  <c r="AY23" i="21"/>
  <c r="AU23" i="21"/>
  <c r="BA16" i="21"/>
  <c r="AW16" i="21"/>
  <c r="AY25" i="21"/>
  <c r="AU25" i="21"/>
  <c r="AY17" i="21"/>
  <c r="AU17" i="21"/>
  <c r="BA24" i="21"/>
  <c r="AW24" i="21"/>
  <c r="AV26" i="21"/>
  <c r="AV20" i="21"/>
  <c r="AV28" i="21"/>
  <c r="AV23" i="21"/>
  <c r="AV27" i="21"/>
  <c r="AV31" i="21"/>
  <c r="AV22" i="21"/>
  <c r="AV19" i="21"/>
  <c r="AV33" i="21"/>
  <c r="AV24" i="21"/>
  <c r="AV16" i="21"/>
  <c r="AV17" i="21"/>
  <c r="AV18" i="21"/>
  <c r="AV25" i="21"/>
  <c r="AV30" i="21"/>
  <c r="AV34" i="21"/>
  <c r="AV21" i="21"/>
  <c r="AV29" i="21"/>
  <c r="AV32" i="21"/>
  <c r="AV35" i="21"/>
  <c r="AV36" i="21"/>
  <c r="AV40" i="21"/>
  <c r="AV39" i="21"/>
  <c r="AV38" i="21"/>
  <c r="AV37" i="21"/>
  <c r="BA38" i="21"/>
  <c r="AW38" i="21"/>
  <c r="AY35" i="21"/>
  <c r="AU35" i="21"/>
  <c r="AY36" i="21"/>
  <c r="AU36" i="21"/>
  <c r="AY32" i="21"/>
  <c r="AU32" i="21"/>
  <c r="BB33" i="21"/>
  <c r="AX33" i="21"/>
  <c r="BB31" i="21"/>
  <c r="AX31" i="21"/>
  <c r="AY33" i="21"/>
  <c r="AU33" i="21"/>
  <c r="AY28" i="21"/>
  <c r="AU28" i="21"/>
  <c r="AZ30" i="21"/>
  <c r="AZ28" i="21"/>
  <c r="AY29" i="21"/>
  <c r="AU29" i="21"/>
  <c r="AY26" i="21"/>
  <c r="AU26" i="21"/>
  <c r="BA23" i="21"/>
  <c r="AW23" i="21"/>
  <c r="AY18" i="21"/>
  <c r="AU18" i="21"/>
  <c r="AZ33" i="21"/>
  <c r="AZ26" i="21"/>
  <c r="AZ24" i="21"/>
  <c r="AZ22" i="21"/>
  <c r="AZ20" i="21"/>
  <c r="AZ18" i="21"/>
  <c r="BA22" i="21"/>
  <c r="AW22" i="21"/>
  <c r="BA26" i="21"/>
  <c r="AW26" i="21"/>
  <c r="BA36" i="21"/>
  <c r="AW36" i="21"/>
  <c r="AZ39" i="21"/>
  <c r="AZ37" i="21"/>
  <c r="AZ35" i="21"/>
  <c r="BA39" i="21"/>
  <c r="AW39" i="21"/>
  <c r="AZ36" i="21"/>
  <c r="BA33" i="21"/>
  <c r="AW33" i="21"/>
  <c r="AZ38" i="21"/>
  <c r="AZ40" i="21"/>
  <c r="AY31" i="21"/>
  <c r="AU31" i="21"/>
  <c r="BB32" i="21"/>
  <c r="AX32" i="21"/>
  <c r="BA29" i="21"/>
  <c r="AW29" i="21"/>
  <c r="BB34" i="21"/>
  <c r="AX34" i="21"/>
  <c r="AY27" i="21"/>
  <c r="AU27" i="21"/>
  <c r="BB26" i="21"/>
  <c r="AX26" i="21"/>
  <c r="BB24" i="21"/>
  <c r="AX24" i="21"/>
  <c r="BB22" i="21"/>
  <c r="AX22" i="21"/>
  <c r="BB20" i="21"/>
  <c r="AX20" i="21"/>
  <c r="BB18" i="21"/>
  <c r="AX18" i="21"/>
  <c r="BB28" i="21"/>
  <c r="AX28" i="21"/>
  <c r="AY24" i="21"/>
  <c r="AU24" i="21"/>
  <c r="BA21" i="21"/>
  <c r="AW21" i="21"/>
  <c r="AY19" i="21"/>
  <c r="AU19" i="21"/>
  <c r="AY21" i="21"/>
  <c r="AU21" i="21"/>
  <c r="AZ27" i="21"/>
  <c r="AZ16" i="21"/>
  <c r="AD35" i="21"/>
  <c r="AE35" i="21" s="1"/>
  <c r="AD39" i="21"/>
  <c r="AE39" i="21" s="1"/>
  <c r="AF28" i="21"/>
  <c r="AD28" i="21"/>
  <c r="AE28" i="21" s="1"/>
  <c r="AF32" i="21"/>
  <c r="AD32" i="21"/>
  <c r="AE32" i="21" s="1"/>
  <c r="AD36" i="21"/>
  <c r="AE36" i="21" s="1"/>
  <c r="AF38" i="21"/>
  <c r="O24" i="21"/>
  <c r="O29" i="21"/>
  <c r="BN29" i="21"/>
  <c r="AS40" i="21"/>
  <c r="O36" i="21"/>
  <c r="BN36" i="21"/>
  <c r="O39" i="21"/>
  <c r="AF22" i="21"/>
  <c r="AS21" i="21"/>
  <c r="BN17" i="21"/>
  <c r="AS16" i="21"/>
  <c r="O21" i="21"/>
  <c r="AF17" i="21"/>
  <c r="AD17" i="21"/>
  <c r="AE17" i="21" s="1"/>
  <c r="AF21" i="21"/>
  <c r="AD21" i="21"/>
  <c r="AE21" i="21" s="1"/>
  <c r="AF25" i="21"/>
  <c r="AD25" i="21"/>
  <c r="AE25" i="21" s="1"/>
  <c r="AF33" i="21"/>
  <c r="AF37" i="21"/>
  <c r="O18" i="21"/>
  <c r="O26" i="21"/>
  <c r="O33" i="21"/>
  <c r="BN33" i="21"/>
  <c r="O32" i="21"/>
  <c r="O38" i="21"/>
  <c r="BN38" i="21"/>
  <c r="O25" i="21"/>
  <c r="O17" i="21"/>
  <c r="AS29" i="21"/>
  <c r="BN26" i="21"/>
  <c r="AS25" i="21"/>
  <c r="AD26" i="21"/>
  <c r="AE26" i="21" s="1"/>
  <c r="AF30" i="21"/>
  <c r="AD30" i="21"/>
  <c r="AE30" i="21" s="1"/>
  <c r="AF34" i="21"/>
  <c r="AD34" i="21"/>
  <c r="AE34" i="21" s="1"/>
  <c r="AF40" i="21"/>
  <c r="O28" i="21"/>
  <c r="BN34" i="21"/>
  <c r="O34" i="21"/>
  <c r="O40" i="21"/>
  <c r="BN40" i="21"/>
  <c r="BN18" i="21"/>
  <c r="BN24" i="21"/>
  <c r="AD19" i="21"/>
  <c r="AE19" i="21" s="1"/>
  <c r="AF31" i="21"/>
  <c r="AF35" i="21"/>
  <c r="AF39" i="21"/>
  <c r="O27" i="21"/>
  <c r="BN27" i="21"/>
  <c r="O37" i="21"/>
  <c r="BN22" i="21"/>
  <c r="BN20" i="21"/>
  <c r="O19" i="21"/>
  <c r="AF18" i="21"/>
  <c r="BN16" i="21"/>
  <c r="AD23" i="21"/>
  <c r="AE23" i="21" s="1"/>
  <c r="AD17" i="18"/>
  <c r="AE17" i="18" s="1"/>
  <c r="AF23" i="17"/>
  <c r="AD26" i="19"/>
  <c r="AE26" i="19" s="1"/>
  <c r="AF18" i="17"/>
  <c r="BN26" i="17"/>
  <c r="BN20" i="17"/>
  <c r="BN29" i="17"/>
  <c r="BN34" i="17"/>
  <c r="BN39" i="17"/>
  <c r="AD37" i="18"/>
  <c r="AE37" i="18" s="1"/>
  <c r="AS35" i="18"/>
  <c r="AF20" i="20"/>
  <c r="BN19" i="16"/>
  <c r="BN28" i="17"/>
  <c r="AS19" i="17"/>
  <c r="AS24" i="17"/>
  <c r="O35" i="17"/>
  <c r="BN33" i="17"/>
  <c r="AS38" i="17"/>
  <c r="AS16" i="18"/>
  <c r="AS24" i="18"/>
  <c r="AS20" i="18"/>
  <c r="AS34" i="18"/>
  <c r="O37" i="18"/>
  <c r="O15" i="18"/>
  <c r="BN17" i="16"/>
  <c r="AS17" i="19"/>
  <c r="O15" i="19"/>
  <c r="AS16" i="19"/>
  <c r="O23" i="19"/>
  <c r="AS31" i="19"/>
  <c r="AS35" i="19"/>
  <c r="AF16" i="19"/>
  <c r="O23" i="20"/>
  <c r="AS31" i="20"/>
  <c r="BN31" i="18"/>
  <c r="AY36" i="15"/>
  <c r="AU36" i="15"/>
  <c r="AY30" i="15"/>
  <c r="AU30" i="15"/>
  <c r="AU24" i="15"/>
  <c r="AY24" i="15"/>
  <c r="AU16" i="15"/>
  <c r="AY16" i="15"/>
  <c r="AU40" i="15"/>
  <c r="AY40" i="15"/>
  <c r="AU34" i="15"/>
  <c r="AY34" i="15"/>
  <c r="AY28" i="15"/>
  <c r="AU28" i="15"/>
  <c r="AY22" i="15"/>
  <c r="AU22" i="15"/>
  <c r="AU20" i="15"/>
  <c r="AY20" i="15"/>
  <c r="AU39" i="15"/>
  <c r="AY39" i="15"/>
  <c r="AU37" i="15"/>
  <c r="AY37" i="15"/>
  <c r="AY35" i="15"/>
  <c r="AU35" i="15"/>
  <c r="AU33" i="15"/>
  <c r="AY33" i="15"/>
  <c r="AY31" i="15"/>
  <c r="AU31" i="15"/>
  <c r="AU29" i="15"/>
  <c r="AY29" i="15"/>
  <c r="AU27" i="15"/>
  <c r="AY27" i="15"/>
  <c r="AY25" i="15"/>
  <c r="AU25" i="15"/>
  <c r="AY23" i="15"/>
  <c r="AU23" i="15"/>
  <c r="AY21" i="15"/>
  <c r="AU21" i="15"/>
  <c r="AY19" i="15"/>
  <c r="AU19" i="15"/>
  <c r="AY17" i="15"/>
  <c r="AU17" i="15"/>
  <c r="AY38" i="15"/>
  <c r="AU38" i="15"/>
  <c r="AU32" i="15"/>
  <c r="AY32" i="15"/>
  <c r="AY26" i="15"/>
  <c r="AU26" i="15"/>
  <c r="AU18" i="15"/>
  <c r="AY18" i="15"/>
  <c r="BN16" i="18"/>
  <c r="BN27" i="18"/>
  <c r="AS21" i="18"/>
  <c r="BN23" i="19"/>
  <c r="AD16" i="19"/>
  <c r="AE16" i="19" s="1"/>
  <c r="O19" i="19"/>
  <c r="O40" i="20"/>
  <c r="AD21" i="20"/>
  <c r="AE21" i="20" s="1"/>
  <c r="AF24" i="20"/>
  <c r="BN23" i="20"/>
  <c r="O15" i="20"/>
  <c r="AS39" i="20"/>
  <c r="AD33" i="16"/>
  <c r="AE33" i="16" s="1"/>
  <c r="AD26" i="16"/>
  <c r="AE26" i="16" s="1"/>
  <c r="AD18" i="16"/>
  <c r="AE18" i="16" s="1"/>
  <c r="O29" i="16"/>
  <c r="BN25" i="16"/>
  <c r="BN33" i="16"/>
  <c r="O39" i="16"/>
  <c r="BN36" i="16"/>
  <c r="AS34" i="17"/>
  <c r="BN37" i="18"/>
  <c r="AF17" i="18"/>
  <c r="AF31" i="18"/>
  <c r="AD19" i="18"/>
  <c r="AE19" i="18" s="1"/>
  <c r="O31" i="18"/>
  <c r="AS27" i="19"/>
  <c r="AS37" i="20"/>
  <c r="AS29" i="20"/>
  <c r="AD27" i="20"/>
  <c r="AE27" i="20" s="1"/>
  <c r="AF22" i="20"/>
  <c r="O25" i="20"/>
  <c r="O34" i="18"/>
  <c r="BN23" i="16"/>
  <c r="AD36" i="17"/>
  <c r="AE36" i="17" s="1"/>
  <c r="BN22" i="16"/>
  <c r="AD20" i="16"/>
  <c r="AE20" i="16" s="1"/>
  <c r="AF19" i="16"/>
  <c r="AD28" i="16"/>
  <c r="AE28" i="16" s="1"/>
  <c r="AS34" i="16"/>
  <c r="AS39" i="17"/>
  <c r="AF19" i="17"/>
  <c r="AS37" i="18"/>
  <c r="AF16" i="18"/>
  <c r="AF22" i="18"/>
  <c r="BN28" i="18"/>
  <c r="BN17" i="18"/>
  <c r="AS25" i="18"/>
  <c r="AS26" i="18"/>
  <c r="AS40" i="18"/>
  <c r="BN19" i="19"/>
  <c r="AF21" i="19"/>
  <c r="AF30" i="19"/>
  <c r="O26" i="19"/>
  <c r="BN24" i="19"/>
  <c r="AS36" i="19"/>
  <c r="AS22" i="20"/>
  <c r="AF34" i="20"/>
  <c r="O28" i="20"/>
  <c r="AF17" i="20"/>
  <c r="BN39" i="20"/>
  <c r="AS38" i="20"/>
  <c r="O35" i="20"/>
  <c r="AS32" i="20"/>
  <c r="BN32" i="20"/>
  <c r="O24" i="20"/>
  <c r="O31" i="20"/>
  <c r="O18" i="20"/>
  <c r="BN19" i="20"/>
  <c r="AS30" i="20"/>
  <c r="AD36" i="20"/>
  <c r="AE36" i="20" s="1"/>
  <c r="AF33" i="20"/>
  <c r="AF39" i="20"/>
  <c r="AF38" i="20"/>
  <c r="AF28" i="20"/>
  <c r="AD31" i="20"/>
  <c r="AE31" i="20" s="1"/>
  <c r="AD28" i="20"/>
  <c r="AE28" i="20" s="1"/>
  <c r="AD34" i="20"/>
  <c r="AE34" i="20" s="1"/>
  <c r="AF30" i="20"/>
  <c r="BA35" i="20"/>
  <c r="AW35" i="20"/>
  <c r="AZ34" i="20"/>
  <c r="AY31" i="20"/>
  <c r="AU31" i="20"/>
  <c r="AW26" i="20"/>
  <c r="BA26" i="20"/>
  <c r="BB39" i="20"/>
  <c r="AX39" i="20"/>
  <c r="AY26" i="20"/>
  <c r="AU26" i="20"/>
  <c r="AX16" i="20"/>
  <c r="BB16" i="20"/>
  <c r="BA25" i="20"/>
  <c r="AW25" i="20"/>
  <c r="AW18" i="20"/>
  <c r="BA18" i="20"/>
  <c r="AW38" i="20"/>
  <c r="BA38" i="20"/>
  <c r="BA36" i="20"/>
  <c r="AW36" i="20"/>
  <c r="AZ39" i="20"/>
  <c r="AZ37" i="20"/>
  <c r="AZ35" i="20"/>
  <c r="AW34" i="20"/>
  <c r="BA34" i="20"/>
  <c r="AZ40" i="20"/>
  <c r="BB37" i="20"/>
  <c r="AX37" i="20"/>
  <c r="BA32" i="20"/>
  <c r="AW32" i="20"/>
  <c r="AY29" i="20"/>
  <c r="AU29" i="20"/>
  <c r="AZ33" i="20"/>
  <c r="AZ31" i="20"/>
  <c r="AZ29" i="20"/>
  <c r="AZ27" i="20"/>
  <c r="AZ25" i="20"/>
  <c r="BA27" i="20"/>
  <c r="AW27" i="20"/>
  <c r="AZ23" i="20"/>
  <c r="AZ19" i="20"/>
  <c r="AZ26" i="20"/>
  <c r="AY22" i="20"/>
  <c r="AU22" i="20"/>
  <c r="BA19" i="20"/>
  <c r="AW19" i="20"/>
  <c r="AZ16" i="20"/>
  <c r="BA37" i="20"/>
  <c r="AW37" i="20"/>
  <c r="AZ30" i="20"/>
  <c r="BB25" i="20"/>
  <c r="AX25" i="20"/>
  <c r="AZ18" i="20"/>
  <c r="AY30" i="20"/>
  <c r="AU30" i="20"/>
  <c r="AZ32" i="20"/>
  <c r="AZ22" i="20"/>
  <c r="AY16" i="20"/>
  <c r="AU16" i="20"/>
  <c r="BA20" i="20"/>
  <c r="AW20" i="20"/>
  <c r="AY35" i="20"/>
  <c r="AU35" i="20"/>
  <c r="AY36" i="20"/>
  <c r="AU36" i="20"/>
  <c r="AY40" i="20"/>
  <c r="AU40" i="20"/>
  <c r="AY25" i="20"/>
  <c r="AU25" i="20"/>
  <c r="BB33" i="20"/>
  <c r="AX33" i="20"/>
  <c r="BB18" i="20"/>
  <c r="AX18" i="20"/>
  <c r="BA21" i="20"/>
  <c r="AW21" i="20"/>
  <c r="AY32" i="20"/>
  <c r="AU32" i="20"/>
  <c r="BA22" i="20"/>
  <c r="AW22" i="20"/>
  <c r="AY17" i="20"/>
  <c r="AU17" i="20"/>
  <c r="AZ20" i="20"/>
  <c r="AZ38" i="20"/>
  <c r="BB35" i="20"/>
  <c r="AX35" i="20"/>
  <c r="AZ36" i="20"/>
  <c r="AW30" i="20"/>
  <c r="BA30" i="20"/>
  <c r="AY27" i="20"/>
  <c r="AU27" i="20"/>
  <c r="AW24" i="20"/>
  <c r="BA24" i="20"/>
  <c r="AY34" i="20"/>
  <c r="AU34" i="20"/>
  <c r="BA29" i="20"/>
  <c r="AW29" i="20"/>
  <c r="AZ21" i="20"/>
  <c r="AY20" i="20"/>
  <c r="AU20" i="20"/>
  <c r="AY28" i="20"/>
  <c r="AU28" i="20"/>
  <c r="AX23" i="20"/>
  <c r="BB23" i="20"/>
  <c r="AY21" i="20"/>
  <c r="AU21" i="20"/>
  <c r="BB19" i="20"/>
  <c r="AX19" i="20"/>
  <c r="BB29" i="20"/>
  <c r="AX29" i="20"/>
  <c r="BA17" i="20"/>
  <c r="AW17" i="20"/>
  <c r="AY23" i="20"/>
  <c r="AU23" i="20"/>
  <c r="AW40" i="20"/>
  <c r="BA40" i="20"/>
  <c r="AY39" i="20"/>
  <c r="AU39" i="20"/>
  <c r="AY37" i="20"/>
  <c r="AU37" i="20"/>
  <c r="AX40" i="20"/>
  <c r="BB40" i="20"/>
  <c r="BB38" i="20"/>
  <c r="AX38" i="20"/>
  <c r="BB36" i="20"/>
  <c r="AX36" i="20"/>
  <c r="AY33" i="20"/>
  <c r="AU33" i="20"/>
  <c r="AY38" i="20"/>
  <c r="AU38" i="20"/>
  <c r="BB34" i="20"/>
  <c r="AX34" i="20"/>
  <c r="BA33" i="20"/>
  <c r="AW33" i="20"/>
  <c r="AW28" i="20"/>
  <c r="BA28" i="20"/>
  <c r="BB32" i="20"/>
  <c r="AX32" i="20"/>
  <c r="AX30" i="20"/>
  <c r="BB30" i="20"/>
  <c r="AX28" i="20"/>
  <c r="BB28" i="20"/>
  <c r="AX26" i="20"/>
  <c r="BB26" i="20"/>
  <c r="BB24" i="20"/>
  <c r="AX24" i="20"/>
  <c r="BA31" i="20"/>
  <c r="AW31" i="20"/>
  <c r="AZ24" i="20"/>
  <c r="BB22" i="20"/>
  <c r="AX22" i="20"/>
  <c r="BB20" i="20"/>
  <c r="AX20" i="20"/>
  <c r="AY24" i="20"/>
  <c r="AU24" i="20"/>
  <c r="BA23" i="20"/>
  <c r="AW23" i="20"/>
  <c r="AY18" i="20"/>
  <c r="AU18" i="20"/>
  <c r="BB17" i="20"/>
  <c r="AX17" i="20"/>
  <c r="AV37" i="20"/>
  <c r="AV25" i="20"/>
  <c r="AV18" i="20"/>
  <c r="AV20" i="20"/>
  <c r="AV22" i="20"/>
  <c r="AV27" i="20"/>
  <c r="AV19" i="20"/>
  <c r="AV33" i="20"/>
  <c r="AV26" i="20"/>
  <c r="AV32" i="20"/>
  <c r="AV24" i="20"/>
  <c r="AV31" i="20"/>
  <c r="AV17" i="20"/>
  <c r="AV39" i="20"/>
  <c r="AV29" i="20"/>
  <c r="AV28" i="20"/>
  <c r="AV30" i="20"/>
  <c r="AV34" i="20"/>
  <c r="AV36" i="20"/>
  <c r="AV40" i="20"/>
  <c r="AV21" i="20"/>
  <c r="AV16" i="20"/>
  <c r="AV35" i="20"/>
  <c r="AV23" i="20"/>
  <c r="AV38" i="20"/>
  <c r="BB31" i="20"/>
  <c r="AX31" i="20"/>
  <c r="BB27" i="20"/>
  <c r="AX27" i="20"/>
  <c r="AY19" i="20"/>
  <c r="AU19" i="20"/>
  <c r="BA16" i="20"/>
  <c r="AW16" i="20"/>
  <c r="BA39" i="20"/>
  <c r="AW39" i="20"/>
  <c r="AZ17" i="20"/>
  <c r="AZ28" i="20"/>
  <c r="AX21" i="20"/>
  <c r="BB21" i="20"/>
  <c r="AF16" i="20"/>
  <c r="AD16" i="20"/>
  <c r="AE16" i="20" s="1"/>
  <c r="AF19" i="20"/>
  <c r="BN16" i="20"/>
  <c r="O16" i="20"/>
  <c r="AS35" i="20"/>
  <c r="BN40" i="20"/>
  <c r="AF35" i="20"/>
  <c r="AD30" i="20"/>
  <c r="AE30" i="20" s="1"/>
  <c r="AF29" i="20"/>
  <c r="AS19" i="20"/>
  <c r="AS17" i="20"/>
  <c r="AD20" i="20"/>
  <c r="AE20" i="20" s="1"/>
  <c r="AD24" i="20"/>
  <c r="AE24" i="20" s="1"/>
  <c r="AD33" i="20"/>
  <c r="AE33" i="20" s="1"/>
  <c r="AD35" i="20"/>
  <c r="AE35" i="20" s="1"/>
  <c r="AD39" i="20"/>
  <c r="AE39" i="20" s="1"/>
  <c r="O20" i="20"/>
  <c r="BN20" i="20"/>
  <c r="O27" i="20"/>
  <c r="AS36" i="20"/>
  <c r="O37" i="20"/>
  <c r="AD32" i="20"/>
  <c r="AE32" i="20" s="1"/>
  <c r="AF23" i="20"/>
  <c r="AD23" i="20"/>
  <c r="AE23" i="20" s="1"/>
  <c r="O36" i="20"/>
  <c r="BN36" i="20"/>
  <c r="BN27" i="20"/>
  <c r="O30" i="20"/>
  <c r="AS28" i="20"/>
  <c r="AD19" i="20"/>
  <c r="AE19" i="20" s="1"/>
  <c r="AF25" i="20"/>
  <c r="AF36" i="20"/>
  <c r="AF40" i="20"/>
  <c r="AF27" i="20"/>
  <c r="AD26" i="20"/>
  <c r="AE26" i="20" s="1"/>
  <c r="AS24" i="20"/>
  <c r="O22" i="20"/>
  <c r="BN22" i="20"/>
  <c r="AS34" i="20"/>
  <c r="O29" i="20"/>
  <c r="O38" i="20"/>
  <c r="O39" i="20"/>
  <c r="BN18" i="20"/>
  <c r="BN30" i="20"/>
  <c r="BN38" i="20"/>
  <c r="AS40" i="20"/>
  <c r="BN28" i="20"/>
  <c r="BN25" i="20"/>
  <c r="O19" i="20"/>
  <c r="O17" i="20"/>
  <c r="BN17" i="20"/>
  <c r="AD18" i="20"/>
  <c r="AE18" i="20" s="1"/>
  <c r="AD29" i="20"/>
  <c r="AE29" i="20" s="1"/>
  <c r="AD38" i="20"/>
  <c r="AE38" i="20" s="1"/>
  <c r="AD37" i="20"/>
  <c r="AE37" i="20" s="1"/>
  <c r="AF31" i="20"/>
  <c r="O26" i="20"/>
  <c r="AS26" i="20"/>
  <c r="O34" i="20"/>
  <c r="BN34" i="20"/>
  <c r="O33" i="20"/>
  <c r="BN33" i="20"/>
  <c r="AU31" i="19"/>
  <c r="AD34" i="19"/>
  <c r="AE34" i="19" s="1"/>
  <c r="BN26" i="19"/>
  <c r="AS26" i="19"/>
  <c r="AF20" i="19"/>
  <c r="AS24" i="19"/>
  <c r="AS32" i="19"/>
  <c r="O30" i="19"/>
  <c r="AS33" i="19"/>
  <c r="BN21" i="19"/>
  <c r="AS18" i="19"/>
  <c r="AS37" i="19"/>
  <c r="AF36" i="19"/>
  <c r="AD31" i="19"/>
  <c r="AE31" i="19" s="1"/>
  <c r="B40" i="16"/>
  <c r="B36" i="16"/>
  <c r="B37" i="16"/>
  <c r="B34" i="16"/>
  <c r="B39" i="16"/>
  <c r="B38" i="16"/>
  <c r="B33" i="16"/>
  <c r="B32" i="16"/>
  <c r="B35" i="16"/>
  <c r="AZ37" i="19"/>
  <c r="AY40" i="19"/>
  <c r="AU40" i="19"/>
  <c r="AW32" i="19"/>
  <c r="BA32" i="19"/>
  <c r="AW37" i="19"/>
  <c r="BA37" i="19"/>
  <c r="BB30" i="19"/>
  <c r="AX30" i="19"/>
  <c r="AX26" i="19"/>
  <c r="BB26" i="19"/>
  <c r="AY18" i="19"/>
  <c r="AU18" i="19"/>
  <c r="AY32" i="19"/>
  <c r="AU32" i="19"/>
  <c r="AZ17" i="19"/>
  <c r="AY39" i="19"/>
  <c r="AU39" i="19"/>
  <c r="AZ40" i="19"/>
  <c r="AZ36" i="19"/>
  <c r="AY27" i="19"/>
  <c r="AU27" i="19"/>
  <c r="AW39" i="19"/>
  <c r="BA39" i="19"/>
  <c r="AY34" i="19"/>
  <c r="AU34" i="19"/>
  <c r="AZ30" i="19"/>
  <c r="BB27" i="19"/>
  <c r="AX27" i="19"/>
  <c r="BA33" i="19"/>
  <c r="AW33" i="19"/>
  <c r="BA23" i="19"/>
  <c r="AW23" i="19"/>
  <c r="AW19" i="19"/>
  <c r="BA19" i="19"/>
  <c r="AY26" i="19"/>
  <c r="AU26" i="19"/>
  <c r="AY16" i="19"/>
  <c r="AU16" i="19"/>
  <c r="AV29" i="19"/>
  <c r="AV17" i="19"/>
  <c r="AV22" i="19"/>
  <c r="AV25" i="19"/>
  <c r="AV26" i="19"/>
  <c r="AV34" i="19"/>
  <c r="AV40" i="19"/>
  <c r="AV39" i="19"/>
  <c r="AV20" i="19"/>
  <c r="AV19" i="19"/>
  <c r="AV21" i="19"/>
  <c r="AV28" i="19"/>
  <c r="AV24" i="19"/>
  <c r="AV32" i="19"/>
  <c r="AV37" i="19"/>
  <c r="AV38" i="19"/>
  <c r="AV16" i="19"/>
  <c r="AV30" i="19"/>
  <c r="AV23" i="19"/>
  <c r="AV31" i="19"/>
  <c r="AV27" i="19"/>
  <c r="AV36" i="19"/>
  <c r="AV18" i="19"/>
  <c r="AV33" i="19"/>
  <c r="AV35" i="19"/>
  <c r="BB23" i="19"/>
  <c r="AX23" i="19"/>
  <c r="AY19" i="19"/>
  <c r="AU19" i="19"/>
  <c r="AZ28" i="19"/>
  <c r="AW20" i="19"/>
  <c r="BA20" i="19"/>
  <c r="BA16" i="19"/>
  <c r="AW16" i="19"/>
  <c r="AZ21" i="19"/>
  <c r="BA36" i="19"/>
  <c r="AW36" i="19"/>
  <c r="AX36" i="19"/>
  <c r="BB36" i="19"/>
  <c r="BB39" i="19"/>
  <c r="AX39" i="19"/>
  <c r="AY36" i="19"/>
  <c r="AU36" i="19"/>
  <c r="AY31" i="19"/>
  <c r="AX32" i="19"/>
  <c r="BB32" i="19"/>
  <c r="BB28" i="19"/>
  <c r="AX28" i="19"/>
  <c r="AZ32" i="19"/>
  <c r="AW21" i="19"/>
  <c r="BA21" i="19"/>
  <c r="BB31" i="19"/>
  <c r="AX31" i="19"/>
  <c r="BB22" i="19"/>
  <c r="AX22" i="19"/>
  <c r="AZ16" i="19"/>
  <c r="AZ18" i="19"/>
  <c r="AZ20" i="19"/>
  <c r="AZ22" i="19"/>
  <c r="AZ26" i="19"/>
  <c r="BA40" i="19"/>
  <c r="AW40" i="19"/>
  <c r="AY37" i="19"/>
  <c r="AU37" i="19"/>
  <c r="AZ39" i="19"/>
  <c r="AX38" i="19"/>
  <c r="BB38" i="19"/>
  <c r="AZ35" i="19"/>
  <c r="BB33" i="19"/>
  <c r="AX33" i="19"/>
  <c r="BB37" i="19"/>
  <c r="AX37" i="19"/>
  <c r="AY38" i="19"/>
  <c r="AU38" i="19"/>
  <c r="AZ33" i="19"/>
  <c r="AW30" i="19"/>
  <c r="BA30" i="19"/>
  <c r="AY25" i="19"/>
  <c r="AU25" i="19"/>
  <c r="AZ31" i="19"/>
  <c r="AZ29" i="19"/>
  <c r="AZ27" i="19"/>
  <c r="AX24" i="19"/>
  <c r="BB24" i="19"/>
  <c r="AY30" i="19"/>
  <c r="AU30" i="19"/>
  <c r="AY24" i="19"/>
  <c r="AU24" i="19"/>
  <c r="AY22" i="19"/>
  <c r="AU22" i="19"/>
  <c r="AY23" i="19"/>
  <c r="AU23" i="19"/>
  <c r="BB20" i="19"/>
  <c r="AX20" i="19"/>
  <c r="AZ25" i="19"/>
  <c r="BB17" i="19"/>
  <c r="AX17" i="19"/>
  <c r="AW22" i="19"/>
  <c r="BA22" i="19"/>
  <c r="BB18" i="19"/>
  <c r="AX18" i="19"/>
  <c r="AX19" i="19"/>
  <c r="BB19" i="19"/>
  <c r="AY33" i="19"/>
  <c r="AU33" i="19"/>
  <c r="BA18" i="19"/>
  <c r="AW18" i="19"/>
  <c r="BB16" i="19"/>
  <c r="AX16" i="19"/>
  <c r="AX40" i="19"/>
  <c r="BB40" i="19"/>
  <c r="BB35" i="19"/>
  <c r="AX35" i="19"/>
  <c r="AY29" i="19"/>
  <c r="AU29" i="19"/>
  <c r="BB29" i="19"/>
  <c r="AX29" i="19"/>
  <c r="BA38" i="19"/>
  <c r="AW38" i="19"/>
  <c r="AY35" i="19"/>
  <c r="AU35" i="19"/>
  <c r="AZ38" i="19"/>
  <c r="AZ34" i="19"/>
  <c r="BA34" i="19"/>
  <c r="AW34" i="19"/>
  <c r="BA28" i="19"/>
  <c r="AW28" i="19"/>
  <c r="BA26" i="19"/>
  <c r="AW26" i="19"/>
  <c r="AW35" i="19"/>
  <c r="BA35" i="19"/>
  <c r="AY28" i="19"/>
  <c r="AU28" i="19"/>
  <c r="BB25" i="19"/>
  <c r="AX25" i="19"/>
  <c r="AZ23" i="19"/>
  <c r="BA27" i="19"/>
  <c r="AW27" i="19"/>
  <c r="AY20" i="19"/>
  <c r="AU20" i="19"/>
  <c r="BA29" i="19"/>
  <c r="AW29" i="19"/>
  <c r="AW25" i="19"/>
  <c r="BA25" i="19"/>
  <c r="BA17" i="19"/>
  <c r="AW17" i="19"/>
  <c r="BA31" i="19"/>
  <c r="AW31" i="19"/>
  <c r="AZ24" i="19"/>
  <c r="AY21" i="19"/>
  <c r="AU21" i="19"/>
  <c r="BB34" i="19"/>
  <c r="AX34" i="19"/>
  <c r="AW24" i="19"/>
  <c r="BA24" i="19"/>
  <c r="AY17" i="19"/>
  <c r="AU17" i="19"/>
  <c r="AZ19" i="19"/>
  <c r="AX21" i="19"/>
  <c r="BB21" i="19"/>
  <c r="AF25" i="19"/>
  <c r="AF40" i="19"/>
  <c r="BN20" i="19"/>
  <c r="O20" i="19"/>
  <c r="O28" i="19"/>
  <c r="BN28" i="19"/>
  <c r="BN29" i="19"/>
  <c r="O29" i="19"/>
  <c r="AF17" i="19"/>
  <c r="AD17" i="19"/>
  <c r="AE17" i="19" s="1"/>
  <c r="AD22" i="19"/>
  <c r="AE22" i="19" s="1"/>
  <c r="AD30" i="19"/>
  <c r="AE30" i="19" s="1"/>
  <c r="AF33" i="19"/>
  <c r="AD27" i="19"/>
  <c r="AE27" i="19" s="1"/>
  <c r="AF37" i="19"/>
  <c r="AD37" i="19"/>
  <c r="AE37" i="19" s="1"/>
  <c r="O17" i="19"/>
  <c r="AS21" i="19"/>
  <c r="BN16" i="19"/>
  <c r="O16" i="19"/>
  <c r="BN22" i="19"/>
  <c r="O22" i="19"/>
  <c r="BN31" i="19"/>
  <c r="O31" i="19"/>
  <c r="O35" i="19"/>
  <c r="BN35" i="19"/>
  <c r="AF35" i="19"/>
  <c r="AD36" i="19"/>
  <c r="AE36" i="19" s="1"/>
  <c r="BN40" i="19"/>
  <c r="O40" i="19"/>
  <c r="BN32" i="19"/>
  <c r="AF19" i="19"/>
  <c r="AD19" i="19"/>
  <c r="AE19" i="19" s="1"/>
  <c r="AF23" i="19"/>
  <c r="AF31" i="19"/>
  <c r="AF28" i="19"/>
  <c r="AF39" i="19"/>
  <c r="AD40" i="19"/>
  <c r="AE40" i="19" s="1"/>
  <c r="AF38" i="19"/>
  <c r="BN17" i="19"/>
  <c r="O32" i="19"/>
  <c r="BN18" i="19"/>
  <c r="O18" i="19"/>
  <c r="AS22" i="19"/>
  <c r="O24" i="19"/>
  <c r="AS29" i="19"/>
  <c r="BN25" i="19"/>
  <c r="O25" i="19"/>
  <c r="O33" i="19"/>
  <c r="BN33" i="19"/>
  <c r="BN36" i="19"/>
  <c r="O36" i="19"/>
  <c r="O37" i="19"/>
  <c r="BN37" i="19"/>
  <c r="AF29" i="19"/>
  <c r="BN30" i="19"/>
  <c r="AD23" i="19"/>
  <c r="AE23" i="19" s="1"/>
  <c r="AD20" i="19"/>
  <c r="AE20" i="19" s="1"/>
  <c r="AD24" i="19"/>
  <c r="AE24" i="19" s="1"/>
  <c r="AD28" i="19"/>
  <c r="AE28" i="19" s="1"/>
  <c r="AD25" i="19"/>
  <c r="AE25" i="19" s="1"/>
  <c r="AD29" i="19"/>
  <c r="AE29" i="19" s="1"/>
  <c r="AD33" i="19"/>
  <c r="AE33" i="19" s="1"/>
  <c r="AF34" i="19"/>
  <c r="AD35" i="19"/>
  <c r="AE35" i="19" s="1"/>
  <c r="AD39" i="19"/>
  <c r="AE39" i="19" s="1"/>
  <c r="AS30" i="19"/>
  <c r="AS28" i="19"/>
  <c r="BN27" i="19"/>
  <c r="O27" i="19"/>
  <c r="BN38" i="19"/>
  <c r="O38" i="19"/>
  <c r="O39" i="19"/>
  <c r="BN39" i="19"/>
  <c r="BN29" i="16"/>
  <c r="AS26" i="16"/>
  <c r="AS37" i="16"/>
  <c r="AS39" i="16"/>
  <c r="O17" i="16"/>
  <c r="AS26" i="17"/>
  <c r="AS18" i="17"/>
  <c r="AS29" i="17"/>
  <c r="AS21" i="17"/>
  <c r="BN30" i="17"/>
  <c r="O31" i="17"/>
  <c r="O34" i="17"/>
  <c r="AS32" i="17"/>
  <c r="AS37" i="17"/>
  <c r="O15" i="17"/>
  <c r="AS27" i="17"/>
  <c r="AS23" i="17"/>
  <c r="AS20" i="17"/>
  <c r="O39" i="17"/>
  <c r="BN26" i="18"/>
  <c r="AS33" i="18"/>
  <c r="BN39" i="18"/>
  <c r="AS30" i="18"/>
  <c r="BN38" i="18"/>
  <c r="O38" i="18"/>
  <c r="O21" i="18"/>
  <c r="BN21" i="18"/>
  <c r="AD36" i="18"/>
  <c r="AE36" i="18" s="1"/>
  <c r="AS28" i="18"/>
  <c r="AS32" i="18"/>
  <c r="O26" i="18"/>
  <c r="O39" i="18"/>
  <c r="AS19" i="18"/>
  <c r="AD22" i="18"/>
  <c r="AE22" i="18" s="1"/>
  <c r="AF32" i="18"/>
  <c r="AF30" i="18"/>
  <c r="AD33" i="18"/>
  <c r="AE33" i="18" s="1"/>
  <c r="AY40" i="18"/>
  <c r="AU40" i="18"/>
  <c r="AY32" i="18"/>
  <c r="AU32" i="18"/>
  <c r="AZ20" i="18"/>
  <c r="AZ23" i="18"/>
  <c r="AZ26" i="18"/>
  <c r="AY36" i="18"/>
  <c r="AU36" i="18"/>
  <c r="AZ24" i="18"/>
  <c r="AZ16" i="18"/>
  <c r="AZ19" i="18"/>
  <c r="AZ30" i="18"/>
  <c r="AZ22" i="18"/>
  <c r="AY37" i="18"/>
  <c r="AU37" i="18"/>
  <c r="AY39" i="18"/>
  <c r="AU39" i="18"/>
  <c r="AZ34" i="18"/>
  <c r="AZ39" i="18"/>
  <c r="AY35" i="18"/>
  <c r="AU35" i="18"/>
  <c r="AY30" i="18"/>
  <c r="AU30" i="18"/>
  <c r="AZ31" i="18"/>
  <c r="AY31" i="18"/>
  <c r="AU31" i="18"/>
  <c r="AZ29" i="18"/>
  <c r="AY24" i="18"/>
  <c r="AU24" i="18"/>
  <c r="AY20" i="18"/>
  <c r="AU20" i="18"/>
  <c r="AY16" i="18"/>
  <c r="AU16" i="18"/>
  <c r="AV24" i="18"/>
  <c r="AV21" i="18"/>
  <c r="AV16" i="18"/>
  <c r="AV17" i="18"/>
  <c r="AV25" i="18"/>
  <c r="AV18" i="18"/>
  <c r="AV28" i="18"/>
  <c r="AV27" i="18"/>
  <c r="AV30" i="18"/>
  <c r="AV38" i="18"/>
  <c r="AV33" i="18"/>
  <c r="AV31" i="18"/>
  <c r="AV40" i="18"/>
  <c r="AV34" i="18"/>
  <c r="AV37" i="18"/>
  <c r="AV39" i="18"/>
  <c r="AV19" i="18"/>
  <c r="AV20" i="18"/>
  <c r="AV22" i="18"/>
  <c r="AV32" i="18"/>
  <c r="AV36" i="18"/>
  <c r="AV35" i="18"/>
  <c r="AY25" i="18"/>
  <c r="AU25" i="18"/>
  <c r="AZ37" i="18"/>
  <c r="AZ33" i="18"/>
  <c r="AY26" i="18"/>
  <c r="AU26" i="18"/>
  <c r="AY29" i="18"/>
  <c r="AU29" i="18"/>
  <c r="AY23" i="18"/>
  <c r="AU23" i="18"/>
  <c r="AY19" i="18"/>
  <c r="AU19" i="18"/>
  <c r="AY22" i="18"/>
  <c r="AU22" i="18"/>
  <c r="AY18" i="18"/>
  <c r="AU18" i="18"/>
  <c r="AY27" i="18"/>
  <c r="AU27" i="18"/>
  <c r="AY21" i="18"/>
  <c r="AU21" i="18"/>
  <c r="AZ28" i="18"/>
  <c r="AZ38" i="18"/>
  <c r="AZ40" i="18"/>
  <c r="AZ36" i="18"/>
  <c r="AZ35" i="18"/>
  <c r="AY33" i="18"/>
  <c r="AU33" i="18"/>
  <c r="AY38" i="18"/>
  <c r="AU38" i="18"/>
  <c r="AY34" i="18"/>
  <c r="AU34" i="18"/>
  <c r="AZ32" i="18"/>
  <c r="AZ27" i="18"/>
  <c r="AY28" i="18"/>
  <c r="AU28" i="18"/>
  <c r="AZ25" i="18"/>
  <c r="AZ21" i="18"/>
  <c r="AZ17" i="18"/>
  <c r="AY17" i="18"/>
  <c r="AU17" i="18"/>
  <c r="AZ18" i="18"/>
  <c r="AF25" i="18"/>
  <c r="AD25" i="18"/>
  <c r="AE25" i="18" s="1"/>
  <c r="AF28" i="18"/>
  <c r="AD28" i="18"/>
  <c r="AE28" i="18" s="1"/>
  <c r="AS22" i="18"/>
  <c r="BN22" i="18"/>
  <c r="AF29" i="18"/>
  <c r="AD29" i="18"/>
  <c r="AE29" i="18" s="1"/>
  <c r="AF40" i="18"/>
  <c r="AD40" i="18"/>
  <c r="AE40" i="18" s="1"/>
  <c r="AF20" i="18"/>
  <c r="AF18" i="18"/>
  <c r="AD18" i="18"/>
  <c r="AE18" i="18" s="1"/>
  <c r="AF36" i="18"/>
  <c r="O18" i="18"/>
  <c r="BN18" i="18"/>
  <c r="AS18" i="18"/>
  <c r="AF23" i="18"/>
  <c r="AD23" i="18"/>
  <c r="AE23" i="18" s="1"/>
  <c r="AD20" i="18"/>
  <c r="AE20" i="18" s="1"/>
  <c r="AD26" i="18"/>
  <c r="AE26" i="18" s="1"/>
  <c r="AD32" i="18"/>
  <c r="AE32" i="18" s="1"/>
  <c r="AF35" i="18"/>
  <c r="AD35" i="18"/>
  <c r="AE35" i="18" s="1"/>
  <c r="O28" i="18"/>
  <c r="AF24" i="18"/>
  <c r="AF27" i="18"/>
  <c r="AD30" i="18"/>
  <c r="AE30" i="18" s="1"/>
  <c r="AF34" i="18"/>
  <c r="AF38" i="18"/>
  <c r="AF39" i="18"/>
  <c r="O25" i="18"/>
  <c r="O17" i="18"/>
  <c r="O22" i="18"/>
  <c r="O27" i="18"/>
  <c r="O30" i="18"/>
  <c r="AS39" i="18"/>
  <c r="AF19" i="18"/>
  <c r="AD16" i="18"/>
  <c r="AE16" i="18" s="1"/>
  <c r="AD24" i="18"/>
  <c r="AE24" i="18" s="1"/>
  <c r="AF33" i="18"/>
  <c r="AF37" i="18"/>
  <c r="AS23" i="18"/>
  <c r="O16" i="18"/>
  <c r="O24" i="18"/>
  <c r="O35" i="18"/>
  <c r="AS36" i="18"/>
  <c r="AD21" i="18"/>
  <c r="AE21" i="18" s="1"/>
  <c r="AS31" i="18"/>
  <c r="O19" i="18"/>
  <c r="BN19" i="18"/>
  <c r="O23" i="18"/>
  <c r="BN23" i="18"/>
  <c r="BN20" i="18"/>
  <c r="O20" i="18"/>
  <c r="O29" i="18"/>
  <c r="BN29" i="18"/>
  <c r="O32" i="18"/>
  <c r="BN32" i="18"/>
  <c r="BN33" i="18"/>
  <c r="O33" i="18"/>
  <c r="O36" i="18"/>
  <c r="BN36" i="18"/>
  <c r="O40" i="18"/>
  <c r="BN40" i="18"/>
  <c r="BB40" i="18"/>
  <c r="AX40" i="18"/>
  <c r="BA39" i="18"/>
  <c r="AW39" i="18"/>
  <c r="BB36" i="18"/>
  <c r="AX36" i="18"/>
  <c r="AW35" i="18"/>
  <c r="BA35" i="18"/>
  <c r="BB39" i="18"/>
  <c r="AX39" i="18"/>
  <c r="BA38" i="18"/>
  <c r="AW38" i="18"/>
  <c r="BB35" i="18"/>
  <c r="AX35" i="18"/>
  <c r="BB38" i="18"/>
  <c r="AX38" i="18"/>
  <c r="BA37" i="18"/>
  <c r="AW37" i="18"/>
  <c r="BA40" i="18"/>
  <c r="AW40" i="18"/>
  <c r="BB32" i="18"/>
  <c r="AX32" i="18"/>
  <c r="AW31" i="18"/>
  <c r="BA31" i="18"/>
  <c r="BB37" i="18"/>
  <c r="AX37" i="18"/>
  <c r="BA36" i="18"/>
  <c r="AW36" i="18"/>
  <c r="BA34" i="18"/>
  <c r="AW34" i="18"/>
  <c r="AX31" i="18"/>
  <c r="BB31" i="18"/>
  <c r="BB34" i="18"/>
  <c r="AX34" i="18"/>
  <c r="BA33" i="18"/>
  <c r="AW33" i="18"/>
  <c r="BB33" i="18"/>
  <c r="AX33" i="18"/>
  <c r="BB29" i="18"/>
  <c r="AX29" i="18"/>
  <c r="BA28" i="18"/>
  <c r="AW28" i="18"/>
  <c r="AW32" i="18"/>
  <c r="BA32" i="18"/>
  <c r="BB28" i="18"/>
  <c r="AX28" i="18"/>
  <c r="BA27" i="18"/>
  <c r="AW27" i="18"/>
  <c r="BA30" i="18"/>
  <c r="AW30" i="18"/>
  <c r="AX27" i="18"/>
  <c r="BB27" i="18"/>
  <c r="BB23" i="18"/>
  <c r="AX23" i="18"/>
  <c r="BA22" i="18"/>
  <c r="AW22" i="18"/>
  <c r="BB19" i="18"/>
  <c r="AX19" i="18"/>
  <c r="AW18" i="18"/>
  <c r="BA18" i="18"/>
  <c r="BA26" i="18"/>
  <c r="AW26" i="18"/>
  <c r="BA25" i="18"/>
  <c r="AW25" i="18"/>
  <c r="BB22" i="18"/>
  <c r="AX22" i="18"/>
  <c r="BA21" i="18"/>
  <c r="AW21" i="18"/>
  <c r="BB18" i="18"/>
  <c r="AX18" i="18"/>
  <c r="BA17" i="18"/>
  <c r="AW17" i="18"/>
  <c r="AV29" i="18"/>
  <c r="AV26" i="18"/>
  <c r="AV23" i="18"/>
  <c r="BB30" i="18"/>
  <c r="AX30" i="18"/>
  <c r="AX25" i="18"/>
  <c r="BB25" i="18"/>
  <c r="BA24" i="18"/>
  <c r="AW24" i="18"/>
  <c r="BB21" i="18"/>
  <c r="AX21" i="18"/>
  <c r="BA20" i="18"/>
  <c r="AW20" i="18"/>
  <c r="AX17" i="18"/>
  <c r="BB17" i="18"/>
  <c r="BB16" i="18"/>
  <c r="AX16" i="18"/>
  <c r="BA29" i="18"/>
  <c r="AW29" i="18"/>
  <c r="BB26" i="18"/>
  <c r="AX26" i="18"/>
  <c r="BB20" i="18"/>
  <c r="AX20" i="18"/>
  <c r="BA19" i="18"/>
  <c r="AW19" i="18"/>
  <c r="BA16" i="18"/>
  <c r="AW16" i="18"/>
  <c r="BB24" i="18"/>
  <c r="AX24" i="18"/>
  <c r="BA23" i="18"/>
  <c r="AW23" i="18"/>
  <c r="AS17" i="17"/>
  <c r="AF29" i="17"/>
  <c r="AS33" i="17"/>
  <c r="AD17" i="17"/>
  <c r="AE17" i="17" s="1"/>
  <c r="AF24" i="17"/>
  <c r="AD27" i="17"/>
  <c r="AE27" i="17" s="1"/>
  <c r="AS30" i="17"/>
  <c r="BN38" i="17"/>
  <c r="BN21" i="17"/>
  <c r="AF22" i="17"/>
  <c r="O40" i="17"/>
  <c r="AD29" i="17"/>
  <c r="AE29" i="17" s="1"/>
  <c r="AD35" i="17"/>
  <c r="AE35" i="17" s="1"/>
  <c r="AS31" i="17"/>
  <c r="BN18" i="17"/>
  <c r="AS16" i="17"/>
  <c r="AD22" i="17"/>
  <c r="AE22" i="17" s="1"/>
  <c r="AD21" i="17"/>
  <c r="AE21" i="17" s="1"/>
  <c r="AD40" i="17"/>
  <c r="AE40" i="17" s="1"/>
  <c r="AD34" i="17"/>
  <c r="AE34" i="17" s="1"/>
  <c r="AD18" i="17"/>
  <c r="AE18" i="17" s="1"/>
  <c r="AF26" i="17"/>
  <c r="AD23" i="17"/>
  <c r="AE23" i="17" s="1"/>
  <c r="AF31" i="17"/>
  <c r="AF20" i="17"/>
  <c r="AD24" i="17"/>
  <c r="AE24" i="17" s="1"/>
  <c r="AF32" i="17"/>
  <c r="AD33" i="17"/>
  <c r="AE33" i="17" s="1"/>
  <c r="AD19" i="17"/>
  <c r="AE19" i="17" s="1"/>
  <c r="AD26" i="17"/>
  <c r="AE26" i="17" s="1"/>
  <c r="AF37" i="17"/>
  <c r="AD39" i="17"/>
  <c r="AE39" i="17" s="1"/>
  <c r="BB40" i="17"/>
  <c r="AX40" i="17"/>
  <c r="AZ38" i="17"/>
  <c r="BB36" i="17"/>
  <c r="AX36" i="17"/>
  <c r="AX39" i="17"/>
  <c r="BB39" i="17"/>
  <c r="AZ37" i="17"/>
  <c r="AZ33" i="17"/>
  <c r="BB31" i="17"/>
  <c r="AX31" i="17"/>
  <c r="BA35" i="17"/>
  <c r="AW35" i="17"/>
  <c r="AY30" i="17"/>
  <c r="AU30" i="17"/>
  <c r="BA28" i="17"/>
  <c r="AW28" i="17"/>
  <c r="BB26" i="17"/>
  <c r="AX26" i="17"/>
  <c r="AZ24" i="17"/>
  <c r="BB22" i="17"/>
  <c r="AX22" i="17"/>
  <c r="AZ20" i="17"/>
  <c r="BB18" i="17"/>
  <c r="AX18" i="17"/>
  <c r="AY26" i="17"/>
  <c r="AU26" i="17"/>
  <c r="AY28" i="17"/>
  <c r="AU28" i="17"/>
  <c r="AZ22" i="17"/>
  <c r="BA30" i="17"/>
  <c r="AW30" i="17"/>
  <c r="BA16" i="17"/>
  <c r="AW16" i="17"/>
  <c r="BA19" i="17"/>
  <c r="AW19" i="17"/>
  <c r="AY17" i="17"/>
  <c r="AU17" i="17"/>
  <c r="AW40" i="17"/>
  <c r="BA40" i="17"/>
  <c r="AY38" i="17"/>
  <c r="AU38" i="17"/>
  <c r="BA36" i="17"/>
  <c r="AW36" i="17"/>
  <c r="AY39" i="17"/>
  <c r="AU39" i="17"/>
  <c r="AZ34" i="17"/>
  <c r="BB32" i="17"/>
  <c r="AX32" i="17"/>
  <c r="BA37" i="17"/>
  <c r="AW37" i="17"/>
  <c r="AZ40" i="17"/>
  <c r="BB34" i="17"/>
  <c r="AX34" i="17"/>
  <c r="AZ32" i="17"/>
  <c r="BB33" i="17"/>
  <c r="AX33" i="17"/>
  <c r="BA29" i="17"/>
  <c r="AW29" i="17"/>
  <c r="AY27" i="17"/>
  <c r="AU27" i="17"/>
  <c r="AZ31" i="17"/>
  <c r="AY29" i="17"/>
  <c r="AU29" i="17"/>
  <c r="BA27" i="17"/>
  <c r="AW27" i="17"/>
  <c r="BA26" i="17"/>
  <c r="AW26" i="17"/>
  <c r="AY24" i="17"/>
  <c r="AU24" i="17"/>
  <c r="BA22" i="17"/>
  <c r="AW22" i="17"/>
  <c r="AY20" i="17"/>
  <c r="AU20" i="17"/>
  <c r="BA18" i="17"/>
  <c r="AW18" i="17"/>
  <c r="AU16" i="17"/>
  <c r="AY16" i="17"/>
  <c r="AX25" i="17"/>
  <c r="BB25" i="17"/>
  <c r="AZ23" i="17"/>
  <c r="AX21" i="17"/>
  <c r="BB21" i="17"/>
  <c r="AZ19" i="17"/>
  <c r="AX17" i="17"/>
  <c r="BB17" i="17"/>
  <c r="BB24" i="17"/>
  <c r="AX24" i="17"/>
  <c r="BA39" i="17"/>
  <c r="AW39" i="17"/>
  <c r="AY37" i="17"/>
  <c r="AU37" i="17"/>
  <c r="AY40" i="17"/>
  <c r="AU40" i="17"/>
  <c r="BA38" i="17"/>
  <c r="AW38" i="17"/>
  <c r="AY36" i="17"/>
  <c r="AU36" i="17"/>
  <c r="BA34" i="17"/>
  <c r="AW34" i="17"/>
  <c r="AY32" i="17"/>
  <c r="AU32" i="17"/>
  <c r="AY35" i="17"/>
  <c r="AU35" i="17"/>
  <c r="BB29" i="17"/>
  <c r="AX29" i="17"/>
  <c r="AZ27" i="17"/>
  <c r="BA25" i="17"/>
  <c r="AW25" i="17"/>
  <c r="AY23" i="17"/>
  <c r="AU23" i="17"/>
  <c r="BA21" i="17"/>
  <c r="AW21" i="17"/>
  <c r="AY19" i="17"/>
  <c r="AU19" i="17"/>
  <c r="BA17" i="17"/>
  <c r="AW17" i="17"/>
  <c r="BB16" i="17"/>
  <c r="AX16" i="17"/>
  <c r="BA23" i="17"/>
  <c r="AW23" i="17"/>
  <c r="BB20" i="17"/>
  <c r="AX20" i="17"/>
  <c r="AZ29" i="17"/>
  <c r="AY21" i="17"/>
  <c r="AU21" i="17"/>
  <c r="AZ18" i="17"/>
  <c r="BB35" i="17"/>
  <c r="AX35" i="17"/>
  <c r="AZ39" i="17"/>
  <c r="BB37" i="17"/>
  <c r="AX37" i="17"/>
  <c r="AZ35" i="17"/>
  <c r="BB38" i="17"/>
  <c r="AX38" i="17"/>
  <c r="AY33" i="17"/>
  <c r="AU33" i="17"/>
  <c r="BA31" i="17"/>
  <c r="AW31" i="17"/>
  <c r="AZ36" i="17"/>
  <c r="BA33" i="17"/>
  <c r="AW33" i="17"/>
  <c r="AY31" i="17"/>
  <c r="AU31" i="17"/>
  <c r="AY34" i="17"/>
  <c r="AU34" i="17"/>
  <c r="BB30" i="17"/>
  <c r="AX30" i="17"/>
  <c r="AZ28" i="17"/>
  <c r="BA32" i="17"/>
  <c r="AW32" i="17"/>
  <c r="AZ30" i="17"/>
  <c r="AX28" i="17"/>
  <c r="BB28" i="17"/>
  <c r="AZ26" i="17"/>
  <c r="AZ25" i="17"/>
  <c r="BB23" i="17"/>
  <c r="AX23" i="17"/>
  <c r="AZ21" i="17"/>
  <c r="BB19" i="17"/>
  <c r="AX19" i="17"/>
  <c r="AZ17" i="17"/>
  <c r="BA24" i="17"/>
  <c r="AW24" i="17"/>
  <c r="AY22" i="17"/>
  <c r="AU22" i="17"/>
  <c r="BA20" i="17"/>
  <c r="AW20" i="17"/>
  <c r="AY18" i="17"/>
  <c r="AU18" i="17"/>
  <c r="BB27" i="17"/>
  <c r="AX27" i="17"/>
  <c r="AY25" i="17"/>
  <c r="AU25" i="17"/>
  <c r="AV23" i="17"/>
  <c r="AV19" i="17"/>
  <c r="AV21" i="17"/>
  <c r="AV32" i="17"/>
  <c r="AV28" i="17"/>
  <c r="AV26" i="17"/>
  <c r="AV16" i="17"/>
  <c r="AV18" i="17"/>
  <c r="AV20" i="17"/>
  <c r="AV37" i="17"/>
  <c r="AV33" i="17"/>
  <c r="AV22" i="17"/>
  <c r="AV25" i="17"/>
  <c r="AV29" i="17"/>
  <c r="AV38" i="17"/>
  <c r="AV40" i="17"/>
  <c r="AV36" i="17"/>
  <c r="AV35" i="17"/>
  <c r="AV17" i="17"/>
  <c r="AV24" i="17"/>
  <c r="AV27" i="17"/>
  <c r="AV30" i="17"/>
  <c r="AV34" i="17"/>
  <c r="AV31" i="17"/>
  <c r="AV39" i="17"/>
  <c r="AZ16" i="17"/>
  <c r="AD16" i="17"/>
  <c r="AE16" i="17" s="1"/>
  <c r="O36" i="17"/>
  <c r="AS35" i="17"/>
  <c r="BN36" i="17"/>
  <c r="O21" i="17"/>
  <c r="AF17" i="17"/>
  <c r="AF25" i="17"/>
  <c r="AF30" i="17"/>
  <c r="AF40" i="17"/>
  <c r="AD37" i="17"/>
  <c r="AE37" i="17" s="1"/>
  <c r="O22" i="17"/>
  <c r="O19" i="17"/>
  <c r="BN19" i="17"/>
  <c r="O28" i="17"/>
  <c r="O24" i="17"/>
  <c r="O27" i="17"/>
  <c r="AS40" i="17"/>
  <c r="BN25" i="17"/>
  <c r="BN16" i="17"/>
  <c r="BN31" i="17"/>
  <c r="AD20" i="17"/>
  <c r="AE20" i="17" s="1"/>
  <c r="AF27" i="17"/>
  <c r="AF28" i="17"/>
  <c r="AD31" i="17"/>
  <c r="AE31" i="17" s="1"/>
  <c r="AD32" i="17"/>
  <c r="AE32" i="17" s="1"/>
  <c r="AF35" i="17"/>
  <c r="AF39" i="17"/>
  <c r="O33" i="17"/>
  <c r="O38" i="17"/>
  <c r="BN35" i="17"/>
  <c r="BN24" i="17"/>
  <c r="AS25" i="17"/>
  <c r="O17" i="17"/>
  <c r="AF21" i="17"/>
  <c r="AD28" i="17"/>
  <c r="AE28" i="17" s="1"/>
  <c r="AD30" i="17"/>
  <c r="AE30" i="17" s="1"/>
  <c r="AF33" i="17"/>
  <c r="AF34" i="17"/>
  <c r="AF36" i="17"/>
  <c r="AF38" i="17"/>
  <c r="O18" i="17"/>
  <c r="O26" i="17"/>
  <c r="O23" i="17"/>
  <c r="BN23" i="17"/>
  <c r="O20" i="17"/>
  <c r="O29" i="17"/>
  <c r="O30" i="17"/>
  <c r="O32" i="17"/>
  <c r="BN32" i="17"/>
  <c r="O37" i="17"/>
  <c r="BN37" i="17"/>
  <c r="BN39" i="16"/>
  <c r="AS33" i="16"/>
  <c r="O34" i="16"/>
  <c r="BN32" i="16"/>
  <c r="O38" i="16"/>
  <c r="O40" i="16"/>
  <c r="AS36" i="16"/>
  <c r="AS29" i="16"/>
  <c r="AS30" i="16"/>
  <c r="O28" i="16"/>
  <c r="AF17" i="16"/>
  <c r="O18" i="16"/>
  <c r="AF16" i="16"/>
  <c r="AD22" i="16"/>
  <c r="AE22" i="16" s="1"/>
  <c r="O20" i="16"/>
  <c r="AS17" i="16"/>
  <c r="AF40" i="16"/>
  <c r="AF24" i="16"/>
  <c r="AF21" i="16"/>
  <c r="AD34" i="16"/>
  <c r="AE34" i="16" s="1"/>
  <c r="AF27" i="16"/>
  <c r="AD38" i="16"/>
  <c r="AE38" i="16" s="1"/>
  <c r="AD32" i="16"/>
  <c r="AE32" i="16" s="1"/>
  <c r="AD29" i="16"/>
  <c r="AE29" i="16" s="1"/>
  <c r="AF37" i="16"/>
  <c r="AD16" i="16"/>
  <c r="AE16" i="16" s="1"/>
  <c r="AF25" i="16"/>
  <c r="AF23" i="16"/>
  <c r="AF28" i="16"/>
  <c r="AD36" i="16"/>
  <c r="AE36" i="16" s="1"/>
  <c r="AD19" i="16"/>
  <c r="AE19" i="16" s="1"/>
  <c r="AF31" i="16"/>
  <c r="AD39" i="16"/>
  <c r="AE39" i="16" s="1"/>
  <c r="AY38" i="16"/>
  <c r="AU38" i="16"/>
  <c r="BB34" i="16"/>
  <c r="AX34" i="16"/>
  <c r="AZ40" i="16"/>
  <c r="AZ36" i="16"/>
  <c r="AX32" i="16"/>
  <c r="BB32" i="16"/>
  <c r="AX29" i="16"/>
  <c r="BB29" i="16"/>
  <c r="AZ33" i="16"/>
  <c r="AY28" i="16"/>
  <c r="AU28" i="16"/>
  <c r="AZ26" i="16"/>
  <c r="AZ22" i="16"/>
  <c r="AZ18" i="16"/>
  <c r="BA25" i="16"/>
  <c r="AW25" i="16"/>
  <c r="BA21" i="16"/>
  <c r="AW21" i="16"/>
  <c r="AY22" i="16"/>
  <c r="AU22" i="16"/>
  <c r="BB40" i="16"/>
  <c r="AX40" i="16"/>
  <c r="AZ38" i="16"/>
  <c r="BB36" i="16"/>
  <c r="AX36" i="16"/>
  <c r="AY40" i="16"/>
  <c r="AU40" i="16"/>
  <c r="BA38" i="16"/>
  <c r="AW38" i="16"/>
  <c r="AY36" i="16"/>
  <c r="AU36" i="16"/>
  <c r="AY34" i="16"/>
  <c r="AU34" i="16"/>
  <c r="BB31" i="16"/>
  <c r="AX31" i="16"/>
  <c r="BA32" i="16"/>
  <c r="AW32" i="16"/>
  <c r="AZ30" i="16"/>
  <c r="BB28" i="16"/>
  <c r="AX28" i="16"/>
  <c r="AZ28" i="16"/>
  <c r="BA26" i="16"/>
  <c r="AW26" i="16"/>
  <c r="AY24" i="16"/>
  <c r="AU24" i="16"/>
  <c r="BA22" i="16"/>
  <c r="AW22" i="16"/>
  <c r="AY20" i="16"/>
  <c r="AU20" i="16"/>
  <c r="AY16" i="16"/>
  <c r="AU16" i="16"/>
  <c r="AW17" i="16"/>
  <c r="BA17" i="16"/>
  <c r="AZ16" i="16"/>
  <c r="AY18" i="16"/>
  <c r="AU18" i="16"/>
  <c r="AY17" i="16"/>
  <c r="AU17" i="16"/>
  <c r="AW40" i="16"/>
  <c r="BA40" i="16"/>
  <c r="AW36" i="16"/>
  <c r="BA36" i="16"/>
  <c r="AZ32" i="16"/>
  <c r="BB38" i="16"/>
  <c r="AX38" i="16"/>
  <c r="AZ34" i="16"/>
  <c r="BA30" i="16"/>
  <c r="AW30" i="16"/>
  <c r="BB24" i="16"/>
  <c r="AX24" i="16"/>
  <c r="BB20" i="16"/>
  <c r="AX20" i="16"/>
  <c r="AY27" i="16"/>
  <c r="AU27" i="16"/>
  <c r="AY23" i="16"/>
  <c r="AU23" i="16"/>
  <c r="AY19" i="16"/>
  <c r="AU19" i="16"/>
  <c r="BA20" i="16"/>
  <c r="AW20" i="16"/>
  <c r="AZ19" i="16"/>
  <c r="BB25" i="16"/>
  <c r="AX25" i="16"/>
  <c r="AZ23" i="16"/>
  <c r="BA16" i="16"/>
  <c r="AW16" i="16"/>
  <c r="AZ39" i="16"/>
  <c r="BB37" i="16"/>
  <c r="AX37" i="16"/>
  <c r="AZ35" i="16"/>
  <c r="AW33" i="16"/>
  <c r="BA33" i="16"/>
  <c r="AY31" i="16"/>
  <c r="AU31" i="16"/>
  <c r="AY39" i="16"/>
  <c r="AU39" i="16"/>
  <c r="BA37" i="16"/>
  <c r="AW37" i="16"/>
  <c r="AY35" i="16"/>
  <c r="AU35" i="16"/>
  <c r="AY33" i="16"/>
  <c r="AU33" i="16"/>
  <c r="AW31" i="16"/>
  <c r="BA31" i="16"/>
  <c r="AY30" i="16"/>
  <c r="AU30" i="16"/>
  <c r="AW28" i="16"/>
  <c r="BA28" i="16"/>
  <c r="BA34" i="16"/>
  <c r="AW34" i="16"/>
  <c r="AZ29" i="16"/>
  <c r="BB30" i="16"/>
  <c r="AX30" i="16"/>
  <c r="AW27" i="16"/>
  <c r="BA27" i="16"/>
  <c r="AU25" i="16"/>
  <c r="AY25" i="16"/>
  <c r="AW23" i="16"/>
  <c r="BA23" i="16"/>
  <c r="AY21" i="16"/>
  <c r="AU21" i="16"/>
  <c r="AW19" i="16"/>
  <c r="BA19" i="16"/>
  <c r="BB26" i="16"/>
  <c r="AX26" i="16"/>
  <c r="AZ24" i="16"/>
  <c r="AX22" i="16"/>
  <c r="BB22" i="16"/>
  <c r="AZ20" i="16"/>
  <c r="AX18" i="16"/>
  <c r="BB18" i="16"/>
  <c r="BB21" i="16"/>
  <c r="AX21" i="16"/>
  <c r="AZ17" i="16"/>
  <c r="AV18" i="16"/>
  <c r="AV29" i="16"/>
  <c r="AV34" i="16"/>
  <c r="AV22" i="16"/>
  <c r="AV30" i="16"/>
  <c r="AV37" i="16"/>
  <c r="AV40" i="16"/>
  <c r="AV35" i="16"/>
  <c r="AV28" i="16"/>
  <c r="AV36" i="16"/>
  <c r="AV39" i="16"/>
  <c r="AV26" i="16"/>
  <c r="AV20" i="16"/>
  <c r="AV27" i="16"/>
  <c r="AV19" i="16"/>
  <c r="AV21" i="16"/>
  <c r="AV32" i="16"/>
  <c r="AV33" i="16"/>
  <c r="AV38" i="16"/>
  <c r="AV24" i="16"/>
  <c r="AV16" i="16"/>
  <c r="AV23" i="16"/>
  <c r="AV17" i="16"/>
  <c r="AV25" i="16"/>
  <c r="AV31" i="16"/>
  <c r="BB16" i="16"/>
  <c r="AX16" i="16"/>
  <c r="AY26" i="16"/>
  <c r="AU26" i="16"/>
  <c r="BA24" i="16"/>
  <c r="AW24" i="16"/>
  <c r="AX17" i="16"/>
  <c r="BB17" i="16"/>
  <c r="AZ27" i="16"/>
  <c r="BA39" i="16"/>
  <c r="AW39" i="16"/>
  <c r="AY37" i="16"/>
  <c r="AU37" i="16"/>
  <c r="BA35" i="16"/>
  <c r="AW35" i="16"/>
  <c r="BB39" i="16"/>
  <c r="AX39" i="16"/>
  <c r="AZ37" i="16"/>
  <c r="BB35" i="16"/>
  <c r="AX35" i="16"/>
  <c r="BB33" i="16"/>
  <c r="AX33" i="16"/>
  <c r="AZ31" i="16"/>
  <c r="AY32" i="16"/>
  <c r="AU32" i="16"/>
  <c r="BA29" i="16"/>
  <c r="AW29" i="16"/>
  <c r="AX27" i="16"/>
  <c r="BB27" i="16"/>
  <c r="AZ25" i="16"/>
  <c r="BB23" i="16"/>
  <c r="AX23" i="16"/>
  <c r="AZ21" i="16"/>
  <c r="AY29" i="16"/>
  <c r="AU29" i="16"/>
  <c r="BA18" i="16"/>
  <c r="AW18" i="16"/>
  <c r="BB19" i="16"/>
  <c r="AX19" i="16"/>
  <c r="BN38" i="16"/>
  <c r="BN40" i="16"/>
  <c r="O16" i="16"/>
  <c r="BN16" i="16"/>
  <c r="AF20" i="16"/>
  <c r="AF22" i="16"/>
  <c r="AD37" i="16"/>
  <c r="AE37" i="16" s="1"/>
  <c r="O19" i="16"/>
  <c r="O27" i="16"/>
  <c r="BN27" i="16"/>
  <c r="O24" i="16"/>
  <c r="BN24" i="16"/>
  <c r="BN30" i="16"/>
  <c r="O30" i="16"/>
  <c r="O35" i="16"/>
  <c r="O37" i="16"/>
  <c r="BN37" i="16"/>
  <c r="AD27" i="16"/>
  <c r="AE27" i="16" s="1"/>
  <c r="AD25" i="16"/>
  <c r="AE25" i="16" s="1"/>
  <c r="AF35" i="16"/>
  <c r="O21" i="16"/>
  <c r="BN34" i="16"/>
  <c r="BN21" i="16"/>
  <c r="BN18" i="16"/>
  <c r="AS20" i="16"/>
  <c r="AF32" i="16"/>
  <c r="AD24" i="16"/>
  <c r="AE24" i="16" s="1"/>
  <c r="AD21" i="16"/>
  <c r="AE21" i="16" s="1"/>
  <c r="AF30" i="16"/>
  <c r="AD30" i="16"/>
  <c r="AE30" i="16" s="1"/>
  <c r="AD31" i="16"/>
  <c r="AE31" i="16" s="1"/>
  <c r="AF36" i="16"/>
  <c r="AF38" i="16"/>
  <c r="AF39" i="16"/>
  <c r="O25" i="16"/>
  <c r="O32" i="16"/>
  <c r="O33" i="16"/>
  <c r="AS40" i="16"/>
  <c r="O36" i="16"/>
  <c r="AD17" i="16"/>
  <c r="AE17" i="16" s="1"/>
  <c r="AS38" i="16"/>
  <c r="AF29" i="16"/>
  <c r="AF34" i="16"/>
  <c r="AF26" i="16"/>
  <c r="AF33" i="16"/>
  <c r="AD40" i="16"/>
  <c r="AE40" i="16" s="1"/>
  <c r="AS28" i="16"/>
  <c r="O23" i="16"/>
  <c r="O31" i="16"/>
  <c r="BN26" i="16"/>
  <c r="AF18" i="16"/>
  <c r="AS16" i="16"/>
  <c r="AV17" i="15"/>
  <c r="AV21" i="15"/>
  <c r="AV25" i="15"/>
  <c r="AV29" i="15"/>
  <c r="AV33" i="15"/>
  <c r="AV37" i="15"/>
  <c r="AV28" i="15"/>
  <c r="AV32" i="15"/>
  <c r="AV18" i="15"/>
  <c r="AV22" i="15"/>
  <c r="AV26" i="15"/>
  <c r="AV30" i="15"/>
  <c r="AV34" i="15"/>
  <c r="AV38" i="15"/>
  <c r="AV24" i="15"/>
  <c r="AV36" i="15"/>
  <c r="AV19" i="15"/>
  <c r="AV23" i="15"/>
  <c r="AV27" i="15"/>
  <c r="AV31" i="15"/>
  <c r="AV35" i="15"/>
  <c r="AV39" i="15"/>
  <c r="AV20" i="15"/>
  <c r="AV40" i="15"/>
  <c r="AV16" i="15"/>
  <c r="AW33" i="15"/>
  <c r="AW25" i="15"/>
  <c r="AW39" i="15"/>
  <c r="AW23" i="15"/>
  <c r="AW21" i="15"/>
  <c r="AW37" i="15"/>
  <c r="AW29" i="15"/>
  <c r="AW35" i="15"/>
  <c r="AW27" i="15"/>
  <c r="AW17" i="15"/>
  <c r="AX34" i="15"/>
  <c r="AX32" i="15"/>
  <c r="AW34" i="15"/>
  <c r="AX26" i="15"/>
  <c r="AX24" i="15"/>
  <c r="AX22" i="15"/>
  <c r="AX33" i="15"/>
  <c r="AX35" i="15"/>
  <c r="AW36" i="15"/>
  <c r="AW20" i="15"/>
  <c r="AW28" i="15"/>
  <c r="AX27" i="15"/>
  <c r="AX40" i="15"/>
  <c r="AX38" i="15"/>
  <c r="AX36" i="15"/>
  <c r="AX28" i="15"/>
  <c r="AX30" i="15"/>
  <c r="AX31" i="15"/>
  <c r="AX21" i="15"/>
  <c r="AX19" i="15"/>
  <c r="AX17" i="15"/>
  <c r="AW40" i="15"/>
  <c r="AX39" i="15"/>
  <c r="AW31" i="15"/>
  <c r="AW38" i="15"/>
  <c r="AX29" i="15"/>
  <c r="AW24" i="15"/>
  <c r="AW19" i="15"/>
  <c r="AX37" i="15"/>
  <c r="AW32" i="15"/>
  <c r="AW26" i="15"/>
  <c r="AX23" i="15"/>
  <c r="AX25" i="15"/>
  <c r="AX18" i="15"/>
  <c r="AW30" i="15"/>
  <c r="AW22" i="15"/>
  <c r="AX20" i="15"/>
  <c r="AW18" i="15"/>
  <c r="AZ25" i="15"/>
  <c r="AZ37" i="15"/>
  <c r="AZ18" i="15"/>
  <c r="AZ22" i="15"/>
  <c r="AZ26" i="15"/>
  <c r="AZ30" i="15"/>
  <c r="AZ34" i="15"/>
  <c r="AZ38" i="15"/>
  <c r="AZ17" i="15"/>
  <c r="AZ21" i="15"/>
  <c r="AZ33" i="15"/>
  <c r="AZ19" i="15"/>
  <c r="AZ23" i="15"/>
  <c r="AZ27" i="15"/>
  <c r="AZ31" i="15"/>
  <c r="AZ35" i="15"/>
  <c r="AZ39" i="15"/>
  <c r="AZ29" i="15"/>
  <c r="AZ20" i="15"/>
  <c r="AZ24" i="15"/>
  <c r="AZ28" i="15"/>
  <c r="AZ32" i="15"/>
  <c r="AZ36" i="15"/>
  <c r="AZ40" i="15"/>
  <c r="AX16" i="15"/>
  <c r="AW16" i="15"/>
  <c r="AZ16" i="15"/>
  <c r="AS17" i="15"/>
  <c r="AS34" i="15"/>
  <c r="AD18" i="15"/>
  <c r="AE18" i="15" s="1"/>
  <c r="AD20" i="15"/>
  <c r="AE20" i="15" s="1"/>
  <c r="AF31" i="15"/>
  <c r="AF38" i="15"/>
  <c r="AS26" i="15"/>
  <c r="AS38" i="15"/>
  <c r="AD32" i="15"/>
  <c r="AE32" i="15" s="1"/>
  <c r="AD16" i="15"/>
  <c r="AE16" i="15" s="1"/>
  <c r="AD35" i="15"/>
  <c r="AE35" i="15" s="1"/>
  <c r="AS36" i="15"/>
  <c r="AF16" i="15"/>
  <c r="AS20" i="15"/>
  <c r="AS23" i="15"/>
  <c r="AS31" i="15"/>
  <c r="AS33" i="15"/>
  <c r="O17" i="15"/>
  <c r="AS25" i="15"/>
  <c r="AF20" i="15"/>
  <c r="AD37" i="15"/>
  <c r="AE37" i="15" s="1"/>
  <c r="AS16" i="15"/>
  <c r="AS27" i="15"/>
  <c r="AF34" i="15"/>
  <c r="AS21" i="15"/>
  <c r="AS18" i="15"/>
  <c r="AS29" i="15"/>
  <c r="AS39" i="15"/>
  <c r="AS24" i="15"/>
  <c r="AS32" i="15"/>
  <c r="AS40" i="15"/>
  <c r="AS35" i="15"/>
  <c r="AF18" i="15"/>
  <c r="AS37" i="15"/>
  <c r="AD33" i="15"/>
  <c r="AE33" i="15" s="1"/>
  <c r="AF36" i="15"/>
  <c r="AD40" i="15"/>
  <c r="AE40" i="15" s="1"/>
  <c r="AS28" i="15"/>
  <c r="AS22" i="15"/>
  <c r="O19" i="15"/>
  <c r="AS19" i="15"/>
  <c r="AF30" i="15"/>
  <c r="AD26" i="15"/>
  <c r="AE26" i="15" s="1"/>
  <c r="AF22" i="15"/>
  <c r="AF26" i="15"/>
  <c r="AF25" i="15"/>
  <c r="AD31" i="15"/>
  <c r="AE31" i="15" s="1"/>
  <c r="AD30" i="15"/>
  <c r="AE30" i="15" s="1"/>
  <c r="AD38" i="15"/>
  <c r="AE38" i="15" s="1"/>
  <c r="BA33" i="15"/>
  <c r="BA25" i="15"/>
  <c r="BA39" i="15"/>
  <c r="BA23" i="15"/>
  <c r="BA21" i="15"/>
  <c r="BA37" i="15"/>
  <c r="BA29" i="15"/>
  <c r="BA35" i="15"/>
  <c r="BA27" i="15"/>
  <c r="BA17" i="15"/>
  <c r="BB34" i="15"/>
  <c r="BB32" i="15"/>
  <c r="BA34" i="15"/>
  <c r="BB26" i="15"/>
  <c r="BB24" i="15"/>
  <c r="BB22" i="15"/>
  <c r="BB33" i="15"/>
  <c r="BB35" i="15"/>
  <c r="BA36" i="15"/>
  <c r="BA20" i="15"/>
  <c r="BA28" i="15"/>
  <c r="BB27" i="15"/>
  <c r="BB40" i="15"/>
  <c r="BB38" i="15"/>
  <c r="BB36" i="15"/>
  <c r="BB28" i="15"/>
  <c r="BB30" i="15"/>
  <c r="BB31" i="15"/>
  <c r="BB21" i="15"/>
  <c r="BB19" i="15"/>
  <c r="BB17" i="15"/>
  <c r="BA40" i="15"/>
  <c r="BB39" i="15"/>
  <c r="BA31" i="15"/>
  <c r="BA38" i="15"/>
  <c r="BB29" i="15"/>
  <c r="BA24" i="15"/>
  <c r="BA19" i="15"/>
  <c r="BB37" i="15"/>
  <c r="BA32" i="15"/>
  <c r="BA26" i="15"/>
  <c r="BB23" i="15"/>
  <c r="BB25" i="15"/>
  <c r="BB18" i="15"/>
  <c r="BA30" i="15"/>
  <c r="BA22" i="15"/>
  <c r="BB20" i="15"/>
  <c r="BA18" i="15"/>
  <c r="BB16" i="15"/>
  <c r="BA16" i="15"/>
  <c r="O35" i="15"/>
  <c r="BN16" i="15"/>
  <c r="BN37" i="15"/>
  <c r="O29" i="15"/>
  <c r="BN39" i="15"/>
  <c r="BN18" i="15"/>
  <c r="BN35" i="15"/>
  <c r="BN25" i="15"/>
  <c r="BN17" i="15"/>
  <c r="O15" i="15"/>
  <c r="BN19" i="15"/>
  <c r="O21" i="15"/>
  <c r="BN29" i="15"/>
  <c r="AF19" i="15"/>
  <c r="AD19" i="15"/>
  <c r="AE19" i="15" s="1"/>
  <c r="O25" i="15"/>
  <c r="O20" i="15"/>
  <c r="BN20" i="15"/>
  <c r="O24" i="15"/>
  <c r="BN24" i="15"/>
  <c r="O27" i="15"/>
  <c r="BN27" i="15"/>
  <c r="O33" i="15"/>
  <c r="BN33" i="15"/>
  <c r="O32" i="15"/>
  <c r="BN32" i="15"/>
  <c r="O36" i="15"/>
  <c r="BN36" i="15"/>
  <c r="O31" i="15"/>
  <c r="BN31" i="15"/>
  <c r="AF24" i="15"/>
  <c r="AD24" i="15"/>
  <c r="AE24" i="15" s="1"/>
  <c r="AD25" i="15"/>
  <c r="AE25" i="15" s="1"/>
  <c r="AF27" i="15"/>
  <c r="AD27" i="15"/>
  <c r="AE27" i="15" s="1"/>
  <c r="AD36" i="15"/>
  <c r="AE36" i="15" s="1"/>
  <c r="AF28" i="15"/>
  <c r="AD28" i="15"/>
  <c r="AE28" i="15" s="1"/>
  <c r="AF23" i="15"/>
  <c r="AD23" i="15"/>
  <c r="AE23" i="15" s="1"/>
  <c r="AF29" i="15"/>
  <c r="AD29" i="15"/>
  <c r="AE29" i="15" s="1"/>
  <c r="O16" i="15"/>
  <c r="O23" i="15"/>
  <c r="BN23" i="15"/>
  <c r="O28" i="15"/>
  <c r="BN28" i="15"/>
  <c r="O37" i="15"/>
  <c r="O40" i="15"/>
  <c r="BN40" i="15"/>
  <c r="AF21" i="15"/>
  <c r="AD21" i="15"/>
  <c r="AE21" i="15" s="1"/>
  <c r="AF17" i="15"/>
  <c r="AD17" i="15"/>
  <c r="AE17" i="15" s="1"/>
  <c r="AD22" i="15"/>
  <c r="AE22" i="15" s="1"/>
  <c r="AF32" i="15"/>
  <c r="AF35" i="15"/>
  <c r="AF37" i="15"/>
  <c r="AF40" i="15"/>
  <c r="O18" i="15"/>
  <c r="O22" i="15"/>
  <c r="BN22" i="15"/>
  <c r="O30" i="15"/>
  <c r="BN30" i="15"/>
  <c r="BN21" i="15"/>
  <c r="AF33" i="15"/>
  <c r="AF39" i="15"/>
  <c r="AD39" i="15"/>
  <c r="AE39" i="15" s="1"/>
  <c r="O26" i="15"/>
  <c r="BN26" i="15"/>
  <c r="BN34" i="15"/>
  <c r="O34" i="15"/>
  <c r="O38" i="15"/>
  <c r="BN38" i="15"/>
  <c r="AG30" i="22"/>
  <c r="AR20" i="22"/>
  <c r="AG20" i="22"/>
  <c r="AG36" i="22"/>
  <c r="AR19" i="22"/>
  <c r="AR33" i="22"/>
  <c r="AG33" i="22"/>
  <c r="AG39" i="22"/>
  <c r="AR24" i="22"/>
  <c r="AG31" i="22"/>
  <c r="AR32" i="22"/>
  <c r="AG35" i="22"/>
  <c r="AG38" i="22"/>
  <c r="AR25" i="22"/>
  <c r="AR16" i="22"/>
  <c r="AR40" i="22"/>
  <c r="AG40" i="22"/>
  <c r="AR21" i="22"/>
  <c r="AR29" i="22"/>
  <c r="AR26" i="22"/>
  <c r="AG29" i="22"/>
  <c r="AR28" i="22"/>
  <c r="AR36" i="22"/>
  <c r="AG37" i="22"/>
  <c r="AR22" i="22"/>
  <c r="AR27" i="22"/>
  <c r="AG34" i="22"/>
  <c r="AR39" i="22"/>
  <c r="AR23" i="22"/>
  <c r="AR17" i="22"/>
  <c r="AR34" i="22"/>
  <c r="AG18" i="22"/>
  <c r="AR37" i="22"/>
  <c r="AR22" i="21"/>
  <c r="AR30" i="21"/>
  <c r="AR31" i="21"/>
  <c r="AG38" i="21"/>
  <c r="AG22" i="21"/>
  <c r="AR21" i="21"/>
  <c r="AG37" i="21"/>
  <c r="AR25" i="21"/>
  <c r="AG34" i="21"/>
  <c r="AG35" i="21"/>
  <c r="AR37" i="21"/>
  <c r="AG18" i="21"/>
  <c r="AG32" i="21"/>
  <c r="AR24" i="21"/>
  <c r="AR36" i="21"/>
  <c r="AG17" i="21"/>
  <c r="AG25" i="21"/>
  <c r="AR18" i="21"/>
  <c r="AR32" i="21"/>
  <c r="AR17" i="21"/>
  <c r="AR34" i="21"/>
  <c r="AG39" i="21"/>
  <c r="AR29" i="21"/>
  <c r="AR26" i="21"/>
  <c r="AR38" i="21"/>
  <c r="AG30" i="21"/>
  <c r="AG40" i="21"/>
  <c r="AR40" i="21"/>
  <c r="AR27" i="21"/>
  <c r="AG28" i="21"/>
  <c r="AR39" i="21"/>
  <c r="AG21" i="21"/>
  <c r="AG33" i="21"/>
  <c r="AR33" i="21"/>
  <c r="AR28" i="21"/>
  <c r="AG31" i="21"/>
  <c r="AR19" i="21"/>
  <c r="AR35" i="17"/>
  <c r="AG16" i="19"/>
  <c r="AG20" i="20"/>
  <c r="AG23" i="17"/>
  <c r="AR23" i="19"/>
  <c r="AR23" i="20"/>
  <c r="AG18" i="17"/>
  <c r="AR37" i="18"/>
  <c r="AG24" i="20"/>
  <c r="AR34" i="18"/>
  <c r="AG22" i="18"/>
  <c r="AG30" i="19"/>
  <c r="AR19" i="19"/>
  <c r="AR31" i="18"/>
  <c r="AG19" i="16"/>
  <c r="AG19" i="17"/>
  <c r="AR26" i="19"/>
  <c r="AR40" i="20"/>
  <c r="AR39" i="16"/>
  <c r="AG17" i="18"/>
  <c r="AG22" i="20"/>
  <c r="AR28" i="20"/>
  <c r="AR29" i="16"/>
  <c r="AG31" i="18"/>
  <c r="AR25" i="20"/>
  <c r="AG16" i="18"/>
  <c r="AG21" i="19"/>
  <c r="AG17" i="20"/>
  <c r="AR35" i="20"/>
  <c r="AR24" i="20"/>
  <c r="AR31" i="20"/>
  <c r="AR18" i="20"/>
  <c r="AG28" i="20"/>
  <c r="AG30" i="20"/>
  <c r="AG33" i="20"/>
  <c r="AG39" i="20"/>
  <c r="AG38" i="20"/>
  <c r="AG35" i="20"/>
  <c r="AR27" i="20"/>
  <c r="AG23" i="20"/>
  <c r="AG25" i="20"/>
  <c r="AR34" i="20"/>
  <c r="AG16" i="20"/>
  <c r="AR16" i="20"/>
  <c r="AR30" i="20"/>
  <c r="AG36" i="20"/>
  <c r="AR29" i="20"/>
  <c r="AG31" i="20"/>
  <c r="AG29" i="20"/>
  <c r="AR20" i="20"/>
  <c r="AR37" i="20"/>
  <c r="AR36" i="20"/>
  <c r="AG40" i="20"/>
  <c r="AR22" i="20"/>
  <c r="AR38" i="20"/>
  <c r="AR19" i="20"/>
  <c r="AR26" i="20"/>
  <c r="AR33" i="20"/>
  <c r="AG19" i="20"/>
  <c r="AG27" i="20"/>
  <c r="AR39" i="20"/>
  <c r="AR17" i="20"/>
  <c r="AR30" i="19"/>
  <c r="AG20" i="19"/>
  <c r="AG36" i="19"/>
  <c r="AG37" i="19"/>
  <c r="AG35" i="19"/>
  <c r="AG31" i="19"/>
  <c r="AG38" i="19"/>
  <c r="AR18" i="19"/>
  <c r="AG29" i="19"/>
  <c r="AR40" i="19"/>
  <c r="AR20" i="19"/>
  <c r="AR29" i="19"/>
  <c r="AR16" i="19"/>
  <c r="AR31" i="19"/>
  <c r="AG19" i="19"/>
  <c r="AG28" i="19"/>
  <c r="AR25" i="19"/>
  <c r="AR36" i="19"/>
  <c r="AG34" i="19"/>
  <c r="AR38" i="19"/>
  <c r="AR22" i="19"/>
  <c r="AG25" i="19"/>
  <c r="AR28" i="19"/>
  <c r="AG17" i="19"/>
  <c r="AG33" i="19"/>
  <c r="AR17" i="19"/>
  <c r="AR35" i="19"/>
  <c r="AG39" i="19"/>
  <c r="AR32" i="19"/>
  <c r="AR24" i="19"/>
  <c r="AR33" i="19"/>
  <c r="AR37" i="19"/>
  <c r="AR39" i="19"/>
  <c r="AG40" i="19"/>
  <c r="AG23" i="19"/>
  <c r="AR27" i="19"/>
  <c r="AR17" i="16"/>
  <c r="AR31" i="17"/>
  <c r="AR39" i="17"/>
  <c r="AR34" i="17"/>
  <c r="AR39" i="18"/>
  <c r="AR38" i="18"/>
  <c r="AR21" i="18"/>
  <c r="AR26" i="18"/>
  <c r="AG32" i="18"/>
  <c r="AG30" i="18"/>
  <c r="AG20" i="18"/>
  <c r="AR18" i="18"/>
  <c r="AG35" i="18"/>
  <c r="AG27" i="18"/>
  <c r="AG39" i="18"/>
  <c r="AR27" i="18"/>
  <c r="AR20" i="18"/>
  <c r="AG28" i="18"/>
  <c r="AG40" i="18"/>
  <c r="AG18" i="18"/>
  <c r="AR25" i="18"/>
  <c r="AR30" i="18"/>
  <c r="AR16" i="18"/>
  <c r="AR23" i="18"/>
  <c r="AR29" i="18"/>
  <c r="AR40" i="18"/>
  <c r="AR28" i="18"/>
  <c r="AG34" i="18"/>
  <c r="AR17" i="18"/>
  <c r="AG33" i="18"/>
  <c r="AR24" i="18"/>
  <c r="AR33" i="18"/>
  <c r="AG25" i="18"/>
  <c r="AG29" i="18"/>
  <c r="AG36" i="18"/>
  <c r="AG23" i="18"/>
  <c r="AG24" i="18"/>
  <c r="AG38" i="18"/>
  <c r="AR22" i="18"/>
  <c r="AG19" i="18"/>
  <c r="AG37" i="18"/>
  <c r="AR35" i="18"/>
  <c r="AR19" i="18"/>
  <c r="AR32" i="18"/>
  <c r="AR36" i="18"/>
  <c r="AG29" i="17"/>
  <c r="AG24" i="17"/>
  <c r="AR40" i="17"/>
  <c r="AG32" i="17"/>
  <c r="AG37" i="17"/>
  <c r="AG22" i="17"/>
  <c r="AG30" i="17"/>
  <c r="AG31" i="17"/>
  <c r="AG26" i="17"/>
  <c r="AG20" i="17"/>
  <c r="AR19" i="17"/>
  <c r="AR27" i="17"/>
  <c r="AR33" i="17"/>
  <c r="AG38" i="17"/>
  <c r="AR32" i="17"/>
  <c r="AG25" i="17"/>
  <c r="AR24" i="17"/>
  <c r="AG39" i="17"/>
  <c r="AG36" i="17"/>
  <c r="AR21" i="17"/>
  <c r="AG40" i="17"/>
  <c r="AR38" i="17"/>
  <c r="AR17" i="17"/>
  <c r="AG33" i="17"/>
  <c r="AR18" i="17"/>
  <c r="AR20" i="17"/>
  <c r="AR22" i="17"/>
  <c r="AR23" i="17"/>
  <c r="AR36" i="17"/>
  <c r="AG17" i="17"/>
  <c r="AR28" i="17"/>
  <c r="AG27" i="17"/>
  <c r="AG35" i="17"/>
  <c r="AG21" i="17"/>
  <c r="AG34" i="17"/>
  <c r="AR26" i="17"/>
  <c r="AR29" i="17"/>
  <c r="AR37" i="17"/>
  <c r="AG28" i="17"/>
  <c r="AR30" i="17"/>
  <c r="AR38" i="16"/>
  <c r="AR40" i="16"/>
  <c r="AR34" i="16"/>
  <c r="AR28" i="16"/>
  <c r="AG17" i="16"/>
  <c r="AR20" i="16"/>
  <c r="AR18" i="16"/>
  <c r="AG16" i="16"/>
  <c r="AG40" i="16"/>
  <c r="AG27" i="16"/>
  <c r="AG24" i="16"/>
  <c r="AG21" i="16"/>
  <c r="AG37" i="16"/>
  <c r="AG28" i="16"/>
  <c r="AG31" i="16"/>
  <c r="AG25" i="16"/>
  <c r="AG23" i="16"/>
  <c r="AR19" i="16"/>
  <c r="AR37" i="16"/>
  <c r="AG35" i="16"/>
  <c r="AG36" i="16"/>
  <c r="AR32" i="16"/>
  <c r="AG26" i="16"/>
  <c r="AR23" i="16"/>
  <c r="AG20" i="16"/>
  <c r="AR27" i="16"/>
  <c r="AR21" i="16"/>
  <c r="AG30" i="16"/>
  <c r="AG38" i="16"/>
  <c r="AR33" i="16"/>
  <c r="AG33" i="16"/>
  <c r="AR31" i="16"/>
  <c r="AG22" i="16"/>
  <c r="AR30" i="16"/>
  <c r="AG32" i="16"/>
  <c r="AG39" i="16"/>
  <c r="AG29" i="16"/>
  <c r="AR16" i="16"/>
  <c r="AR24" i="16"/>
  <c r="AR35" i="16"/>
  <c r="AR25" i="16"/>
  <c r="AR36" i="16"/>
  <c r="AG34" i="16"/>
  <c r="AG18" i="16"/>
  <c r="AG31" i="15"/>
  <c r="AG38" i="15"/>
  <c r="AG20" i="15"/>
  <c r="AG16" i="15"/>
  <c r="AR17" i="15"/>
  <c r="AG34" i="15"/>
  <c r="AG18" i="15"/>
  <c r="AR28" i="15"/>
  <c r="AR30" i="15"/>
  <c r="AR33" i="15"/>
  <c r="AR36" i="15"/>
  <c r="AR24" i="15"/>
  <c r="AR20" i="15"/>
  <c r="AR32" i="15"/>
  <c r="AG30" i="15"/>
  <c r="AR16" i="15"/>
  <c r="AR25" i="15"/>
  <c r="AR34" i="15"/>
  <c r="AR21" i="15"/>
  <c r="AR35" i="15"/>
  <c r="AR23" i="15"/>
  <c r="AR37" i="15"/>
  <c r="AR18" i="15"/>
  <c r="AR29" i="15"/>
  <c r="AG36" i="15"/>
  <c r="AR19" i="15"/>
  <c r="AR22" i="15"/>
  <c r="AR27" i="15"/>
  <c r="AR26" i="15"/>
  <c r="AR31" i="15"/>
  <c r="AR38" i="15"/>
  <c r="AR40" i="15"/>
  <c r="AG22" i="15"/>
  <c r="AG26" i="15"/>
  <c r="AG25" i="15"/>
  <c r="AG23" i="15"/>
  <c r="AG17" i="15"/>
  <c r="AG35" i="15"/>
  <c r="AG33" i="15"/>
  <c r="AG39" i="15"/>
  <c r="AG29" i="15"/>
  <c r="AG21" i="15"/>
  <c r="AG19" i="15"/>
  <c r="AG27" i="15"/>
  <c r="AG32" i="15"/>
  <c r="AG37" i="15"/>
  <c r="AG28" i="15"/>
  <c r="AG40" i="15"/>
  <c r="AG24" i="15"/>
  <c r="B20" i="22" l="1"/>
  <c r="B38" i="22"/>
  <c r="B18" i="22"/>
  <c r="B30" i="22"/>
  <c r="B31" i="22"/>
  <c r="B35" i="22"/>
  <c r="B37" i="22"/>
  <c r="B34" i="22"/>
  <c r="B17" i="22"/>
  <c r="B23" i="22"/>
  <c r="B39" i="22"/>
  <c r="B27" i="22"/>
  <c r="B22" i="22"/>
  <c r="B36" i="22"/>
  <c r="B28" i="22"/>
  <c r="B26" i="22"/>
  <c r="B29" i="22"/>
  <c r="B21" i="22"/>
  <c r="B40" i="22"/>
  <c r="B16" i="22"/>
  <c r="B25" i="22"/>
  <c r="B32" i="22"/>
  <c r="B24" i="22"/>
  <c r="B33" i="22"/>
  <c r="B19" i="22"/>
  <c r="B35" i="21"/>
  <c r="B33" i="21"/>
  <c r="B39" i="21"/>
  <c r="B40" i="21"/>
  <c r="B38" i="21"/>
  <c r="B34" i="21"/>
  <c r="B32" i="21"/>
  <c r="B36" i="21"/>
  <c r="B37" i="21"/>
  <c r="B23" i="21"/>
  <c r="B20" i="21"/>
  <c r="B31" i="21"/>
  <c r="B30" i="21"/>
  <c r="B22" i="21"/>
  <c r="B16" i="21"/>
  <c r="B19" i="21"/>
  <c r="B28" i="21"/>
  <c r="B27" i="21"/>
  <c r="B26" i="21"/>
  <c r="B29" i="21"/>
  <c r="B17" i="21"/>
  <c r="B18" i="21"/>
  <c r="B24" i="21"/>
  <c r="B25" i="21"/>
  <c r="B21" i="21"/>
  <c r="B40" i="20"/>
  <c r="B31" i="20"/>
  <c r="B25" i="20"/>
  <c r="B18" i="20"/>
  <c r="B28" i="20"/>
  <c r="B35" i="20"/>
  <c r="B23" i="20"/>
  <c r="B21" i="20"/>
  <c r="B32" i="20"/>
  <c r="B24" i="20"/>
  <c r="B17" i="20"/>
  <c r="B39" i="20"/>
  <c r="B33" i="20"/>
  <c r="B26" i="20"/>
  <c r="B19" i="20"/>
  <c r="B38" i="20"/>
  <c r="B22" i="20"/>
  <c r="B36" i="20"/>
  <c r="B37" i="20"/>
  <c r="B20" i="20"/>
  <c r="B29" i="20"/>
  <c r="B30" i="20"/>
  <c r="B16" i="20"/>
  <c r="B34" i="20"/>
  <c r="B27" i="20"/>
  <c r="B30" i="19"/>
  <c r="B21" i="19"/>
  <c r="B34" i="19"/>
  <c r="B26" i="19"/>
  <c r="B23" i="19"/>
  <c r="B19" i="19"/>
  <c r="B27" i="19"/>
  <c r="B39" i="19"/>
  <c r="B37" i="19"/>
  <c r="B33" i="19"/>
  <c r="B24" i="19"/>
  <c r="B32" i="19"/>
  <c r="B35" i="19"/>
  <c r="B17" i="19"/>
  <c r="B28" i="19"/>
  <c r="B22" i="19"/>
  <c r="B38" i="19"/>
  <c r="B36" i="19"/>
  <c r="B25" i="19"/>
  <c r="B31" i="19"/>
  <c r="B16" i="19"/>
  <c r="B29" i="19"/>
  <c r="B20" i="19"/>
  <c r="B40" i="19"/>
  <c r="B18" i="19"/>
  <c r="B38" i="15"/>
  <c r="B40" i="15"/>
  <c r="B37" i="15"/>
  <c r="B26" i="15"/>
  <c r="B28" i="15"/>
  <c r="B39" i="15"/>
  <c r="B24" i="15"/>
  <c r="B27" i="15"/>
  <c r="B21" i="15"/>
  <c r="B16" i="15"/>
  <c r="B35" i="15"/>
  <c r="B19" i="15"/>
  <c r="B34" i="15"/>
  <c r="B18" i="15"/>
  <c r="B33" i="15"/>
  <c r="B17" i="15"/>
  <c r="B25" i="15"/>
  <c r="B20" i="15"/>
  <c r="B22" i="15"/>
  <c r="B23" i="15"/>
  <c r="B31" i="15"/>
  <c r="B36" i="15"/>
  <c r="B30" i="15"/>
  <c r="B32" i="15"/>
  <c r="B29" i="15"/>
  <c r="B25" i="16"/>
  <c r="B25" i="17"/>
  <c r="B34" i="17"/>
  <c r="B21" i="17"/>
  <c r="B36" i="17"/>
  <c r="B31" i="18"/>
  <c r="B22" i="16"/>
  <c r="B26" i="16"/>
  <c r="B16" i="16"/>
  <c r="B28" i="16"/>
  <c r="B18" i="16"/>
  <c r="B29" i="16"/>
  <c r="B30" i="16"/>
  <c r="B31" i="16"/>
  <c r="B19" i="16"/>
  <c r="B27" i="16"/>
  <c r="B17" i="16"/>
  <c r="B23" i="16"/>
  <c r="B21" i="16"/>
  <c r="B20" i="16"/>
  <c r="B24" i="16"/>
  <c r="B40" i="17"/>
  <c r="B20" i="17"/>
  <c r="B17" i="17"/>
  <c r="B33" i="17"/>
  <c r="B16" i="17"/>
  <c r="B27" i="17"/>
  <c r="B28" i="17"/>
  <c r="B22" i="17"/>
  <c r="B32" i="17"/>
  <c r="B39" i="17"/>
  <c r="B31" i="17"/>
  <c r="B35" i="17"/>
  <c r="B37" i="17"/>
  <c r="B29" i="17"/>
  <c r="B18" i="17"/>
  <c r="B24" i="17"/>
  <c r="B38" i="17"/>
  <c r="B19" i="17"/>
  <c r="B23" i="17"/>
  <c r="B26" i="17"/>
  <c r="B30" i="17"/>
  <c r="B28" i="18"/>
  <c r="B27" i="18"/>
  <c r="B22" i="18"/>
  <c r="B23" i="18"/>
  <c r="B26" i="18"/>
  <c r="B25" i="18"/>
  <c r="B16" i="18"/>
  <c r="B24" i="18"/>
  <c r="B35" i="18"/>
  <c r="B39" i="18"/>
  <c r="B40" i="18"/>
  <c r="B33" i="18"/>
  <c r="B38" i="18"/>
  <c r="B36" i="18"/>
  <c r="B34" i="18"/>
  <c r="B17" i="18"/>
  <c r="B21" i="18"/>
  <c r="B18" i="18"/>
  <c r="B19" i="18"/>
  <c r="B29" i="18"/>
  <c r="B20" i="18"/>
  <c r="B30" i="18"/>
  <c r="B37" i="18"/>
  <c r="B32" i="18"/>
  <c r="B11" i="22" l="1"/>
  <c r="C12" i="22"/>
  <c r="B12" i="22"/>
  <c r="C12" i="21"/>
  <c r="B12" i="21"/>
  <c r="B11" i="21"/>
  <c r="C12" i="20"/>
  <c r="B12" i="20"/>
  <c r="B11" i="20"/>
  <c r="C12" i="19"/>
  <c r="B12" i="19"/>
  <c r="B11" i="19"/>
  <c r="B11" i="18"/>
  <c r="B12" i="18"/>
  <c r="C12" i="18"/>
  <c r="B11" i="17"/>
  <c r="C12" i="17"/>
  <c r="B12" i="17"/>
  <c r="C12" i="16"/>
  <c r="B12" i="16"/>
  <c r="B11" i="16"/>
  <c r="B11" i="15"/>
  <c r="C30" i="1"/>
  <c r="C29" i="1"/>
  <c r="C28" i="1"/>
  <c r="C27" i="1"/>
  <c r="C26" i="1"/>
  <c r="C25" i="1"/>
  <c r="B1" i="3" l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H20" i="9"/>
  <c r="AS13" i="14" l="1"/>
  <c r="AT13" i="14"/>
  <c r="AW13" i="14"/>
  <c r="AX13" i="14"/>
  <c r="AY13" i="14"/>
  <c r="AZ13" i="14"/>
  <c r="AR13" i="14" l="1"/>
  <c r="L40" i="14" l="1"/>
  <c r="K40" i="14"/>
  <c r="J40" i="14"/>
  <c r="I40" i="14"/>
  <c r="H40" i="14"/>
  <c r="G40" i="14"/>
  <c r="F40" i="14"/>
  <c r="E40" i="14"/>
  <c r="D40" i="14"/>
  <c r="L39" i="14"/>
  <c r="K39" i="14"/>
  <c r="J39" i="14"/>
  <c r="I39" i="14"/>
  <c r="H39" i="14"/>
  <c r="G39" i="14"/>
  <c r="BF39" i="14" s="1"/>
  <c r="F39" i="14"/>
  <c r="E39" i="14"/>
  <c r="D39" i="14"/>
  <c r="L38" i="14"/>
  <c r="K38" i="14"/>
  <c r="J38" i="14"/>
  <c r="I38" i="14"/>
  <c r="H38" i="14"/>
  <c r="G38" i="14"/>
  <c r="BF38" i="14" s="1"/>
  <c r="F38" i="14"/>
  <c r="E38" i="14"/>
  <c r="D38" i="14"/>
  <c r="L37" i="14"/>
  <c r="K37" i="14"/>
  <c r="J37" i="14"/>
  <c r="I37" i="14"/>
  <c r="H37" i="14"/>
  <c r="G37" i="14"/>
  <c r="BG37" i="14" s="1"/>
  <c r="F37" i="14"/>
  <c r="E37" i="14"/>
  <c r="D37" i="14"/>
  <c r="L36" i="14"/>
  <c r="K36" i="14"/>
  <c r="J36" i="14"/>
  <c r="I36" i="14"/>
  <c r="H36" i="14"/>
  <c r="G36" i="14"/>
  <c r="F36" i="14"/>
  <c r="E36" i="14"/>
  <c r="D36" i="14"/>
  <c r="L35" i="14"/>
  <c r="K35" i="14"/>
  <c r="J35" i="14"/>
  <c r="I35" i="14"/>
  <c r="H35" i="14"/>
  <c r="G35" i="14"/>
  <c r="F35" i="14"/>
  <c r="E35" i="14"/>
  <c r="D35" i="14"/>
  <c r="L34" i="14"/>
  <c r="K34" i="14"/>
  <c r="J34" i="14"/>
  <c r="I34" i="14"/>
  <c r="H34" i="14"/>
  <c r="G34" i="14"/>
  <c r="BF34" i="14" s="1"/>
  <c r="F34" i="14"/>
  <c r="E34" i="14"/>
  <c r="D34" i="14"/>
  <c r="L33" i="14"/>
  <c r="K33" i="14"/>
  <c r="J33" i="14"/>
  <c r="I33" i="14"/>
  <c r="H33" i="14"/>
  <c r="G33" i="14"/>
  <c r="AI33" i="14" s="1"/>
  <c r="F33" i="14"/>
  <c r="E33" i="14"/>
  <c r="D33" i="14"/>
  <c r="L32" i="14"/>
  <c r="K32" i="14"/>
  <c r="J32" i="14"/>
  <c r="I32" i="14"/>
  <c r="H32" i="14"/>
  <c r="G32" i="14"/>
  <c r="BF32" i="14" s="1"/>
  <c r="F32" i="14"/>
  <c r="E32" i="14"/>
  <c r="D32" i="14"/>
  <c r="L31" i="14"/>
  <c r="K31" i="14"/>
  <c r="J31" i="14"/>
  <c r="I31" i="14"/>
  <c r="H31" i="14"/>
  <c r="G31" i="14"/>
  <c r="BG31" i="14" s="1"/>
  <c r="F31" i="14"/>
  <c r="E31" i="14"/>
  <c r="D31" i="14"/>
  <c r="L30" i="14"/>
  <c r="K30" i="14"/>
  <c r="J30" i="14"/>
  <c r="I30" i="14"/>
  <c r="H30" i="14"/>
  <c r="G30" i="14"/>
  <c r="BG30" i="14" s="1"/>
  <c r="F30" i="14"/>
  <c r="E30" i="14"/>
  <c r="D30" i="14"/>
  <c r="L29" i="14"/>
  <c r="K29" i="14"/>
  <c r="J29" i="14"/>
  <c r="I29" i="14"/>
  <c r="H29" i="14"/>
  <c r="G29" i="14"/>
  <c r="BF29" i="14" s="1"/>
  <c r="F29" i="14"/>
  <c r="E29" i="14"/>
  <c r="D29" i="14"/>
  <c r="L28" i="14"/>
  <c r="K28" i="14"/>
  <c r="J28" i="14"/>
  <c r="I28" i="14"/>
  <c r="H28" i="14"/>
  <c r="G28" i="14"/>
  <c r="BG28" i="14" s="1"/>
  <c r="F28" i="14"/>
  <c r="E28" i="14"/>
  <c r="D28" i="14"/>
  <c r="L27" i="14"/>
  <c r="K27" i="14"/>
  <c r="J27" i="14"/>
  <c r="I27" i="14"/>
  <c r="H27" i="14"/>
  <c r="G27" i="14"/>
  <c r="BG27" i="14" s="1"/>
  <c r="F27" i="14"/>
  <c r="E27" i="14"/>
  <c r="D27" i="14"/>
  <c r="L26" i="14"/>
  <c r="K26" i="14"/>
  <c r="J26" i="14"/>
  <c r="I26" i="14"/>
  <c r="H26" i="14"/>
  <c r="G26" i="14"/>
  <c r="F26" i="14"/>
  <c r="E26" i="14"/>
  <c r="D26" i="14"/>
  <c r="L25" i="14"/>
  <c r="K25" i="14"/>
  <c r="J25" i="14"/>
  <c r="I25" i="14"/>
  <c r="H25" i="14"/>
  <c r="G25" i="14"/>
  <c r="BF25" i="14" s="1"/>
  <c r="F25" i="14"/>
  <c r="E25" i="14"/>
  <c r="D25" i="14"/>
  <c r="L24" i="14"/>
  <c r="K24" i="14"/>
  <c r="J24" i="14"/>
  <c r="I24" i="14"/>
  <c r="H24" i="14"/>
  <c r="G24" i="14"/>
  <c r="F24" i="14"/>
  <c r="E24" i="14"/>
  <c r="D24" i="14"/>
  <c r="L23" i="14"/>
  <c r="K23" i="14"/>
  <c r="J23" i="14"/>
  <c r="I23" i="14"/>
  <c r="H23" i="14"/>
  <c r="G23" i="14"/>
  <c r="AI23" i="14" s="1"/>
  <c r="F23" i="14"/>
  <c r="E23" i="14"/>
  <c r="D23" i="14"/>
  <c r="L22" i="14"/>
  <c r="K22" i="14"/>
  <c r="J22" i="14"/>
  <c r="I22" i="14"/>
  <c r="H22" i="14"/>
  <c r="G22" i="14"/>
  <c r="F22" i="14"/>
  <c r="E22" i="14"/>
  <c r="D22" i="14"/>
  <c r="L21" i="14"/>
  <c r="K21" i="14"/>
  <c r="J21" i="14"/>
  <c r="I21" i="14"/>
  <c r="H21" i="14"/>
  <c r="G21" i="14"/>
  <c r="BG21" i="14" s="1"/>
  <c r="F21" i="14"/>
  <c r="E21" i="14"/>
  <c r="D21" i="14"/>
  <c r="L20" i="14"/>
  <c r="K20" i="14"/>
  <c r="J20" i="14"/>
  <c r="I20" i="14"/>
  <c r="H20" i="14"/>
  <c r="G20" i="14"/>
  <c r="F20" i="14"/>
  <c r="E20" i="14"/>
  <c r="D20" i="14"/>
  <c r="L19" i="14"/>
  <c r="K19" i="14"/>
  <c r="J19" i="14"/>
  <c r="I19" i="14"/>
  <c r="H19" i="14"/>
  <c r="G19" i="14"/>
  <c r="F19" i="14"/>
  <c r="E19" i="14"/>
  <c r="D19" i="14"/>
  <c r="L18" i="14"/>
  <c r="K18" i="14"/>
  <c r="J18" i="14"/>
  <c r="I18" i="14"/>
  <c r="H18" i="14"/>
  <c r="G18" i="14"/>
  <c r="BG18" i="14" s="1"/>
  <c r="F18" i="14"/>
  <c r="E18" i="14"/>
  <c r="D18" i="14"/>
  <c r="L17" i="14"/>
  <c r="K17" i="14"/>
  <c r="J17" i="14"/>
  <c r="I17" i="14"/>
  <c r="H17" i="14"/>
  <c r="G17" i="14"/>
  <c r="AI17" i="14" s="1"/>
  <c r="F17" i="14"/>
  <c r="E17" i="14"/>
  <c r="D17" i="14"/>
  <c r="L16" i="14"/>
  <c r="K16" i="14"/>
  <c r="J16" i="14"/>
  <c r="I16" i="14"/>
  <c r="H16" i="14"/>
  <c r="G16" i="14"/>
  <c r="BF16" i="14" s="1"/>
  <c r="F16" i="14"/>
  <c r="E16" i="14"/>
  <c r="D16" i="14"/>
  <c r="L15" i="14"/>
  <c r="K15" i="14"/>
  <c r="J15" i="14"/>
  <c r="I15" i="14"/>
  <c r="H15" i="14"/>
  <c r="G15" i="14"/>
  <c r="F15" i="14"/>
  <c r="AB25" i="14" s="1"/>
  <c r="E15" i="14"/>
  <c r="D15" i="14"/>
  <c r="AQ13" i="14"/>
  <c r="AP13" i="14"/>
  <c r="AO13" i="14"/>
  <c r="AN13" i="14"/>
  <c r="AM13" i="14"/>
  <c r="AL13" i="14"/>
  <c r="AK13" i="14"/>
  <c r="AJ13" i="14"/>
  <c r="AI13" i="14"/>
  <c r="AH13" i="14"/>
  <c r="B9" i="14"/>
  <c r="B8" i="14"/>
  <c r="B7" i="14"/>
  <c r="B6" i="14"/>
  <c r="B5" i="14"/>
  <c r="B4" i="14"/>
  <c r="B3" i="14"/>
  <c r="B2" i="14"/>
  <c r="L40" i="13"/>
  <c r="K40" i="13"/>
  <c r="J40" i="13"/>
  <c r="I40" i="13"/>
  <c r="H40" i="13"/>
  <c r="G40" i="13"/>
  <c r="F40" i="13"/>
  <c r="E40" i="13"/>
  <c r="D40" i="13"/>
  <c r="L39" i="13"/>
  <c r="K39" i="13"/>
  <c r="J39" i="13"/>
  <c r="I39" i="13"/>
  <c r="H39" i="13"/>
  <c r="G39" i="13"/>
  <c r="F39" i="13"/>
  <c r="E39" i="13"/>
  <c r="D39" i="13"/>
  <c r="L38" i="13"/>
  <c r="K38" i="13"/>
  <c r="J38" i="13"/>
  <c r="I38" i="13"/>
  <c r="H38" i="13"/>
  <c r="G38" i="13"/>
  <c r="F38" i="13"/>
  <c r="E38" i="13"/>
  <c r="D38" i="13"/>
  <c r="L37" i="13"/>
  <c r="K37" i="13"/>
  <c r="J37" i="13"/>
  <c r="I37" i="13"/>
  <c r="H37" i="13"/>
  <c r="G37" i="13"/>
  <c r="F37" i="13"/>
  <c r="E37" i="13"/>
  <c r="D37" i="13"/>
  <c r="L36" i="13"/>
  <c r="K36" i="13"/>
  <c r="J36" i="13"/>
  <c r="I36" i="13"/>
  <c r="H36" i="13"/>
  <c r="G36" i="13"/>
  <c r="F36" i="13"/>
  <c r="E36" i="13"/>
  <c r="D36" i="13"/>
  <c r="L35" i="13"/>
  <c r="K35" i="13"/>
  <c r="J35" i="13"/>
  <c r="I35" i="13"/>
  <c r="H35" i="13"/>
  <c r="G35" i="13"/>
  <c r="F35" i="13"/>
  <c r="E35" i="13"/>
  <c r="D35" i="13"/>
  <c r="L34" i="13"/>
  <c r="K34" i="13"/>
  <c r="J34" i="13"/>
  <c r="I34" i="13"/>
  <c r="H34" i="13"/>
  <c r="G34" i="13"/>
  <c r="F34" i="13"/>
  <c r="E34" i="13"/>
  <c r="D34" i="13"/>
  <c r="L33" i="13"/>
  <c r="K33" i="13"/>
  <c r="J33" i="13"/>
  <c r="I33" i="13"/>
  <c r="H33" i="13"/>
  <c r="G33" i="13"/>
  <c r="F33" i="13"/>
  <c r="E33" i="13"/>
  <c r="D33" i="13"/>
  <c r="L32" i="13"/>
  <c r="K32" i="13"/>
  <c r="J32" i="13"/>
  <c r="I32" i="13"/>
  <c r="H32" i="13"/>
  <c r="G32" i="13"/>
  <c r="F32" i="13"/>
  <c r="E32" i="13"/>
  <c r="D32" i="13"/>
  <c r="L31" i="13"/>
  <c r="K31" i="13"/>
  <c r="J31" i="13"/>
  <c r="I31" i="13"/>
  <c r="H31" i="13"/>
  <c r="G31" i="13"/>
  <c r="F31" i="13"/>
  <c r="E31" i="13"/>
  <c r="D31" i="13"/>
  <c r="L30" i="13"/>
  <c r="K30" i="13"/>
  <c r="J30" i="13"/>
  <c r="I30" i="13"/>
  <c r="H30" i="13"/>
  <c r="G30" i="13"/>
  <c r="F30" i="13"/>
  <c r="E30" i="13"/>
  <c r="D30" i="13"/>
  <c r="L29" i="13"/>
  <c r="K29" i="13"/>
  <c r="J29" i="13"/>
  <c r="I29" i="13"/>
  <c r="H29" i="13"/>
  <c r="G29" i="13"/>
  <c r="F29" i="13"/>
  <c r="E29" i="13"/>
  <c r="D29" i="13"/>
  <c r="L28" i="13"/>
  <c r="K28" i="13"/>
  <c r="J28" i="13"/>
  <c r="I28" i="13"/>
  <c r="H28" i="13"/>
  <c r="G28" i="13"/>
  <c r="F28" i="13"/>
  <c r="E28" i="13"/>
  <c r="D28" i="13"/>
  <c r="L27" i="13"/>
  <c r="K27" i="13"/>
  <c r="J27" i="13"/>
  <c r="I27" i="13"/>
  <c r="H27" i="13"/>
  <c r="G27" i="13"/>
  <c r="F27" i="13"/>
  <c r="E27" i="13"/>
  <c r="D27" i="13"/>
  <c r="L26" i="13"/>
  <c r="K26" i="13"/>
  <c r="J26" i="13"/>
  <c r="I26" i="13"/>
  <c r="H26" i="13"/>
  <c r="G26" i="13"/>
  <c r="F26" i="13"/>
  <c r="E26" i="13"/>
  <c r="D26" i="13"/>
  <c r="L25" i="13"/>
  <c r="K25" i="13"/>
  <c r="J25" i="13"/>
  <c r="I25" i="13"/>
  <c r="H25" i="13"/>
  <c r="G25" i="13"/>
  <c r="F25" i="13"/>
  <c r="E25" i="13"/>
  <c r="D25" i="13"/>
  <c r="L24" i="13"/>
  <c r="K24" i="13"/>
  <c r="J24" i="13"/>
  <c r="I24" i="13"/>
  <c r="H24" i="13"/>
  <c r="G24" i="13"/>
  <c r="F24" i="13"/>
  <c r="E24" i="13"/>
  <c r="D24" i="13"/>
  <c r="L23" i="13"/>
  <c r="K23" i="13"/>
  <c r="J23" i="13"/>
  <c r="I23" i="13"/>
  <c r="H23" i="13"/>
  <c r="G23" i="13"/>
  <c r="F23" i="13"/>
  <c r="E23" i="13"/>
  <c r="D23" i="13"/>
  <c r="L22" i="13"/>
  <c r="K22" i="13"/>
  <c r="J22" i="13"/>
  <c r="I22" i="13"/>
  <c r="H22" i="13"/>
  <c r="G22" i="13"/>
  <c r="F22" i="13"/>
  <c r="E22" i="13"/>
  <c r="D22" i="13"/>
  <c r="L21" i="13"/>
  <c r="K21" i="13"/>
  <c r="J21" i="13"/>
  <c r="I21" i="13"/>
  <c r="H21" i="13"/>
  <c r="G21" i="13"/>
  <c r="F21" i="13"/>
  <c r="E21" i="13"/>
  <c r="D21" i="13"/>
  <c r="L20" i="13"/>
  <c r="K20" i="13"/>
  <c r="J20" i="13"/>
  <c r="I20" i="13"/>
  <c r="H20" i="13"/>
  <c r="G20" i="13"/>
  <c r="F20" i="13"/>
  <c r="E20" i="13"/>
  <c r="D20" i="13"/>
  <c r="L19" i="13"/>
  <c r="K19" i="13"/>
  <c r="J19" i="13"/>
  <c r="I19" i="13"/>
  <c r="H19" i="13"/>
  <c r="G19" i="13"/>
  <c r="F19" i="13"/>
  <c r="E19" i="13"/>
  <c r="D19" i="13"/>
  <c r="L18" i="13"/>
  <c r="K18" i="13"/>
  <c r="J18" i="13"/>
  <c r="I18" i="13"/>
  <c r="H18" i="13"/>
  <c r="G18" i="13"/>
  <c r="F18" i="13"/>
  <c r="E18" i="13"/>
  <c r="D18" i="13"/>
  <c r="L17" i="13"/>
  <c r="K17" i="13"/>
  <c r="J17" i="13"/>
  <c r="I17" i="13"/>
  <c r="H17" i="13"/>
  <c r="G17" i="13"/>
  <c r="F17" i="13"/>
  <c r="E17" i="13"/>
  <c r="D17" i="13"/>
  <c r="L16" i="13"/>
  <c r="K16" i="13"/>
  <c r="J16" i="13"/>
  <c r="I16" i="13"/>
  <c r="H16" i="13"/>
  <c r="G16" i="13"/>
  <c r="F16" i="13"/>
  <c r="E16" i="13"/>
  <c r="D16" i="13"/>
  <c r="L15" i="13"/>
  <c r="K15" i="13"/>
  <c r="J15" i="13"/>
  <c r="I15" i="13"/>
  <c r="H15" i="13"/>
  <c r="G15" i="13"/>
  <c r="F15" i="13"/>
  <c r="E15" i="13"/>
  <c r="D15" i="13"/>
  <c r="B9" i="13"/>
  <c r="B8" i="13"/>
  <c r="B7" i="13"/>
  <c r="B6" i="13"/>
  <c r="B5" i="13"/>
  <c r="B4" i="13"/>
  <c r="B3" i="13"/>
  <c r="B2" i="13"/>
  <c r="B8" i="12"/>
  <c r="B8" i="11"/>
  <c r="B8" i="10"/>
  <c r="B8" i="9"/>
  <c r="B8" i="8"/>
  <c r="B8" i="7"/>
  <c r="B8" i="6"/>
  <c r="B9" i="6"/>
  <c r="B8" i="4"/>
  <c r="B3" i="4"/>
  <c r="B4" i="4"/>
  <c r="B5" i="4"/>
  <c r="B6" i="4"/>
  <c r="B7" i="4"/>
  <c r="B9" i="4"/>
  <c r="B2" i="4"/>
  <c r="B3" i="6"/>
  <c r="B4" i="6"/>
  <c r="B5" i="6"/>
  <c r="B6" i="6"/>
  <c r="B7" i="6"/>
  <c r="B2" i="6"/>
  <c r="B3" i="7"/>
  <c r="B4" i="7"/>
  <c r="B5" i="7"/>
  <c r="B6" i="7"/>
  <c r="B7" i="7"/>
  <c r="B9" i="7"/>
  <c r="B2" i="7"/>
  <c r="B3" i="8"/>
  <c r="B4" i="8"/>
  <c r="B5" i="8"/>
  <c r="B6" i="8"/>
  <c r="B7" i="8"/>
  <c r="B9" i="8"/>
  <c r="B2" i="8"/>
  <c r="B3" i="9"/>
  <c r="B4" i="9"/>
  <c r="B5" i="9"/>
  <c r="B6" i="9"/>
  <c r="B7" i="9"/>
  <c r="B9" i="9"/>
  <c r="B2" i="9"/>
  <c r="B3" i="10"/>
  <c r="B4" i="10"/>
  <c r="B5" i="10"/>
  <c r="B6" i="10"/>
  <c r="B7" i="10"/>
  <c r="B9" i="10"/>
  <c r="B2" i="10"/>
  <c r="B3" i="11"/>
  <c r="B4" i="11"/>
  <c r="B5" i="11"/>
  <c r="B6" i="11"/>
  <c r="B7" i="11"/>
  <c r="B9" i="11"/>
  <c r="B2" i="11"/>
  <c r="B3" i="12"/>
  <c r="B4" i="12"/>
  <c r="B5" i="12"/>
  <c r="B6" i="12"/>
  <c r="B7" i="12"/>
  <c r="B9" i="12"/>
  <c r="B2" i="12"/>
  <c r="Y39" i="14"/>
  <c r="V39" i="14"/>
  <c r="Y35" i="14"/>
  <c r="V35" i="14"/>
  <c r="Y31" i="14"/>
  <c r="V31" i="14"/>
  <c r="Y27" i="14"/>
  <c r="V27" i="14"/>
  <c r="Y23" i="14"/>
  <c r="V23" i="14"/>
  <c r="Y19" i="14"/>
  <c r="V19" i="14"/>
  <c r="P22" i="14"/>
  <c r="P17" i="14"/>
  <c r="P21" i="14"/>
  <c r="P25" i="14"/>
  <c r="P26" i="14"/>
  <c r="P16" i="14"/>
  <c r="P20" i="14"/>
  <c r="P24" i="14"/>
  <c r="P28" i="14"/>
  <c r="P18" i="14"/>
  <c r="P19" i="14"/>
  <c r="P23" i="14"/>
  <c r="P27" i="14"/>
  <c r="P30" i="14"/>
  <c r="P32" i="14"/>
  <c r="P33" i="14"/>
  <c r="P34" i="14"/>
  <c r="P37" i="14"/>
  <c r="P38" i="14"/>
  <c r="P40" i="14"/>
  <c r="P29" i="14"/>
  <c r="P31" i="14"/>
  <c r="P35" i="14"/>
  <c r="P36" i="14"/>
  <c r="P39" i="14"/>
  <c r="P15" i="14"/>
  <c r="Q15" i="14" s="1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Y39" i="13"/>
  <c r="V39" i="13"/>
  <c r="P19" i="13"/>
  <c r="P20" i="13"/>
  <c r="P18" i="13"/>
  <c r="P22" i="13"/>
  <c r="P16" i="13"/>
  <c r="P17" i="13"/>
  <c r="P21" i="13"/>
  <c r="P24" i="13"/>
  <c r="P27" i="13"/>
  <c r="P30" i="13"/>
  <c r="P34" i="13"/>
  <c r="P36" i="13"/>
  <c r="P38" i="13"/>
  <c r="P25" i="13"/>
  <c r="P28" i="13"/>
  <c r="P31" i="13"/>
  <c r="P33" i="13"/>
  <c r="P35" i="13"/>
  <c r="P39" i="13"/>
  <c r="P15" i="13"/>
  <c r="Q15" i="13" s="1"/>
  <c r="P23" i="13"/>
  <c r="P26" i="13"/>
  <c r="P29" i="13"/>
  <c r="P32" i="13"/>
  <c r="P37" i="13"/>
  <c r="P40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Y38" i="14"/>
  <c r="V38" i="14"/>
  <c r="Y34" i="14"/>
  <c r="V34" i="14"/>
  <c r="Y30" i="14"/>
  <c r="V30" i="14"/>
  <c r="Y26" i="14"/>
  <c r="V26" i="14"/>
  <c r="Y22" i="14"/>
  <c r="V22" i="14"/>
  <c r="Y18" i="14"/>
  <c r="V18" i="14"/>
  <c r="Y38" i="13"/>
  <c r="V38" i="13"/>
  <c r="Y34" i="13"/>
  <c r="V34" i="13"/>
  <c r="Y30" i="13"/>
  <c r="V30" i="13"/>
  <c r="Y26" i="13"/>
  <c r="V26" i="13"/>
  <c r="Y22" i="13"/>
  <c r="V22" i="13"/>
  <c r="Y18" i="13"/>
  <c r="V18" i="13"/>
  <c r="Y40" i="14"/>
  <c r="V40" i="14"/>
  <c r="Y36" i="14"/>
  <c r="V36" i="14"/>
  <c r="Y28" i="14"/>
  <c r="V28" i="14"/>
  <c r="Y20" i="14"/>
  <c r="V20" i="14"/>
  <c r="Y32" i="13"/>
  <c r="V32" i="13"/>
  <c r="Y28" i="13"/>
  <c r="V28" i="13"/>
  <c r="Y16" i="13"/>
  <c r="V16" i="13"/>
  <c r="Y35" i="13"/>
  <c r="V35" i="13"/>
  <c r="Y19" i="13"/>
  <c r="V19" i="13"/>
  <c r="Y37" i="14"/>
  <c r="V37" i="14"/>
  <c r="Y33" i="14"/>
  <c r="V33" i="14"/>
  <c r="Y29" i="14"/>
  <c r="V29" i="14"/>
  <c r="Y25" i="14"/>
  <c r="V25" i="14"/>
  <c r="Y21" i="14"/>
  <c r="V21" i="14"/>
  <c r="Y17" i="14"/>
  <c r="V17" i="14"/>
  <c r="Y37" i="13"/>
  <c r="V37" i="13"/>
  <c r="Y33" i="13"/>
  <c r="V33" i="13"/>
  <c r="Y29" i="13"/>
  <c r="V29" i="13"/>
  <c r="Y25" i="13"/>
  <c r="V25" i="13"/>
  <c r="Y21" i="13"/>
  <c r="V21" i="13"/>
  <c r="Y17" i="13"/>
  <c r="V17" i="13"/>
  <c r="Y32" i="14"/>
  <c r="V32" i="14"/>
  <c r="Y24" i="14"/>
  <c r="V24" i="14"/>
  <c r="Y16" i="14"/>
  <c r="V16" i="14"/>
  <c r="Y40" i="13"/>
  <c r="V40" i="13"/>
  <c r="Y36" i="13"/>
  <c r="V36" i="13"/>
  <c r="Y24" i="13"/>
  <c r="V24" i="13"/>
  <c r="Y20" i="13"/>
  <c r="V20" i="13"/>
  <c r="Y23" i="13"/>
  <c r="V23" i="13"/>
  <c r="Y31" i="13"/>
  <c r="V31" i="13"/>
  <c r="Y27" i="13"/>
  <c r="V27" i="13"/>
  <c r="AH40" i="13"/>
  <c r="Z39" i="14"/>
  <c r="AA39" i="14"/>
  <c r="W39" i="14"/>
  <c r="X39" i="14"/>
  <c r="Z35" i="14"/>
  <c r="AA35" i="14"/>
  <c r="W35" i="14"/>
  <c r="X35" i="14"/>
  <c r="Z31" i="14"/>
  <c r="AA31" i="14"/>
  <c r="W31" i="14"/>
  <c r="X31" i="14"/>
  <c r="Z27" i="14"/>
  <c r="AA27" i="14"/>
  <c r="W27" i="14"/>
  <c r="X27" i="14"/>
  <c r="Z23" i="14"/>
  <c r="AA23" i="14"/>
  <c r="W23" i="14"/>
  <c r="X23" i="14"/>
  <c r="Z19" i="14"/>
  <c r="AA19" i="14"/>
  <c r="W19" i="14"/>
  <c r="X19" i="14"/>
  <c r="Q22" i="14"/>
  <c r="R22" i="14"/>
  <c r="Q17" i="14"/>
  <c r="R17" i="14"/>
  <c r="Q21" i="14"/>
  <c r="R21" i="14"/>
  <c r="Q25" i="14"/>
  <c r="R25" i="14"/>
  <c r="Q26" i="14"/>
  <c r="R26" i="14"/>
  <c r="Q16" i="14"/>
  <c r="R16" i="14"/>
  <c r="Q20" i="14"/>
  <c r="R20" i="14"/>
  <c r="R24" i="14"/>
  <c r="Q24" i="14"/>
  <c r="Q28" i="14"/>
  <c r="R28" i="14"/>
  <c r="Q18" i="14"/>
  <c r="R18" i="14"/>
  <c r="Q19" i="14"/>
  <c r="R19" i="14"/>
  <c r="R23" i="14"/>
  <c r="Q23" i="14"/>
  <c r="Q27" i="14"/>
  <c r="R27" i="14"/>
  <c r="Q30" i="14"/>
  <c r="R30" i="14"/>
  <c r="Q32" i="14"/>
  <c r="R32" i="14"/>
  <c r="R33" i="14"/>
  <c r="Q33" i="14"/>
  <c r="Q34" i="14"/>
  <c r="R34" i="14"/>
  <c r="Q37" i="14"/>
  <c r="R37" i="14"/>
  <c r="Q38" i="14"/>
  <c r="R38" i="14"/>
  <c r="Q40" i="14"/>
  <c r="R40" i="14"/>
  <c r="R29" i="14"/>
  <c r="Q29" i="14"/>
  <c r="Q31" i="14"/>
  <c r="R31" i="14"/>
  <c r="Q35" i="14"/>
  <c r="R35" i="14"/>
  <c r="Q36" i="14"/>
  <c r="R36" i="14"/>
  <c r="R39" i="14"/>
  <c r="Q39" i="14"/>
  <c r="U16" i="14"/>
  <c r="T16" i="14"/>
  <c r="T17" i="14"/>
  <c r="U17" i="14"/>
  <c r="U18" i="14"/>
  <c r="T18" i="14"/>
  <c r="T19" i="14"/>
  <c r="U19" i="14"/>
  <c r="U20" i="14"/>
  <c r="T20" i="14"/>
  <c r="T21" i="14"/>
  <c r="U21" i="14"/>
  <c r="U22" i="14"/>
  <c r="T22" i="14"/>
  <c r="T23" i="14"/>
  <c r="U23" i="14"/>
  <c r="U24" i="14"/>
  <c r="T24" i="14"/>
  <c r="T25" i="14"/>
  <c r="U25" i="14"/>
  <c r="U26" i="14"/>
  <c r="T26" i="14"/>
  <c r="T27" i="14"/>
  <c r="U27" i="14"/>
  <c r="U28" i="14"/>
  <c r="T28" i="14"/>
  <c r="U29" i="14"/>
  <c r="T29" i="14"/>
  <c r="U30" i="14"/>
  <c r="T30" i="14"/>
  <c r="U31" i="14"/>
  <c r="T31" i="14"/>
  <c r="T32" i="14"/>
  <c r="U32" i="14"/>
  <c r="U33" i="14"/>
  <c r="T33" i="14"/>
  <c r="U34" i="14"/>
  <c r="T34" i="14"/>
  <c r="T35" i="14"/>
  <c r="U35" i="14"/>
  <c r="U36" i="14"/>
  <c r="T36" i="14"/>
  <c r="T37" i="14"/>
  <c r="U37" i="14"/>
  <c r="U38" i="14"/>
  <c r="T38" i="14"/>
  <c r="T39" i="14"/>
  <c r="U39" i="14"/>
  <c r="U40" i="14"/>
  <c r="T40" i="14"/>
  <c r="Z39" i="13"/>
  <c r="AA39" i="13"/>
  <c r="W39" i="13"/>
  <c r="X39" i="13"/>
  <c r="Q19" i="13"/>
  <c r="R19" i="13"/>
  <c r="Q20" i="13"/>
  <c r="R20" i="13"/>
  <c r="Q18" i="13"/>
  <c r="R18" i="13"/>
  <c r="Q22" i="13"/>
  <c r="R22" i="13"/>
  <c r="Q16" i="13"/>
  <c r="R16" i="13"/>
  <c r="Q17" i="13"/>
  <c r="R17" i="13"/>
  <c r="Q21" i="13"/>
  <c r="R21" i="13"/>
  <c r="Q24" i="13"/>
  <c r="R24" i="13"/>
  <c r="Q27" i="13"/>
  <c r="R27" i="13"/>
  <c r="Q30" i="13"/>
  <c r="R30" i="13"/>
  <c r="Q34" i="13"/>
  <c r="R34" i="13"/>
  <c r="Q36" i="13"/>
  <c r="R36" i="13"/>
  <c r="Q38" i="13"/>
  <c r="R38" i="13"/>
  <c r="Q25" i="13"/>
  <c r="R25" i="13"/>
  <c r="Q28" i="13"/>
  <c r="R28" i="13"/>
  <c r="Q31" i="13"/>
  <c r="R31" i="13"/>
  <c r="Q33" i="13"/>
  <c r="R33" i="13"/>
  <c r="Q35" i="13"/>
  <c r="R35" i="13"/>
  <c r="Q39" i="13"/>
  <c r="R39" i="13"/>
  <c r="R23" i="13"/>
  <c r="Q23" i="13"/>
  <c r="Q26" i="13"/>
  <c r="R26" i="13"/>
  <c r="R29" i="13"/>
  <c r="Q29" i="13"/>
  <c r="Q32" i="13"/>
  <c r="R32" i="13"/>
  <c r="R37" i="13"/>
  <c r="Q37" i="13"/>
  <c r="Q40" i="13"/>
  <c r="R40" i="13"/>
  <c r="U16" i="13"/>
  <c r="T16" i="13"/>
  <c r="T17" i="13"/>
  <c r="U17" i="13"/>
  <c r="U18" i="13"/>
  <c r="T18" i="13"/>
  <c r="T19" i="13"/>
  <c r="U19" i="13"/>
  <c r="U20" i="13"/>
  <c r="T20" i="13"/>
  <c r="T21" i="13"/>
  <c r="U21" i="13"/>
  <c r="T22" i="13"/>
  <c r="U22" i="13"/>
  <c r="U23" i="13"/>
  <c r="T23" i="13"/>
  <c r="T24" i="13"/>
  <c r="U24" i="13"/>
  <c r="U25" i="13"/>
  <c r="T25" i="13"/>
  <c r="T26" i="13"/>
  <c r="U26" i="13"/>
  <c r="U27" i="13"/>
  <c r="T27" i="13"/>
  <c r="U28" i="13"/>
  <c r="T28" i="13"/>
  <c r="U29" i="13"/>
  <c r="T29" i="13"/>
  <c r="T30" i="13"/>
  <c r="U30" i="13"/>
  <c r="T31" i="13"/>
  <c r="U31" i="13"/>
  <c r="U32" i="13"/>
  <c r="T32" i="13"/>
  <c r="U33" i="13"/>
  <c r="T33" i="13"/>
  <c r="T34" i="13"/>
  <c r="U34" i="13"/>
  <c r="U35" i="13"/>
  <c r="T35" i="13"/>
  <c r="T36" i="13"/>
  <c r="U36" i="13"/>
  <c r="U37" i="13"/>
  <c r="T37" i="13"/>
  <c r="U38" i="13"/>
  <c r="T38" i="13"/>
  <c r="U39" i="13"/>
  <c r="T39" i="13"/>
  <c r="U40" i="13"/>
  <c r="T40" i="13"/>
  <c r="Z38" i="14"/>
  <c r="AA38" i="14"/>
  <c r="X38" i="14"/>
  <c r="W38" i="14"/>
  <c r="Z34" i="14"/>
  <c r="AA34" i="14"/>
  <c r="X34" i="14"/>
  <c r="W34" i="14"/>
  <c r="Z30" i="14"/>
  <c r="AA30" i="14"/>
  <c r="X30" i="14"/>
  <c r="W30" i="14"/>
  <c r="Z26" i="14"/>
  <c r="AA26" i="14"/>
  <c r="X26" i="14"/>
  <c r="W26" i="14"/>
  <c r="Z22" i="14"/>
  <c r="AA22" i="14"/>
  <c r="X22" i="14"/>
  <c r="W22" i="14"/>
  <c r="Z18" i="14"/>
  <c r="AA18" i="14"/>
  <c r="X18" i="14"/>
  <c r="W18" i="14"/>
  <c r="Z38" i="13"/>
  <c r="AA38" i="13"/>
  <c r="X38" i="13"/>
  <c r="W38" i="13"/>
  <c r="Z34" i="13"/>
  <c r="AA34" i="13"/>
  <c r="X34" i="13"/>
  <c r="W34" i="13"/>
  <c r="Z30" i="13"/>
  <c r="AA30" i="13"/>
  <c r="X30" i="13"/>
  <c r="W30" i="13"/>
  <c r="Z26" i="13"/>
  <c r="AA26" i="13"/>
  <c r="X26" i="13"/>
  <c r="W26" i="13"/>
  <c r="Z22" i="13"/>
  <c r="AA22" i="13"/>
  <c r="X22" i="13"/>
  <c r="W22" i="13"/>
  <c r="Z18" i="13"/>
  <c r="AA18" i="13"/>
  <c r="X18" i="13"/>
  <c r="W18" i="13"/>
  <c r="Z40" i="14"/>
  <c r="AA40" i="14"/>
  <c r="X40" i="14"/>
  <c r="W40" i="14"/>
  <c r="Z36" i="14"/>
  <c r="AA36" i="14"/>
  <c r="X36" i="14"/>
  <c r="W36" i="14"/>
  <c r="Z28" i="14"/>
  <c r="AA28" i="14"/>
  <c r="X28" i="14"/>
  <c r="W28" i="14"/>
  <c r="Z20" i="14"/>
  <c r="AA20" i="14"/>
  <c r="X20" i="14"/>
  <c r="W20" i="14"/>
  <c r="Z32" i="13"/>
  <c r="AA32" i="13"/>
  <c r="X32" i="13"/>
  <c r="W32" i="13"/>
  <c r="Z28" i="13"/>
  <c r="AA28" i="13"/>
  <c r="X28" i="13"/>
  <c r="W28" i="13"/>
  <c r="Z16" i="13"/>
  <c r="AA16" i="13"/>
  <c r="X16" i="13"/>
  <c r="W16" i="13"/>
  <c r="Z35" i="13"/>
  <c r="AA35" i="13"/>
  <c r="W35" i="13"/>
  <c r="X35" i="13"/>
  <c r="Z19" i="13"/>
  <c r="AA19" i="13"/>
  <c r="W19" i="13"/>
  <c r="X19" i="13"/>
  <c r="AA37" i="14"/>
  <c r="Z37" i="14"/>
  <c r="W37" i="14"/>
  <c r="X37" i="14"/>
  <c r="AA33" i="14"/>
  <c r="Z33" i="14"/>
  <c r="W33" i="14"/>
  <c r="X33" i="14"/>
  <c r="AA29" i="14"/>
  <c r="Z29" i="14"/>
  <c r="W29" i="14"/>
  <c r="X29" i="14"/>
  <c r="AA25" i="14"/>
  <c r="Z25" i="14"/>
  <c r="W25" i="14"/>
  <c r="X25" i="14"/>
  <c r="AA21" i="14"/>
  <c r="Z21" i="14"/>
  <c r="W21" i="14"/>
  <c r="X21" i="14"/>
  <c r="AA17" i="14"/>
  <c r="Z17" i="14"/>
  <c r="W17" i="14"/>
  <c r="X17" i="14"/>
  <c r="Z37" i="13"/>
  <c r="AA37" i="13"/>
  <c r="W37" i="13"/>
  <c r="X37" i="13"/>
  <c r="Z33" i="13"/>
  <c r="AA33" i="13"/>
  <c r="W33" i="13"/>
  <c r="X33" i="13"/>
  <c r="Z29" i="13"/>
  <c r="AA29" i="13"/>
  <c r="W29" i="13"/>
  <c r="X29" i="13"/>
  <c r="Z25" i="13"/>
  <c r="AA25" i="13"/>
  <c r="W25" i="13"/>
  <c r="X25" i="13"/>
  <c r="Z21" i="13"/>
  <c r="AA21" i="13"/>
  <c r="W21" i="13"/>
  <c r="X21" i="13"/>
  <c r="Z17" i="13"/>
  <c r="AA17" i="13"/>
  <c r="W17" i="13"/>
  <c r="X17" i="13"/>
  <c r="Z32" i="14"/>
  <c r="AA32" i="14"/>
  <c r="X32" i="14"/>
  <c r="W32" i="14"/>
  <c r="Z24" i="14"/>
  <c r="AA24" i="14"/>
  <c r="X24" i="14"/>
  <c r="W24" i="14"/>
  <c r="Z16" i="14"/>
  <c r="AA16" i="14"/>
  <c r="X16" i="14"/>
  <c r="W16" i="14"/>
  <c r="Z40" i="13"/>
  <c r="AA40" i="13"/>
  <c r="X40" i="13"/>
  <c r="W40" i="13"/>
  <c r="Z36" i="13"/>
  <c r="AA36" i="13"/>
  <c r="X36" i="13"/>
  <c r="W36" i="13"/>
  <c r="Z24" i="13"/>
  <c r="AA24" i="13"/>
  <c r="X24" i="13"/>
  <c r="W24" i="13"/>
  <c r="Z20" i="13"/>
  <c r="AA20" i="13"/>
  <c r="X20" i="13"/>
  <c r="W20" i="13"/>
  <c r="Z23" i="13"/>
  <c r="AA23" i="13"/>
  <c r="W23" i="13"/>
  <c r="X23" i="13"/>
  <c r="Z31" i="13"/>
  <c r="AA31" i="13"/>
  <c r="W31" i="13"/>
  <c r="X31" i="13"/>
  <c r="Z27" i="13"/>
  <c r="AA27" i="13"/>
  <c r="W27" i="13"/>
  <c r="X27" i="13"/>
  <c r="B15" i="14" l="1"/>
  <c r="AV17" i="14"/>
  <c r="AV33" i="14"/>
  <c r="AV35" i="14"/>
  <c r="AV18" i="14"/>
  <c r="AV34" i="14"/>
  <c r="AV39" i="14"/>
  <c r="AV16" i="14"/>
  <c r="AV29" i="14"/>
  <c r="AV36" i="14"/>
  <c r="AV31" i="14"/>
  <c r="AV21" i="14"/>
  <c r="AV37" i="14"/>
  <c r="AV24" i="14"/>
  <c r="AV22" i="14"/>
  <c r="AV38" i="14"/>
  <c r="AV20" i="14"/>
  <c r="AV27" i="14"/>
  <c r="AV30" i="14"/>
  <c r="AV40" i="14"/>
  <c r="AV25" i="14"/>
  <c r="AV23" i="14"/>
  <c r="AV28" i="14"/>
  <c r="AV26" i="14"/>
  <c r="AV19" i="14"/>
  <c r="AV32" i="14"/>
  <c r="AO17" i="14"/>
  <c r="AP39" i="13"/>
  <c r="AH36" i="13"/>
  <c r="AP35" i="13"/>
  <c r="AH32" i="13"/>
  <c r="AP31" i="13"/>
  <c r="AH28" i="13"/>
  <c r="AP27" i="13"/>
  <c r="AH24" i="13"/>
  <c r="AP23" i="13"/>
  <c r="AH20" i="13"/>
  <c r="AP19" i="13"/>
  <c r="AH16" i="13"/>
  <c r="AP26" i="13"/>
  <c r="AH23" i="13"/>
  <c r="AP22" i="13"/>
  <c r="AH19" i="13"/>
  <c r="AH39" i="13"/>
  <c r="AP38" i="13"/>
  <c r="AH35" i="13"/>
  <c r="AP34" i="13"/>
  <c r="AH31" i="13"/>
  <c r="AP30" i="13"/>
  <c r="AH27" i="13"/>
  <c r="AH38" i="13"/>
  <c r="AP37" i="13"/>
  <c r="AH34" i="13"/>
  <c r="AP33" i="13"/>
  <c r="AH30" i="13"/>
  <c r="AP29" i="13"/>
  <c r="AH26" i="13"/>
  <c r="AP25" i="13"/>
  <c r="AH22" i="13"/>
  <c r="AP21" i="13"/>
  <c r="AH18" i="13"/>
  <c r="AP17" i="13"/>
  <c r="AP20" i="13"/>
  <c r="AH17" i="13"/>
  <c r="AP16" i="13"/>
  <c r="AP40" i="13"/>
  <c r="AH37" i="13"/>
  <c r="AP36" i="13"/>
  <c r="AH33" i="13"/>
  <c r="AP32" i="13"/>
  <c r="AH29" i="13"/>
  <c r="AP28" i="13"/>
  <c r="AH25" i="13"/>
  <c r="AP24" i="13"/>
  <c r="AH21" i="13"/>
  <c r="AP18" i="13"/>
  <c r="BH17" i="13"/>
  <c r="AP18" i="14"/>
  <c r="AP23" i="14"/>
  <c r="BE17" i="13"/>
  <c r="BQ23" i="14"/>
  <c r="AP37" i="14"/>
  <c r="AP32" i="14"/>
  <c r="BP19" i="14"/>
  <c r="BP16" i="13"/>
  <c r="BP24" i="14"/>
  <c r="BP17" i="14"/>
  <c r="AP27" i="14"/>
  <c r="BP27" i="14"/>
  <c r="BP18" i="14"/>
  <c r="BQ33" i="14"/>
  <c r="BP30" i="14"/>
  <c r="AP17" i="14"/>
  <c r="BC31" i="14" l="1"/>
  <c r="BC33" i="14"/>
  <c r="BC26" i="14"/>
  <c r="BC38" i="14"/>
  <c r="BC31" i="13"/>
  <c r="BC28" i="13"/>
  <c r="BC26" i="13"/>
  <c r="BC25" i="14"/>
  <c r="BC16" i="14"/>
  <c r="BC30" i="14"/>
  <c r="BC19" i="14"/>
  <c r="BC35" i="13"/>
  <c r="BC33" i="13"/>
  <c r="BC27" i="13"/>
  <c r="BC17" i="13"/>
  <c r="BC40" i="13"/>
  <c r="BC20" i="13"/>
  <c r="BC29" i="13"/>
  <c r="BC40" i="14"/>
  <c r="BC39" i="14"/>
  <c r="BC21" i="13"/>
  <c r="BC36" i="13"/>
  <c r="BC20" i="14"/>
  <c r="BC17" i="14"/>
  <c r="BC35" i="14"/>
  <c r="BC23" i="14"/>
  <c r="BC30" i="13"/>
  <c r="BC25" i="13"/>
  <c r="BC16" i="13"/>
  <c r="BC39" i="13"/>
  <c r="BC21" i="14"/>
  <c r="BC18" i="14"/>
  <c r="BC37" i="13"/>
  <c r="BC18" i="13"/>
  <c r="BC24" i="13"/>
  <c r="BC32" i="13"/>
  <c r="BC34" i="14"/>
  <c r="BC28" i="14"/>
  <c r="BC29" i="14"/>
  <c r="BC27" i="14"/>
  <c r="BC36" i="14"/>
  <c r="BC24" i="14"/>
  <c r="BC37" i="14"/>
  <c r="BC22" i="14"/>
  <c r="BC32" i="14"/>
  <c r="BC23" i="13"/>
  <c r="BC38" i="13"/>
  <c r="BC22" i="13"/>
  <c r="BC19" i="13"/>
  <c r="BC34" i="13"/>
  <c r="B25" i="13"/>
  <c r="B29" i="13"/>
  <c r="B26" i="13"/>
  <c r="B30" i="13"/>
  <c r="B27" i="13"/>
  <c r="B31" i="13"/>
  <c r="B23" i="13"/>
  <c r="B24" i="13"/>
  <c r="B28" i="13"/>
  <c r="AU21" i="14"/>
  <c r="AU23" i="14"/>
  <c r="AU37" i="14"/>
  <c r="AU30" i="14"/>
  <c r="AU17" i="14"/>
  <c r="AU25" i="14"/>
  <c r="AU22" i="14"/>
  <c r="AU33" i="14"/>
  <c r="AU31" i="14"/>
  <c r="AU38" i="14"/>
  <c r="AU28" i="14"/>
  <c r="AU36" i="14"/>
  <c r="AU20" i="14"/>
  <c r="AU26" i="14"/>
  <c r="AU34" i="14"/>
  <c r="AU24" i="14"/>
  <c r="AU18" i="14"/>
  <c r="AU35" i="14"/>
  <c r="AU16" i="14"/>
  <c r="AU40" i="14"/>
  <c r="AU19" i="14"/>
  <c r="AU29" i="14"/>
  <c r="AU32" i="14"/>
  <c r="AU39" i="14"/>
  <c r="AU27" i="14"/>
  <c r="AU21" i="13"/>
  <c r="AU29" i="13"/>
  <c r="AU33" i="13"/>
  <c r="AU26" i="13"/>
  <c r="AU17" i="13"/>
  <c r="AU23" i="13"/>
  <c r="AU27" i="13"/>
  <c r="AU18" i="13"/>
  <c r="AU22" i="13"/>
  <c r="AU24" i="13"/>
  <c r="AU16" i="13"/>
  <c r="AU25" i="13"/>
  <c r="AU40" i="13"/>
  <c r="AU38" i="13"/>
  <c r="AU36" i="13"/>
  <c r="AU34" i="13"/>
  <c r="AU19" i="13"/>
  <c r="AU31" i="13"/>
  <c r="AU39" i="13"/>
  <c r="AU28" i="13"/>
  <c r="AU37" i="13"/>
  <c r="AU30" i="13"/>
  <c r="AU32" i="13"/>
  <c r="AU20" i="13"/>
  <c r="AU35" i="13"/>
  <c r="AV17" i="13"/>
  <c r="AV33" i="13"/>
  <c r="AV35" i="13"/>
  <c r="AV18" i="13"/>
  <c r="AV34" i="13"/>
  <c r="AV39" i="13"/>
  <c r="AV16" i="13"/>
  <c r="AV27" i="13"/>
  <c r="AV40" i="13"/>
  <c r="AV21" i="13"/>
  <c r="AV37" i="13"/>
  <c r="AV24" i="13"/>
  <c r="AV22" i="13"/>
  <c r="AV38" i="13"/>
  <c r="AV20" i="13"/>
  <c r="AV36" i="13"/>
  <c r="AV31" i="13"/>
  <c r="AV25" i="13"/>
  <c r="AV23" i="13"/>
  <c r="AV28" i="13"/>
  <c r="AV26" i="13"/>
  <c r="AV19" i="13"/>
  <c r="AV32" i="13"/>
  <c r="AV29" i="13"/>
  <c r="AV30" i="13"/>
  <c r="AY21" i="14"/>
  <c r="AY23" i="14"/>
  <c r="AY37" i="14"/>
  <c r="AY30" i="14"/>
  <c r="AY17" i="14"/>
  <c r="AY25" i="14"/>
  <c r="AY22" i="14"/>
  <c r="AY33" i="14"/>
  <c r="AY31" i="14"/>
  <c r="AY38" i="14"/>
  <c r="AY28" i="14"/>
  <c r="AY36" i="14"/>
  <c r="AY20" i="14"/>
  <c r="AY26" i="14"/>
  <c r="AY34" i="14"/>
  <c r="AY24" i="14"/>
  <c r="AY18" i="14"/>
  <c r="AY35" i="14"/>
  <c r="AY40" i="14"/>
  <c r="AY19" i="14"/>
  <c r="AY29" i="14"/>
  <c r="AY32" i="14"/>
  <c r="AY39" i="14"/>
  <c r="AY27" i="14"/>
  <c r="AY16" i="14"/>
  <c r="AY21" i="13"/>
  <c r="AY29" i="13"/>
  <c r="AY33" i="13"/>
  <c r="AY26" i="13"/>
  <c r="AY17" i="13"/>
  <c r="AY23" i="13"/>
  <c r="AY27" i="13"/>
  <c r="AY18" i="13"/>
  <c r="AY22" i="13"/>
  <c r="AY24" i="13"/>
  <c r="AY25" i="13"/>
  <c r="AY40" i="13"/>
  <c r="AY38" i="13"/>
  <c r="AY36" i="13"/>
  <c r="AY34" i="13"/>
  <c r="AY19" i="13"/>
  <c r="AY31" i="13"/>
  <c r="AY39" i="13"/>
  <c r="AY28" i="13"/>
  <c r="AY37" i="13"/>
  <c r="AY30" i="13"/>
  <c r="AY32" i="13"/>
  <c r="AY20" i="13"/>
  <c r="AY35" i="13"/>
  <c r="AY16" i="13"/>
  <c r="AT20" i="13"/>
  <c r="AT24" i="13"/>
  <c r="AT28" i="13"/>
  <c r="AT32" i="13"/>
  <c r="AT36" i="13"/>
  <c r="AT40" i="13"/>
  <c r="AT17" i="13"/>
  <c r="AT21" i="13"/>
  <c r="AT25" i="13"/>
  <c r="AT29" i="13"/>
  <c r="AT33" i="13"/>
  <c r="AT37" i="13"/>
  <c r="AT16" i="13"/>
  <c r="AT19" i="13"/>
  <c r="AT23" i="13"/>
  <c r="AT27" i="13"/>
  <c r="AT31" i="13"/>
  <c r="AT35" i="13"/>
  <c r="AT39" i="13"/>
  <c r="AT22" i="13"/>
  <c r="AT38" i="13"/>
  <c r="AT30" i="13"/>
  <c r="AT34" i="13"/>
  <c r="AT26" i="13"/>
  <c r="AT18" i="13"/>
  <c r="BK31" i="14"/>
  <c r="AT17" i="14"/>
  <c r="AT21" i="14"/>
  <c r="AT25" i="14"/>
  <c r="AT29" i="14"/>
  <c r="AT33" i="14"/>
  <c r="AT37" i="14"/>
  <c r="AT16" i="14"/>
  <c r="AT19" i="14"/>
  <c r="AT18" i="14"/>
  <c r="AT22" i="14"/>
  <c r="AT26" i="14"/>
  <c r="AT30" i="14"/>
  <c r="AT34" i="14"/>
  <c r="AT38" i="14"/>
  <c r="AT20" i="14"/>
  <c r="AT24" i="14"/>
  <c r="AT28" i="14"/>
  <c r="AT32" i="14"/>
  <c r="AT36" i="14"/>
  <c r="AT40" i="14"/>
  <c r="AT23" i="14"/>
  <c r="AT27" i="14"/>
  <c r="AT31" i="14"/>
  <c r="AT35" i="14"/>
  <c r="AT39" i="14"/>
  <c r="AO21" i="14"/>
  <c r="AO25" i="14"/>
  <c r="AO29" i="14"/>
  <c r="AO33" i="14"/>
  <c r="AO37" i="14"/>
  <c r="AO18" i="14"/>
  <c r="AO22" i="14"/>
  <c r="AO26" i="14"/>
  <c r="AO30" i="14"/>
  <c r="AO34" i="14"/>
  <c r="AO38" i="14"/>
  <c r="AO17" i="13"/>
  <c r="AO25" i="13"/>
  <c r="AO33" i="13"/>
  <c r="AN20" i="9"/>
  <c r="AO20" i="9"/>
  <c r="AO29" i="13"/>
  <c r="AO37" i="13"/>
  <c r="AO26" i="13"/>
  <c r="AO30" i="13"/>
  <c r="AO34" i="13"/>
  <c r="AO38" i="13"/>
  <c r="AO18" i="13"/>
  <c r="AO22" i="13"/>
  <c r="AO19" i="13"/>
  <c r="AO27" i="13"/>
  <c r="AO31" i="13"/>
  <c r="AO35" i="13"/>
  <c r="AO39" i="13"/>
  <c r="AO19" i="14"/>
  <c r="AO23" i="14"/>
  <c r="AO27" i="14"/>
  <c r="AO31" i="14"/>
  <c r="AO35" i="14"/>
  <c r="AO39" i="14"/>
  <c r="AO21" i="13"/>
  <c r="AO23" i="13"/>
  <c r="AO16" i="13"/>
  <c r="AO20" i="13"/>
  <c r="AO24" i="13"/>
  <c r="AO28" i="13"/>
  <c r="AO32" i="13"/>
  <c r="AO36" i="13"/>
  <c r="AO40" i="13"/>
  <c r="AO16" i="14"/>
  <c r="AO20" i="14"/>
  <c r="AO24" i="14"/>
  <c r="AO28" i="14"/>
  <c r="AO32" i="14"/>
  <c r="AO36" i="14"/>
  <c r="AO40" i="14"/>
  <c r="AQ18" i="13"/>
  <c r="AJ18" i="13"/>
  <c r="AI18" i="13"/>
  <c r="AM18" i="13"/>
  <c r="AJ22" i="13"/>
  <c r="AI22" i="13"/>
  <c r="AM22" i="13"/>
  <c r="AQ24" i="13"/>
  <c r="AN25" i="13"/>
  <c r="AL25" i="13"/>
  <c r="BG26" i="13"/>
  <c r="AJ26" i="13"/>
  <c r="AI26" i="13"/>
  <c r="AM26" i="13"/>
  <c r="AQ28" i="13"/>
  <c r="AN29" i="13"/>
  <c r="AL29" i="13"/>
  <c r="AJ30" i="13"/>
  <c r="AI30" i="13"/>
  <c r="AM30" i="13"/>
  <c r="AQ32" i="13"/>
  <c r="AN33" i="13"/>
  <c r="AJ34" i="13"/>
  <c r="AI34" i="13"/>
  <c r="AM34" i="13"/>
  <c r="AQ36" i="13"/>
  <c r="AN37" i="13"/>
  <c r="BG38" i="13"/>
  <c r="AJ38" i="13"/>
  <c r="AI38" i="13"/>
  <c r="AM38" i="13"/>
  <c r="AQ40" i="13"/>
  <c r="BF20" i="13"/>
  <c r="AJ20" i="13"/>
  <c r="AI20" i="13"/>
  <c r="AM20" i="13"/>
  <c r="AQ16" i="13"/>
  <c r="AN17" i="13"/>
  <c r="AQ20" i="13"/>
  <c r="AN21" i="13"/>
  <c r="AQ17" i="13"/>
  <c r="AN18" i="13"/>
  <c r="AL18" i="13"/>
  <c r="BG19" i="13"/>
  <c r="AJ19" i="13"/>
  <c r="AI19" i="13"/>
  <c r="AM19" i="13"/>
  <c r="AQ21" i="13"/>
  <c r="AN22" i="13"/>
  <c r="AL22" i="13"/>
  <c r="BF23" i="13"/>
  <c r="AJ23" i="13"/>
  <c r="AI23" i="13"/>
  <c r="AM23" i="13"/>
  <c r="AQ25" i="13"/>
  <c r="AN26" i="13"/>
  <c r="AL26" i="13"/>
  <c r="BF27" i="13"/>
  <c r="AJ27" i="13"/>
  <c r="AI27" i="13"/>
  <c r="AM27" i="13"/>
  <c r="AQ29" i="13"/>
  <c r="AN30" i="13"/>
  <c r="AL30" i="13"/>
  <c r="AJ31" i="13"/>
  <c r="AI31" i="13"/>
  <c r="AM31" i="13"/>
  <c r="AQ33" i="13"/>
  <c r="AN34" i="13"/>
  <c r="AJ35" i="13"/>
  <c r="AI35" i="13"/>
  <c r="AM35" i="13"/>
  <c r="AQ37" i="13"/>
  <c r="AN38" i="13"/>
  <c r="BF39" i="13"/>
  <c r="AJ39" i="13"/>
  <c r="AI39" i="13"/>
  <c r="AM39" i="13"/>
  <c r="AN19" i="13"/>
  <c r="AL19" i="13"/>
  <c r="AN27" i="13"/>
  <c r="AL27" i="13"/>
  <c r="AJ28" i="13"/>
  <c r="AI28" i="13"/>
  <c r="AM28" i="13"/>
  <c r="AQ30" i="13"/>
  <c r="AN31" i="13"/>
  <c r="AL31" i="13"/>
  <c r="BG32" i="13"/>
  <c r="AJ32" i="13"/>
  <c r="AI32" i="13"/>
  <c r="AM32" i="13"/>
  <c r="AQ34" i="13"/>
  <c r="AN35" i="13"/>
  <c r="BF36" i="13"/>
  <c r="AJ36" i="13"/>
  <c r="AI36" i="13"/>
  <c r="AM36" i="13"/>
  <c r="AQ38" i="13"/>
  <c r="AN39" i="13"/>
  <c r="BF40" i="13"/>
  <c r="AJ40" i="13"/>
  <c r="AI40" i="13"/>
  <c r="AM40" i="13"/>
  <c r="AJ16" i="13"/>
  <c r="AM16" i="13"/>
  <c r="AI16" i="13"/>
  <c r="AQ22" i="13"/>
  <c r="AN23" i="13"/>
  <c r="AL23" i="13"/>
  <c r="AJ24" i="13"/>
  <c r="AI24" i="13"/>
  <c r="AM24" i="13"/>
  <c r="AQ26" i="13"/>
  <c r="AK16" i="13"/>
  <c r="AK17" i="13"/>
  <c r="AK18" i="13"/>
  <c r="AK19" i="13"/>
  <c r="AK20" i="13"/>
  <c r="AK21" i="13"/>
  <c r="AK22" i="13"/>
  <c r="AK23" i="13"/>
  <c r="AK24" i="13"/>
  <c r="AK25" i="13"/>
  <c r="AK26" i="13"/>
  <c r="AK27" i="13"/>
  <c r="AK28" i="13"/>
  <c r="AK29" i="13"/>
  <c r="AK30" i="13"/>
  <c r="AK31" i="13"/>
  <c r="AK32" i="13"/>
  <c r="AK33" i="13"/>
  <c r="AK34" i="13"/>
  <c r="AK35" i="13"/>
  <c r="AK36" i="13"/>
  <c r="AK37" i="13"/>
  <c r="AK38" i="13"/>
  <c r="AK39" i="13"/>
  <c r="AK40" i="13"/>
  <c r="AN16" i="13"/>
  <c r="AJ17" i="13"/>
  <c r="AI17" i="13"/>
  <c r="AM17" i="13"/>
  <c r="AQ19" i="13"/>
  <c r="AN20" i="13"/>
  <c r="AL20" i="13"/>
  <c r="AJ21" i="13"/>
  <c r="AI21" i="13"/>
  <c r="AM21" i="13"/>
  <c r="AQ23" i="13"/>
  <c r="AN24" i="13"/>
  <c r="AL24" i="13"/>
  <c r="AJ25" i="13"/>
  <c r="AI25" i="13"/>
  <c r="AM25" i="13"/>
  <c r="AQ27" i="13"/>
  <c r="AN28" i="13"/>
  <c r="AL28" i="13"/>
  <c r="AJ29" i="13"/>
  <c r="AI29" i="13"/>
  <c r="AM29" i="13"/>
  <c r="AQ31" i="13"/>
  <c r="AN32" i="13"/>
  <c r="AL32" i="13"/>
  <c r="BF33" i="13"/>
  <c r="AJ33" i="13"/>
  <c r="AI33" i="13"/>
  <c r="AM33" i="13"/>
  <c r="AQ35" i="13"/>
  <c r="AN36" i="13"/>
  <c r="AJ37" i="13"/>
  <c r="AI37" i="13"/>
  <c r="AM37" i="13"/>
  <c r="AQ39" i="13"/>
  <c r="AN40" i="13"/>
  <c r="AK18" i="14"/>
  <c r="AK22" i="14"/>
  <c r="AK26" i="14"/>
  <c r="AK30" i="14"/>
  <c r="AK34" i="14"/>
  <c r="AK38" i="14"/>
  <c r="AK17" i="14"/>
  <c r="AK23" i="14"/>
  <c r="AK28" i="14"/>
  <c r="AK33" i="14"/>
  <c r="AK39" i="14"/>
  <c r="AK20" i="14"/>
  <c r="AK35" i="14"/>
  <c r="AK19" i="14"/>
  <c r="AK25" i="14"/>
  <c r="AK32" i="14"/>
  <c r="AK40" i="14"/>
  <c r="AK27" i="14"/>
  <c r="AK16" i="14"/>
  <c r="AK21" i="14"/>
  <c r="AK29" i="14"/>
  <c r="AK36" i="14"/>
  <c r="AK24" i="14"/>
  <c r="AK31" i="14"/>
  <c r="AK37" i="14"/>
  <c r="BL20" i="14"/>
  <c r="AL37" i="14"/>
  <c r="BK25" i="14"/>
  <c r="AL33" i="14"/>
  <c r="AN18" i="14"/>
  <c r="BO19" i="14"/>
  <c r="AN22" i="14"/>
  <c r="AL30" i="14"/>
  <c r="BO17" i="14"/>
  <c r="AL28" i="14"/>
  <c r="BI16" i="14"/>
  <c r="BO16" i="14"/>
  <c r="BJ17" i="14"/>
  <c r="BF18" i="14"/>
  <c r="BI19" i="14"/>
  <c r="AL20" i="14"/>
  <c r="BG25" i="14"/>
  <c r="AJ28" i="14"/>
  <c r="AI30" i="14"/>
  <c r="AJ32" i="14"/>
  <c r="BI36" i="14"/>
  <c r="AN16" i="14"/>
  <c r="AQ17" i="14"/>
  <c r="BK19" i="14"/>
  <c r="AQ20" i="14"/>
  <c r="BI23" i="14"/>
  <c r="BI24" i="14"/>
  <c r="BO24" i="14"/>
  <c r="BL28" i="14"/>
  <c r="AB16" i="13"/>
  <c r="BL18" i="13"/>
  <c r="BL22" i="13"/>
  <c r="AQ16" i="14"/>
  <c r="AJ16" i="14"/>
  <c r="AI19" i="14"/>
  <c r="BO21" i="14"/>
  <c r="BI22" i="14"/>
  <c r="BJ24" i="14"/>
  <c r="AQ26" i="14"/>
  <c r="AJ31" i="14"/>
  <c r="BG34" i="14"/>
  <c r="BG16" i="14"/>
  <c r="AI18" i="14"/>
  <c r="BJ18" i="14"/>
  <c r="AM19" i="14"/>
  <c r="BG20" i="14"/>
  <c r="AJ21" i="14"/>
  <c r="BJ22" i="14"/>
  <c r="BG24" i="14"/>
  <c r="AJ25" i="14"/>
  <c r="BJ25" i="14"/>
  <c r="AL29" i="14"/>
  <c r="BG29" i="14"/>
  <c r="BF31" i="14"/>
  <c r="BL37" i="14"/>
  <c r="AJ39" i="14"/>
  <c r="AC30" i="14"/>
  <c r="AJ18" i="14"/>
  <c r="BL18" i="14"/>
  <c r="AL19" i="14"/>
  <c r="AJ20" i="14"/>
  <c r="BK20" i="14"/>
  <c r="BF21" i="14"/>
  <c r="AM22" i="14"/>
  <c r="AJ24" i="14"/>
  <c r="BL24" i="14"/>
  <c r="AN25" i="14"/>
  <c r="BL27" i="14"/>
  <c r="BF28" i="14"/>
  <c r="AJ29" i="14"/>
  <c r="BJ29" i="14"/>
  <c r="AJ34" i="14"/>
  <c r="BF20" i="14"/>
  <c r="BF24" i="14"/>
  <c r="AM23" i="14"/>
  <c r="AL24" i="14"/>
  <c r="AN29" i="14"/>
  <c r="BG38" i="14"/>
  <c r="AC16" i="14"/>
  <c r="AB16" i="14"/>
  <c r="AC20" i="14"/>
  <c r="AC22" i="14"/>
  <c r="AC29" i="14"/>
  <c r="AC17" i="14"/>
  <c r="AC19" i="14"/>
  <c r="AC18" i="14"/>
  <c r="AC21" i="14"/>
  <c r="AB21" i="14"/>
  <c r="AB31" i="14"/>
  <c r="N40" i="14"/>
  <c r="M37" i="14"/>
  <c r="N36" i="14"/>
  <c r="M40" i="14"/>
  <c r="N39" i="14"/>
  <c r="M36" i="14"/>
  <c r="N35" i="14"/>
  <c r="M39" i="14"/>
  <c r="N38" i="14"/>
  <c r="M35" i="14"/>
  <c r="M38" i="14"/>
  <c r="M33" i="14"/>
  <c r="N32" i="14"/>
  <c r="M32" i="14"/>
  <c r="N31" i="14"/>
  <c r="M34" i="14"/>
  <c r="M31" i="14"/>
  <c r="N29" i="14"/>
  <c r="N30" i="14"/>
  <c r="M28" i="14"/>
  <c r="M27" i="14"/>
  <c r="N26" i="14"/>
  <c r="M23" i="14"/>
  <c r="N22" i="14"/>
  <c r="N37" i="14"/>
  <c r="N34" i="14"/>
  <c r="N33" i="14"/>
  <c r="M30" i="14"/>
  <c r="M26" i="14"/>
  <c r="N25" i="14"/>
  <c r="M22" i="14"/>
  <c r="N21" i="14"/>
  <c r="M18" i="14"/>
  <c r="N27" i="14"/>
  <c r="M25" i="14"/>
  <c r="N24" i="14"/>
  <c r="N23" i="14"/>
  <c r="N17" i="14"/>
  <c r="N19" i="14"/>
  <c r="M29" i="14"/>
  <c r="M24" i="14"/>
  <c r="M17" i="14"/>
  <c r="AS17" i="14" s="1"/>
  <c r="N16" i="14"/>
  <c r="M21" i="14"/>
  <c r="AS21" i="14" s="1"/>
  <c r="N20" i="14"/>
  <c r="M16" i="14"/>
  <c r="N15" i="14"/>
  <c r="N28" i="14"/>
  <c r="O28" i="14" s="1"/>
  <c r="M20" i="14"/>
  <c r="BG26" i="14"/>
  <c r="BI26" i="14"/>
  <c r="BL26" i="14"/>
  <c r="AM26" i="14"/>
  <c r="AJ26" i="14"/>
  <c r="BO26" i="14"/>
  <c r="AI26" i="14"/>
  <c r="N18" i="14"/>
  <c r="M15" i="14"/>
  <c r="BL17" i="14"/>
  <c r="BI17" i="14"/>
  <c r="BG17" i="14"/>
  <c r="BF17" i="14"/>
  <c r="AJ17" i="14"/>
  <c r="AM17" i="14"/>
  <c r="AC25" i="14"/>
  <c r="AF25" i="14" s="1"/>
  <c r="BF26" i="14"/>
  <c r="BK16" i="14"/>
  <c r="BL16" i="14"/>
  <c r="BJ16" i="14"/>
  <c r="AQ19" i="14"/>
  <c r="M19" i="14"/>
  <c r="AL21" i="14"/>
  <c r="BJ21" i="14"/>
  <c r="AN21" i="14"/>
  <c r="AC24" i="14"/>
  <c r="AC28" i="14"/>
  <c r="AC32" i="14"/>
  <c r="AN17" i="14"/>
  <c r="BK17" i="14"/>
  <c r="BO23" i="14"/>
  <c r="AB26" i="14"/>
  <c r="BO27" i="14"/>
  <c r="AL27" i="14"/>
  <c r="BM17" i="14"/>
  <c r="BO18" i="14"/>
  <c r="AL18" i="14"/>
  <c r="AQ18" i="14"/>
  <c r="BM18" i="14"/>
  <c r="BF19" i="14"/>
  <c r="AJ19" i="14"/>
  <c r="BG19" i="14"/>
  <c r="BL19" i="14"/>
  <c r="BI20" i="14"/>
  <c r="BO20" i="14"/>
  <c r="BL22" i="14"/>
  <c r="BG22" i="14"/>
  <c r="BO22" i="14"/>
  <c r="AI22" i="14"/>
  <c r="AQ22" i="14"/>
  <c r="BM22" i="14"/>
  <c r="BJ23" i="14"/>
  <c r="AQ23" i="14"/>
  <c r="BM23" i="14"/>
  <c r="AQ24" i="14"/>
  <c r="BK24" i="14"/>
  <c r="AL25" i="14"/>
  <c r="AC26" i="14"/>
  <c r="BI28" i="14"/>
  <c r="BO28" i="14"/>
  <c r="AM30" i="14"/>
  <c r="BL31" i="14"/>
  <c r="AL31" i="14"/>
  <c r="BJ31" i="14"/>
  <c r="AN31" i="14"/>
  <c r="BL40" i="14"/>
  <c r="BG40" i="14"/>
  <c r="BF40" i="14"/>
  <c r="AJ40" i="14"/>
  <c r="BI40" i="14"/>
  <c r="AM40" i="14"/>
  <c r="AI40" i="14"/>
  <c r="BO40" i="14"/>
  <c r="AQ29" i="14"/>
  <c r="AC38" i="14"/>
  <c r="AM36" i="14"/>
  <c r="BI33" i="14"/>
  <c r="AM33" i="14"/>
  <c r="BI32" i="14"/>
  <c r="AM32" i="14"/>
  <c r="AB38" i="14"/>
  <c r="AB37" i="14"/>
  <c r="AB40" i="14"/>
  <c r="AB36" i="14"/>
  <c r="AB30" i="14"/>
  <c r="AB33" i="14"/>
  <c r="AB28" i="14"/>
  <c r="AB35" i="14"/>
  <c r="AB27" i="14"/>
  <c r="AB39" i="14"/>
  <c r="AB32" i="14"/>
  <c r="AB29" i="14"/>
  <c r="AF29" i="14" s="1"/>
  <c r="AB24" i="14"/>
  <c r="AB20" i="14"/>
  <c r="AB23" i="14"/>
  <c r="AB19" i="14"/>
  <c r="AB17" i="14"/>
  <c r="AQ21" i="14"/>
  <c r="BG23" i="14"/>
  <c r="BF23" i="14"/>
  <c r="AJ23" i="14"/>
  <c r="BL23" i="14"/>
  <c r="BI25" i="14"/>
  <c r="BJ26" i="14"/>
  <c r="AL26" i="14"/>
  <c r="BF27" i="14"/>
  <c r="AJ27" i="14"/>
  <c r="BI27" i="14"/>
  <c r="AM27" i="14"/>
  <c r="BI31" i="14"/>
  <c r="AB34" i="14"/>
  <c r="BO37" i="14"/>
  <c r="BK37" i="14"/>
  <c r="BK40" i="14"/>
  <c r="BK36" i="14"/>
  <c r="BK39" i="14"/>
  <c r="BK35" i="14"/>
  <c r="BO38" i="14"/>
  <c r="BK34" i="14"/>
  <c r="BK33" i="14"/>
  <c r="BK29" i="14"/>
  <c r="BK38" i="14"/>
  <c r="AN34" i="14"/>
  <c r="BK32" i="14"/>
  <c r="BO30" i="14"/>
  <c r="BO34" i="14"/>
  <c r="BO31" i="14"/>
  <c r="BK26" i="14"/>
  <c r="BK30" i="14"/>
  <c r="BK28" i="14"/>
  <c r="BK23" i="14"/>
  <c r="BK22" i="14"/>
  <c r="BK18" i="14"/>
  <c r="BM39" i="14"/>
  <c r="BM35" i="14"/>
  <c r="AQ35" i="14"/>
  <c r="BM38" i="14"/>
  <c r="BM34" i="14"/>
  <c r="BM37" i="14"/>
  <c r="BM31" i="14"/>
  <c r="BM40" i="14"/>
  <c r="AQ40" i="14"/>
  <c r="BM36" i="14"/>
  <c r="AQ36" i="14"/>
  <c r="BJ34" i="14"/>
  <c r="BM30" i="14"/>
  <c r="BM33" i="14"/>
  <c r="AQ33" i="14"/>
  <c r="BM32" i="14"/>
  <c r="AQ32" i="14"/>
  <c r="BM29" i="14"/>
  <c r="BM28" i="14"/>
  <c r="BM25" i="14"/>
  <c r="BM21" i="14"/>
  <c r="BM27" i="14"/>
  <c r="BM24" i="14"/>
  <c r="BM20" i="14"/>
  <c r="AI16" i="14"/>
  <c r="AM16" i="14"/>
  <c r="BM16" i="14"/>
  <c r="AB18" i="14"/>
  <c r="AM18" i="14"/>
  <c r="BI18" i="14"/>
  <c r="BJ19" i="14"/>
  <c r="BM19" i="14"/>
  <c r="BJ20" i="14"/>
  <c r="AN20" i="14"/>
  <c r="BI21" i="14"/>
  <c r="BK21" i="14"/>
  <c r="AL22" i="14"/>
  <c r="AB22" i="14"/>
  <c r="AJ22" i="14"/>
  <c r="BF22" i="14"/>
  <c r="AC23" i="14"/>
  <c r="AL23" i="14"/>
  <c r="AQ25" i="14"/>
  <c r="BO25" i="14"/>
  <c r="AN26" i="14"/>
  <c r="BM26" i="14"/>
  <c r="AC27" i="14"/>
  <c r="AQ27" i="14"/>
  <c r="AI27" i="14"/>
  <c r="BK27" i="14"/>
  <c r="AC35" i="14"/>
  <c r="AN19" i="14"/>
  <c r="AI20" i="14"/>
  <c r="AM20" i="14"/>
  <c r="BL21" i="14"/>
  <c r="AN23" i="14"/>
  <c r="AI24" i="14"/>
  <c r="AM24" i="14"/>
  <c r="BL25" i="14"/>
  <c r="BJ27" i="14"/>
  <c r="BJ28" i="14"/>
  <c r="AN28" i="14"/>
  <c r="BI29" i="14"/>
  <c r="BL29" i="14"/>
  <c r="AQ30" i="14"/>
  <c r="AC31" i="14"/>
  <c r="AC33" i="14"/>
  <c r="AC34" i="14"/>
  <c r="AC37" i="14"/>
  <c r="AQ37" i="14"/>
  <c r="AC39" i="14"/>
  <c r="AQ39" i="14"/>
  <c r="AI21" i="14"/>
  <c r="AM21" i="14"/>
  <c r="AN24" i="14"/>
  <c r="AI25" i="14"/>
  <c r="AM25" i="14"/>
  <c r="AQ28" i="14"/>
  <c r="AL32" i="14"/>
  <c r="BJ32" i="14"/>
  <c r="AN32" i="14"/>
  <c r="AN27" i="14"/>
  <c r="AI28" i="14"/>
  <c r="AM28" i="14"/>
  <c r="BF30" i="14"/>
  <c r="AJ30" i="14"/>
  <c r="BI30" i="14"/>
  <c r="BL30" i="14"/>
  <c r="AQ31" i="14"/>
  <c r="BG33" i="14"/>
  <c r="BF33" i="14"/>
  <c r="AJ33" i="14"/>
  <c r="BO33" i="14"/>
  <c r="BL33" i="14"/>
  <c r="BO29" i="14"/>
  <c r="AI29" i="14"/>
  <c r="AM29" i="14"/>
  <c r="BJ30" i="14"/>
  <c r="BL32" i="14"/>
  <c r="BG32" i="14"/>
  <c r="BO32" i="14"/>
  <c r="AI32" i="14"/>
  <c r="AQ34" i="14"/>
  <c r="BL36" i="14"/>
  <c r="BG36" i="14"/>
  <c r="BF36" i="14"/>
  <c r="AJ36" i="14"/>
  <c r="AL36" i="14"/>
  <c r="BO36" i="14"/>
  <c r="AI36" i="14"/>
  <c r="BJ37" i="14"/>
  <c r="AL39" i="14"/>
  <c r="BJ39" i="14"/>
  <c r="AN39" i="14"/>
  <c r="AN33" i="14"/>
  <c r="BJ33" i="14"/>
  <c r="BI34" i="14"/>
  <c r="AM34" i="14"/>
  <c r="AI34" i="14"/>
  <c r="BL34" i="14"/>
  <c r="BI35" i="14"/>
  <c r="AM35" i="14"/>
  <c r="AI35" i="14"/>
  <c r="BL35" i="14"/>
  <c r="BG35" i="14"/>
  <c r="BO35" i="14"/>
  <c r="AJ35" i="14"/>
  <c r="BF35" i="14"/>
  <c r="BJ38" i="14"/>
  <c r="AN30" i="14"/>
  <c r="AI31" i="14"/>
  <c r="AM31" i="14"/>
  <c r="AL34" i="14"/>
  <c r="AL35" i="14"/>
  <c r="AN35" i="14"/>
  <c r="BJ35" i="14"/>
  <c r="AC36" i="14"/>
  <c r="AQ38" i="14"/>
  <c r="BI39" i="14"/>
  <c r="BO39" i="14"/>
  <c r="AC40" i="14"/>
  <c r="AN36" i="14"/>
  <c r="BJ36" i="14"/>
  <c r="AI37" i="14"/>
  <c r="AM37" i="14"/>
  <c r="BI37" i="14"/>
  <c r="AL38" i="14"/>
  <c r="BL38" i="14"/>
  <c r="BG39" i="14"/>
  <c r="AN40" i="14"/>
  <c r="BJ40" i="14"/>
  <c r="AJ37" i="14"/>
  <c r="AN37" i="14"/>
  <c r="BF37" i="14"/>
  <c r="AI38" i="14"/>
  <c r="AM38" i="14"/>
  <c r="BI38" i="14"/>
  <c r="BL39" i="14"/>
  <c r="AJ38" i="14"/>
  <c r="AN38" i="14"/>
  <c r="AI39" i="14"/>
  <c r="AM39" i="14"/>
  <c r="AL40" i="14"/>
  <c r="AC17" i="13"/>
  <c r="BL30" i="13"/>
  <c r="BL34" i="13"/>
  <c r="BL16" i="13"/>
  <c r="BO16" i="13"/>
  <c r="BL31" i="13"/>
  <c r="N17" i="13"/>
  <c r="BG30" i="13"/>
  <c r="BG39" i="13"/>
  <c r="BK17" i="13"/>
  <c r="BL25" i="13"/>
  <c r="BL38" i="13"/>
  <c r="BG27" i="13"/>
  <c r="BG31" i="13"/>
  <c r="AC16" i="13"/>
  <c r="BM40" i="13"/>
  <c r="BM36" i="13"/>
  <c r="BM39" i="13"/>
  <c r="BM35" i="13"/>
  <c r="BM38" i="13"/>
  <c r="BM34" i="13"/>
  <c r="BM37" i="13"/>
  <c r="BM30" i="13"/>
  <c r="BM33" i="13"/>
  <c r="BM32" i="13"/>
  <c r="BM31" i="13"/>
  <c r="BM29" i="13"/>
  <c r="BM28" i="13"/>
  <c r="BM24" i="13"/>
  <c r="BM27" i="13"/>
  <c r="BM23" i="13"/>
  <c r="BM26" i="13"/>
  <c r="BM25" i="13"/>
  <c r="BM21" i="13"/>
  <c r="BM17" i="13"/>
  <c r="BM20" i="13"/>
  <c r="BM19" i="13"/>
  <c r="BM22" i="13"/>
  <c r="BM18" i="13"/>
  <c r="BI16" i="13"/>
  <c r="BM16" i="13"/>
  <c r="BO19" i="13"/>
  <c r="AC21" i="13"/>
  <c r="BO23" i="13"/>
  <c r="M38" i="13"/>
  <c r="N37" i="13"/>
  <c r="N40" i="13"/>
  <c r="M37" i="13"/>
  <c r="N36" i="13"/>
  <c r="M40" i="13"/>
  <c r="N39" i="13"/>
  <c r="M36" i="13"/>
  <c r="N35" i="13"/>
  <c r="M39" i="13"/>
  <c r="N38" i="13"/>
  <c r="M32" i="13"/>
  <c r="N31" i="13"/>
  <c r="N34" i="13"/>
  <c r="M31" i="13"/>
  <c r="M34" i="13"/>
  <c r="N33" i="13"/>
  <c r="M35" i="13"/>
  <c r="M33" i="13"/>
  <c r="N32" i="13"/>
  <c r="O32" i="13" s="1"/>
  <c r="M30" i="13"/>
  <c r="N29" i="13"/>
  <c r="M26" i="13"/>
  <c r="N25" i="13"/>
  <c r="M29" i="13"/>
  <c r="N28" i="13"/>
  <c r="M25" i="13"/>
  <c r="N24" i="13"/>
  <c r="M28" i="13"/>
  <c r="N27" i="13"/>
  <c r="M24" i="13"/>
  <c r="N30" i="13"/>
  <c r="M27" i="13"/>
  <c r="N26" i="13"/>
  <c r="M23" i="13"/>
  <c r="N22" i="13"/>
  <c r="M19" i="13"/>
  <c r="N18" i="13"/>
  <c r="M22" i="13"/>
  <c r="N21" i="13"/>
  <c r="M18" i="13"/>
  <c r="M21" i="13"/>
  <c r="N20" i="13"/>
  <c r="N23" i="13"/>
  <c r="M20" i="13"/>
  <c r="N19" i="13"/>
  <c r="M15" i="13"/>
  <c r="BF16" i="13"/>
  <c r="BJ16" i="13"/>
  <c r="BI17" i="13"/>
  <c r="BJ17" i="13"/>
  <c r="BO17" i="13"/>
  <c r="AC18" i="13"/>
  <c r="BO20" i="13"/>
  <c r="AC22" i="13"/>
  <c r="BJ23" i="13"/>
  <c r="AB39" i="13"/>
  <c r="AB35" i="13"/>
  <c r="AB38" i="13"/>
  <c r="AB37" i="13"/>
  <c r="AB40" i="13"/>
  <c r="AB34" i="13"/>
  <c r="AB33" i="13"/>
  <c r="AB29" i="13"/>
  <c r="AB32" i="13"/>
  <c r="AB36" i="13"/>
  <c r="AB31" i="13"/>
  <c r="AB30" i="13"/>
  <c r="AB27" i="13"/>
  <c r="AB26" i="13"/>
  <c r="AB25" i="13"/>
  <c r="AB28" i="13"/>
  <c r="AB24" i="13"/>
  <c r="AB20" i="13"/>
  <c r="AB23" i="13"/>
  <c r="AB19" i="13"/>
  <c r="AB22" i="13"/>
  <c r="AB18" i="13"/>
  <c r="AB21" i="13"/>
  <c r="N15" i="13"/>
  <c r="M16" i="13"/>
  <c r="BG16" i="13"/>
  <c r="BK16" i="13"/>
  <c r="AB17" i="13"/>
  <c r="AF17" i="13" s="1"/>
  <c r="BF17" i="13"/>
  <c r="AC19" i="13"/>
  <c r="BJ20" i="13"/>
  <c r="BI21" i="13"/>
  <c r="BO21" i="13"/>
  <c r="AC23" i="13"/>
  <c r="BK38" i="13"/>
  <c r="BK37" i="13"/>
  <c r="BK40" i="13"/>
  <c r="BK36" i="13"/>
  <c r="BO39" i="13"/>
  <c r="BK39" i="13"/>
  <c r="BK35" i="13"/>
  <c r="BK32" i="13"/>
  <c r="BO31" i="13"/>
  <c r="BK31" i="13"/>
  <c r="BK34" i="13"/>
  <c r="BO30" i="13"/>
  <c r="BK30" i="13"/>
  <c r="BO35" i="13"/>
  <c r="BK33" i="13"/>
  <c r="BK29" i="13"/>
  <c r="BO26" i="13"/>
  <c r="BK26" i="13"/>
  <c r="BK25" i="13"/>
  <c r="BK28" i="13"/>
  <c r="BK24" i="13"/>
  <c r="BO27" i="13"/>
  <c r="BK27" i="13"/>
  <c r="BK19" i="13"/>
  <c r="BK22" i="13"/>
  <c r="BK18" i="13"/>
  <c r="BK21" i="13"/>
  <c r="BK23" i="13"/>
  <c r="BK20" i="13"/>
  <c r="N16" i="13"/>
  <c r="M17" i="13"/>
  <c r="BG17" i="13"/>
  <c r="BL17" i="13"/>
  <c r="BO18" i="13"/>
  <c r="AC20" i="13"/>
  <c r="BO22" i="13"/>
  <c r="BI18" i="13"/>
  <c r="BL19" i="13"/>
  <c r="BG20" i="13"/>
  <c r="BF21" i="13"/>
  <c r="BJ21" i="13"/>
  <c r="BI22" i="13"/>
  <c r="AC25" i="13"/>
  <c r="BF18" i="13"/>
  <c r="BJ18" i="13"/>
  <c r="BI19" i="13"/>
  <c r="BL20" i="13"/>
  <c r="BG21" i="13"/>
  <c r="BF22" i="13"/>
  <c r="BJ22" i="13"/>
  <c r="BI23" i="13"/>
  <c r="BG23" i="13"/>
  <c r="BL23" i="13"/>
  <c r="BI24" i="13"/>
  <c r="BL24" i="13"/>
  <c r="BG24" i="13"/>
  <c r="BF24" i="13"/>
  <c r="BO24" i="13"/>
  <c r="AC26" i="13"/>
  <c r="AC28" i="13"/>
  <c r="BG18" i="13"/>
  <c r="BF19" i="13"/>
  <c r="BJ19" i="13"/>
  <c r="BI20" i="13"/>
  <c r="BL21" i="13"/>
  <c r="BG22" i="13"/>
  <c r="BJ24" i="13"/>
  <c r="BO25" i="13"/>
  <c r="BJ27" i="13"/>
  <c r="AC29" i="13"/>
  <c r="AC24" i="13"/>
  <c r="AC27" i="13"/>
  <c r="BI28" i="13"/>
  <c r="BO28" i="13"/>
  <c r="BI25" i="13"/>
  <c r="BL26" i="13"/>
  <c r="BF28" i="13"/>
  <c r="BJ28" i="13"/>
  <c r="BF29" i="13"/>
  <c r="BG29" i="13"/>
  <c r="BO29" i="13"/>
  <c r="BO33" i="13"/>
  <c r="AC35" i="13"/>
  <c r="BJ36" i="13"/>
  <c r="BF25" i="13"/>
  <c r="BJ25" i="13"/>
  <c r="BI26" i="13"/>
  <c r="BL27" i="13"/>
  <c r="BG28" i="13"/>
  <c r="BJ29" i="13"/>
  <c r="BI29" i="13"/>
  <c r="BI30" i="13"/>
  <c r="AC32" i="13"/>
  <c r="BJ33" i="13"/>
  <c r="BO34" i="13"/>
  <c r="BG25" i="13"/>
  <c r="BF26" i="13"/>
  <c r="BJ26" i="13"/>
  <c r="BI27" i="13"/>
  <c r="BL28" i="13"/>
  <c r="BL29" i="13"/>
  <c r="BJ30" i="13"/>
  <c r="AC33" i="13"/>
  <c r="AC30" i="13"/>
  <c r="AC31" i="13"/>
  <c r="BO32" i="13"/>
  <c r="AC34" i="13"/>
  <c r="BF30" i="13"/>
  <c r="BI31" i="13"/>
  <c r="BL32" i="13"/>
  <c r="BG33" i="13"/>
  <c r="BJ34" i="13"/>
  <c r="BI36" i="13"/>
  <c r="BO36" i="13"/>
  <c r="AC37" i="13"/>
  <c r="AC39" i="13"/>
  <c r="BI40" i="13"/>
  <c r="BO40" i="13"/>
  <c r="BF31" i="13"/>
  <c r="BJ31" i="13"/>
  <c r="BI32" i="13"/>
  <c r="BL33" i="13"/>
  <c r="BF34" i="13"/>
  <c r="AC38" i="13"/>
  <c r="BF32" i="13"/>
  <c r="BJ32" i="13"/>
  <c r="BI33" i="13"/>
  <c r="BG34" i="13"/>
  <c r="BF35" i="13"/>
  <c r="BI35" i="13"/>
  <c r="BL35" i="13"/>
  <c r="BG35" i="13"/>
  <c r="AC36" i="13"/>
  <c r="BL37" i="13"/>
  <c r="BG37" i="13"/>
  <c r="BF37" i="13"/>
  <c r="BI37" i="13"/>
  <c r="BO37" i="13"/>
  <c r="AC40" i="13"/>
  <c r="BI34" i="13"/>
  <c r="BJ35" i="13"/>
  <c r="BO38" i="13"/>
  <c r="BJ39" i="13"/>
  <c r="BJ40" i="13"/>
  <c r="BG36" i="13"/>
  <c r="BJ37" i="13"/>
  <c r="BI38" i="13"/>
  <c r="BL39" i="13"/>
  <c r="BG40" i="13"/>
  <c r="BL36" i="13"/>
  <c r="BF38" i="13"/>
  <c r="BJ38" i="13"/>
  <c r="BI39" i="13"/>
  <c r="BL40" i="13"/>
  <c r="AL33" i="13"/>
  <c r="AL38" i="13"/>
  <c r="AL35" i="13"/>
  <c r="AL36" i="13"/>
  <c r="AL17" i="13"/>
  <c r="AL16" i="13"/>
  <c r="AR32" i="13"/>
  <c r="AL39" i="13"/>
  <c r="AL40" i="13"/>
  <c r="AL34" i="13"/>
  <c r="AL21" i="13"/>
  <c r="AL37" i="13"/>
  <c r="BQ22" i="14"/>
  <c r="BE19" i="13"/>
  <c r="BH21" i="13"/>
  <c r="BE30" i="13"/>
  <c r="BP20" i="13"/>
  <c r="BQ37" i="13"/>
  <c r="BE29" i="13"/>
  <c r="BP21" i="13"/>
  <c r="BE22" i="13"/>
  <c r="BP40" i="13"/>
  <c r="BH35" i="13"/>
  <c r="BP17" i="13"/>
  <c r="BQ31" i="13"/>
  <c r="BH30" i="13"/>
  <c r="BQ24" i="13"/>
  <c r="BQ21" i="13"/>
  <c r="BE38" i="13"/>
  <c r="BP22" i="13"/>
  <c r="BP31" i="13"/>
  <c r="BQ29" i="13"/>
  <c r="BH24" i="13"/>
  <c r="BE31" i="13"/>
  <c r="BE18" i="13"/>
  <c r="BE40" i="13"/>
  <c r="BH28" i="13"/>
  <c r="BH36" i="13"/>
  <c r="AH33" i="14"/>
  <c r="BQ40" i="14"/>
  <c r="AH22" i="14"/>
  <c r="AP38" i="14"/>
  <c r="AH37" i="14"/>
  <c r="AP35" i="14"/>
  <c r="BH23" i="14"/>
  <c r="AP34" i="14"/>
  <c r="AP29" i="14"/>
  <c r="BH25" i="14"/>
  <c r="AH28" i="14"/>
  <c r="BP21" i="14"/>
  <c r="BH30" i="14"/>
  <c r="BE37" i="14"/>
  <c r="BH34" i="14"/>
  <c r="AP20" i="14"/>
  <c r="AP40" i="14"/>
  <c r="BE17" i="14"/>
  <c r="BQ36" i="14"/>
  <c r="AP25" i="14"/>
  <c r="BE28" i="14"/>
  <c r="BQ30" i="14"/>
  <c r="BQ25" i="14"/>
  <c r="BH22" i="14"/>
  <c r="BP32" i="14"/>
  <c r="BE33" i="13"/>
  <c r="BH34" i="13"/>
  <c r="BQ34" i="13"/>
  <c r="BP32" i="13"/>
  <c r="BP37" i="13"/>
  <c r="BQ26" i="13"/>
  <c r="BQ20" i="13"/>
  <c r="BE16" i="13"/>
  <c r="BH29" i="13"/>
  <c r="BP24" i="13"/>
  <c r="BP34" i="13"/>
  <c r="BE21" i="13"/>
  <c r="BH33" i="13"/>
  <c r="BH22" i="13"/>
  <c r="BP38" i="13"/>
  <c r="BQ25" i="13"/>
  <c r="BH31" i="13"/>
  <c r="BQ33" i="13"/>
  <c r="BP39" i="13"/>
  <c r="BP23" i="13"/>
  <c r="BE20" i="13"/>
  <c r="BE25" i="13"/>
  <c r="BP27" i="13"/>
  <c r="BQ28" i="13"/>
  <c r="BP35" i="13"/>
  <c r="BP16" i="14"/>
  <c r="BE29" i="14"/>
  <c r="BE31" i="14"/>
  <c r="AH18" i="14"/>
  <c r="BQ31" i="14"/>
  <c r="BE16" i="14"/>
  <c r="AP26" i="14"/>
  <c r="BQ16" i="14"/>
  <c r="BE23" i="14"/>
  <c r="AH29" i="14"/>
  <c r="BH16" i="14"/>
  <c r="BQ32" i="14"/>
  <c r="BH24" i="14"/>
  <c r="BE35" i="14"/>
  <c r="BH29" i="14"/>
  <c r="BQ21" i="14"/>
  <c r="AH23" i="14"/>
  <c r="BP35" i="14"/>
  <c r="BP22" i="14"/>
  <c r="BE21" i="14"/>
  <c r="AP19" i="14"/>
  <c r="AL16" i="14"/>
  <c r="BH38" i="14"/>
  <c r="BH20" i="14"/>
  <c r="AH35" i="14"/>
  <c r="BQ39" i="14"/>
  <c r="AH20" i="14"/>
  <c r="AP28" i="14"/>
  <c r="BP26" i="14"/>
  <c r="BH26" i="14"/>
  <c r="AH21" i="14"/>
  <c r="AH36" i="14"/>
  <c r="AH39" i="14"/>
  <c r="BQ27" i="13"/>
  <c r="BQ32" i="13"/>
  <c r="BP33" i="13"/>
  <c r="BH23" i="13"/>
  <c r="BQ38" i="13"/>
  <c r="BQ23" i="13"/>
  <c r="BQ36" i="13"/>
  <c r="BE24" i="13"/>
  <c r="BQ35" i="13"/>
  <c r="BE37" i="13"/>
  <c r="BE26" i="13"/>
  <c r="BQ40" i="13"/>
  <c r="BH20" i="13"/>
  <c r="BE39" i="13"/>
  <c r="BE32" i="13"/>
  <c r="BQ39" i="13"/>
  <c r="BQ18" i="13"/>
  <c r="BP25" i="13"/>
  <c r="BE27" i="13"/>
  <c r="BP19" i="13"/>
  <c r="BH25" i="13"/>
  <c r="BP28" i="13"/>
  <c r="BE28" i="13"/>
  <c r="BH32" i="13"/>
  <c r="BH39" i="13"/>
  <c r="BQ22" i="13"/>
  <c r="BP36" i="13"/>
  <c r="BQ16" i="13"/>
  <c r="BQ17" i="13"/>
  <c r="BH26" i="13"/>
  <c r="BH18" i="13"/>
  <c r="BE26" i="14"/>
  <c r="BQ18" i="14"/>
  <c r="BE34" i="14"/>
  <c r="BE24" i="14"/>
  <c r="AH26" i="14"/>
  <c r="BQ24" i="14"/>
  <c r="AH34" i="14"/>
  <c r="BQ26" i="14"/>
  <c r="AP31" i="14"/>
  <c r="AL17" i="14"/>
  <c r="BP39" i="14"/>
  <c r="AP16" i="14"/>
  <c r="BP33" i="14"/>
  <c r="BH39" i="14"/>
  <c r="BH31" i="14"/>
  <c r="BQ35" i="14"/>
  <c r="AP22" i="14"/>
  <c r="BE39" i="14"/>
  <c r="AH40" i="14"/>
  <c r="BQ29" i="14"/>
  <c r="BP20" i="14"/>
  <c r="AP39" i="14"/>
  <c r="AH25" i="14"/>
  <c r="AH16" i="14"/>
  <c r="AH24" i="14"/>
  <c r="BQ17" i="14"/>
  <c r="AH17" i="14"/>
  <c r="BQ27" i="14"/>
  <c r="BH33" i="14"/>
  <c r="BE18" i="14"/>
  <c r="BQ28" i="14"/>
  <c r="BP28" i="14"/>
  <c r="AP24" i="14"/>
  <c r="BE19" i="14"/>
  <c r="BH37" i="14"/>
  <c r="AH32" i="14"/>
  <c r="BE30" i="14"/>
  <c r="BE22" i="14"/>
  <c r="BQ34" i="14"/>
  <c r="AP36" i="14"/>
  <c r="BQ38" i="14"/>
  <c r="AH30" i="14"/>
  <c r="AG25" i="14"/>
  <c r="BE35" i="13"/>
  <c r="BP26" i="13"/>
  <c r="AG17" i="13"/>
  <c r="BQ19" i="13"/>
  <c r="BE36" i="13"/>
  <c r="BH37" i="13"/>
  <c r="BH38" i="13"/>
  <c r="BP18" i="13"/>
  <c r="BH40" i="13"/>
  <c r="BH16" i="13"/>
  <c r="BE23" i="13"/>
  <c r="BH40" i="14"/>
  <c r="BE25" i="14"/>
  <c r="AP21" i="14"/>
  <c r="BP25" i="14"/>
  <c r="BP31" i="14"/>
  <c r="BH21" i="14"/>
  <c r="BH28" i="14"/>
  <c r="BP29" i="13"/>
  <c r="BH19" i="13"/>
  <c r="BP30" i="13"/>
  <c r="BH19" i="14"/>
  <c r="BH17" i="14"/>
  <c r="BE36" i="14"/>
  <c r="AH27" i="14"/>
  <c r="BE33" i="14"/>
  <c r="BH36" i="14"/>
  <c r="BE32" i="14"/>
  <c r="BQ20" i="14"/>
  <c r="BP23" i="14"/>
  <c r="AR28" i="14"/>
  <c r="AP33" i="14"/>
  <c r="BE40" i="14"/>
  <c r="BE38" i="14"/>
  <c r="BP29" i="14"/>
  <c r="BQ30" i="13"/>
  <c r="BH27" i="13"/>
  <c r="BQ37" i="14"/>
  <c r="BH32" i="14"/>
  <c r="BH35" i="14"/>
  <c r="AH31" i="14"/>
  <c r="BH27" i="14"/>
  <c r="BP40" i="14"/>
  <c r="AH19" i="14"/>
  <c r="BE34" i="13"/>
  <c r="BE20" i="14"/>
  <c r="BE27" i="14"/>
  <c r="AP30" i="14"/>
  <c r="BP37" i="14"/>
  <c r="BP36" i="14"/>
  <c r="BQ19" i="14"/>
  <c r="AH38" i="14"/>
  <c r="BH18" i="14"/>
  <c r="BP34" i="14"/>
  <c r="BP38" i="14"/>
  <c r="AG29" i="14"/>
  <c r="BN32" i="13" l="1"/>
  <c r="AW29" i="14"/>
  <c r="AX21" i="14"/>
  <c r="AW27" i="14"/>
  <c r="AZ37" i="14"/>
  <c r="AW39" i="14"/>
  <c r="AX38" i="14"/>
  <c r="AX20" i="14"/>
  <c r="AZ38" i="14"/>
  <c r="AZ40" i="14"/>
  <c r="AZ33" i="14"/>
  <c r="AW20" i="14"/>
  <c r="AX27" i="14"/>
  <c r="AZ24" i="14"/>
  <c r="AX37" i="14"/>
  <c r="AW36" i="14"/>
  <c r="AX23" i="14"/>
  <c r="AZ23" i="14"/>
  <c r="AX29" i="14"/>
  <c r="AW21" i="14"/>
  <c r="AX28" i="14"/>
  <c r="AW26" i="14"/>
  <c r="AW17" i="14"/>
  <c r="AW23" i="14"/>
  <c r="AW34" i="14"/>
  <c r="AW32" i="14"/>
  <c r="AX31" i="14"/>
  <c r="AX22" i="14"/>
  <c r="AW28" i="14"/>
  <c r="AZ27" i="14"/>
  <c r="AZ32" i="14"/>
  <c r="AZ25" i="14"/>
  <c r="AW37" i="14"/>
  <c r="AX18" i="14"/>
  <c r="AW40" i="14"/>
  <c r="AX35" i="14"/>
  <c r="AZ17" i="14"/>
  <c r="AZ34" i="14"/>
  <c r="AZ26" i="14"/>
  <c r="AZ35" i="14"/>
  <c r="AX32" i="14"/>
  <c r="AW19" i="14"/>
  <c r="AW22" i="14"/>
  <c r="AZ20" i="14"/>
  <c r="AW38" i="14"/>
  <c r="AX36" i="14"/>
  <c r="AZ39" i="14"/>
  <c r="AZ19" i="14"/>
  <c r="AX25" i="14"/>
  <c r="AZ30" i="14"/>
  <c r="AX30" i="14"/>
  <c r="AX40" i="14"/>
  <c r="AZ21" i="14"/>
  <c r="AX39" i="14"/>
  <c r="AW31" i="14"/>
  <c r="AX17" i="14"/>
  <c r="AX34" i="14"/>
  <c r="AX19" i="14"/>
  <c r="AZ36" i="14"/>
  <c r="AZ31" i="14"/>
  <c r="AZ22" i="14"/>
  <c r="AZ29" i="14"/>
  <c r="AW18" i="14"/>
  <c r="AW35" i="14"/>
  <c r="AW24" i="14"/>
  <c r="AX26" i="14"/>
  <c r="AW33" i="14"/>
  <c r="AX33" i="14"/>
  <c r="AZ18" i="14"/>
  <c r="AW25" i="14"/>
  <c r="AW30" i="14"/>
  <c r="AX24" i="14"/>
  <c r="AZ28" i="14"/>
  <c r="AZ16" i="14"/>
  <c r="AX16" i="14"/>
  <c r="AW16" i="14"/>
  <c r="AZ17" i="13"/>
  <c r="AW38" i="13"/>
  <c r="AZ38" i="13"/>
  <c r="AZ28" i="13"/>
  <c r="AW39" i="13"/>
  <c r="AZ29" i="13"/>
  <c r="AW30" i="13"/>
  <c r="AX23" i="13"/>
  <c r="AZ30" i="13"/>
  <c r="AZ37" i="13"/>
  <c r="AW36" i="13"/>
  <c r="AZ33" i="13"/>
  <c r="AW24" i="13"/>
  <c r="AX33" i="13"/>
  <c r="AZ31" i="13"/>
  <c r="AW21" i="13"/>
  <c r="AZ19" i="13"/>
  <c r="AX40" i="13"/>
  <c r="AX35" i="13"/>
  <c r="AX27" i="13"/>
  <c r="AW18" i="13"/>
  <c r="AX17" i="13"/>
  <c r="AZ25" i="13"/>
  <c r="AX19" i="13"/>
  <c r="AZ40" i="13"/>
  <c r="AW28" i="13"/>
  <c r="AZ21" i="13"/>
  <c r="AZ39" i="13"/>
  <c r="AW19" i="13"/>
  <c r="AX22" i="13"/>
  <c r="AW40" i="13"/>
  <c r="AX18" i="13"/>
  <c r="AX32" i="13"/>
  <c r="AZ34" i="13"/>
  <c r="AZ32" i="13"/>
  <c r="AX29" i="13"/>
  <c r="AX24" i="13"/>
  <c r="AX20" i="13"/>
  <c r="AW27" i="13"/>
  <c r="AZ22" i="13"/>
  <c r="AX25" i="13"/>
  <c r="AW17" i="13"/>
  <c r="AZ35" i="13"/>
  <c r="AZ36" i="13"/>
  <c r="AW26" i="13"/>
  <c r="AW35" i="13"/>
  <c r="AX39" i="13"/>
  <c r="AW31" i="13"/>
  <c r="AW29" i="13"/>
  <c r="AX36" i="13"/>
  <c r="AW37" i="13"/>
  <c r="AZ24" i="13"/>
  <c r="AX30" i="13"/>
  <c r="AZ26" i="13"/>
  <c r="AX26" i="13"/>
  <c r="AW23" i="13"/>
  <c r="AW34" i="13"/>
  <c r="AW22" i="13"/>
  <c r="AX34" i="13"/>
  <c r="AX38" i="13"/>
  <c r="AX21" i="13"/>
  <c r="AZ23" i="13"/>
  <c r="AW25" i="13"/>
  <c r="AW32" i="13"/>
  <c r="AX37" i="13"/>
  <c r="AW20" i="13"/>
  <c r="AW33" i="13"/>
  <c r="AZ27" i="13"/>
  <c r="AX28" i="13"/>
  <c r="AZ20" i="13"/>
  <c r="AZ18" i="13"/>
  <c r="AX31" i="13"/>
  <c r="AZ16" i="13"/>
  <c r="AW16" i="13"/>
  <c r="AX16" i="13"/>
  <c r="AS17" i="13"/>
  <c r="AS20" i="13"/>
  <c r="AS38" i="13"/>
  <c r="AS19" i="13"/>
  <c r="AS28" i="13"/>
  <c r="AS37" i="13"/>
  <c r="AD35" i="13"/>
  <c r="AE35" i="13" s="1"/>
  <c r="AS18" i="13"/>
  <c r="AS27" i="13"/>
  <c r="AS29" i="13"/>
  <c r="AS34" i="13"/>
  <c r="AS22" i="13"/>
  <c r="AS23" i="13"/>
  <c r="AS24" i="13"/>
  <c r="AS25" i="13"/>
  <c r="AS26" i="13"/>
  <c r="AS32" i="13"/>
  <c r="AD19" i="13"/>
  <c r="AE19" i="13" s="1"/>
  <c r="AS21" i="13"/>
  <c r="AS16" i="13"/>
  <c r="AS30" i="13"/>
  <c r="AS36" i="13"/>
  <c r="AS33" i="13"/>
  <c r="AD32" i="13"/>
  <c r="AE32" i="13" s="1"/>
  <c r="AS31" i="13"/>
  <c r="AS35" i="13"/>
  <c r="AS39" i="13"/>
  <c r="AS40" i="13"/>
  <c r="BN30" i="13"/>
  <c r="AS24" i="14"/>
  <c r="AD16" i="13"/>
  <c r="AE16" i="13" s="1"/>
  <c r="BA38" i="13"/>
  <c r="BA39" i="13"/>
  <c r="BA30" i="13"/>
  <c r="BB23" i="13"/>
  <c r="BA36" i="13"/>
  <c r="BA24" i="13"/>
  <c r="BB33" i="13"/>
  <c r="BA21" i="13"/>
  <c r="BB40" i="13"/>
  <c r="BB35" i="13"/>
  <c r="BB27" i="13"/>
  <c r="BA18" i="13"/>
  <c r="BB17" i="13"/>
  <c r="BB19" i="13"/>
  <c r="BA28" i="13"/>
  <c r="BA19" i="13"/>
  <c r="BB22" i="13"/>
  <c r="BA40" i="13"/>
  <c r="BB18" i="13"/>
  <c r="BB32" i="13"/>
  <c r="BB29" i="13"/>
  <c r="BB24" i="13"/>
  <c r="BB20" i="13"/>
  <c r="BA27" i="13"/>
  <c r="BB25" i="13"/>
  <c r="BA17" i="13"/>
  <c r="BA26" i="13"/>
  <c r="BA35" i="13"/>
  <c r="BB39" i="13"/>
  <c r="BA31" i="13"/>
  <c r="BA29" i="13"/>
  <c r="BB36" i="13"/>
  <c r="BA37" i="13"/>
  <c r="BB30" i="13"/>
  <c r="BB26" i="13"/>
  <c r="BA23" i="13"/>
  <c r="BA34" i="13"/>
  <c r="BA22" i="13"/>
  <c r="BB34" i="13"/>
  <c r="BB38" i="13"/>
  <c r="BB21" i="13"/>
  <c r="BA25" i="13"/>
  <c r="BA32" i="13"/>
  <c r="BB37" i="13"/>
  <c r="BA20" i="13"/>
  <c r="BA33" i="13"/>
  <c r="BB28" i="13"/>
  <c r="BB31" i="13"/>
  <c r="BA16" i="13"/>
  <c r="BB16" i="13"/>
  <c r="BA29" i="14"/>
  <c r="BB21" i="14"/>
  <c r="BA27" i="14"/>
  <c r="BA39" i="14"/>
  <c r="BB38" i="14"/>
  <c r="BB20" i="14"/>
  <c r="BA20" i="14"/>
  <c r="BB27" i="14"/>
  <c r="BB37" i="14"/>
  <c r="BA36" i="14"/>
  <c r="BB23" i="14"/>
  <c r="BB29" i="14"/>
  <c r="BA21" i="14"/>
  <c r="BB28" i="14"/>
  <c r="BA26" i="14"/>
  <c r="BA17" i="14"/>
  <c r="BA23" i="14"/>
  <c r="BA34" i="14"/>
  <c r="BA32" i="14"/>
  <c r="BB31" i="14"/>
  <c r="BB22" i="14"/>
  <c r="BA28" i="14"/>
  <c r="BA37" i="14"/>
  <c r="BB18" i="14"/>
  <c r="BA40" i="14"/>
  <c r="BB35" i="14"/>
  <c r="BB32" i="14"/>
  <c r="BA19" i="14"/>
  <c r="BA22" i="14"/>
  <c r="BA38" i="14"/>
  <c r="BB36" i="14"/>
  <c r="BB25" i="14"/>
  <c r="BB30" i="14"/>
  <c r="BB40" i="14"/>
  <c r="BB39" i="14"/>
  <c r="BA31" i="14"/>
  <c r="BB17" i="14"/>
  <c r="BB34" i="14"/>
  <c r="BB19" i="14"/>
  <c r="BA18" i="14"/>
  <c r="BA35" i="14"/>
  <c r="BA24" i="14"/>
  <c r="BB26" i="14"/>
  <c r="BA33" i="14"/>
  <c r="BB33" i="14"/>
  <c r="BA25" i="14"/>
  <c r="BA30" i="14"/>
  <c r="BB24" i="14"/>
  <c r="BB16" i="14"/>
  <c r="BA16" i="14"/>
  <c r="AS16" i="14"/>
  <c r="AS19" i="14"/>
  <c r="AS30" i="14"/>
  <c r="AS28" i="14"/>
  <c r="AS40" i="14"/>
  <c r="AS22" i="14"/>
  <c r="AS23" i="14"/>
  <c r="AS38" i="14"/>
  <c r="AS18" i="14"/>
  <c r="AS20" i="14"/>
  <c r="AS34" i="14"/>
  <c r="AS32" i="14"/>
  <c r="AS35" i="14"/>
  <c r="AS36" i="14"/>
  <c r="AS26" i="14"/>
  <c r="AS27" i="14"/>
  <c r="AS31" i="14"/>
  <c r="AS33" i="14"/>
  <c r="AS39" i="14"/>
  <c r="AS25" i="14"/>
  <c r="AS29" i="14"/>
  <c r="BN37" i="14"/>
  <c r="AS37" i="14"/>
  <c r="AF21" i="14"/>
  <c r="BN20" i="14"/>
  <c r="BN22" i="13"/>
  <c r="BN19" i="13"/>
  <c r="O16" i="13"/>
  <c r="AF16" i="13"/>
  <c r="BN23" i="14"/>
  <c r="BN40" i="14"/>
  <c r="BN38" i="14"/>
  <c r="BN24" i="14"/>
  <c r="O18" i="14"/>
  <c r="AD16" i="14"/>
  <c r="AE16" i="14" s="1"/>
  <c r="O27" i="14"/>
  <c r="AD27" i="14"/>
  <c r="AE27" i="14" s="1"/>
  <c r="AD38" i="14"/>
  <c r="AE38" i="14" s="1"/>
  <c r="BN19" i="14"/>
  <c r="BN29" i="13"/>
  <c r="BN35" i="13"/>
  <c r="BN17" i="13"/>
  <c r="BN21" i="13"/>
  <c r="BN39" i="13"/>
  <c r="BN34" i="14"/>
  <c r="AD30" i="14"/>
  <c r="AE30" i="14" s="1"/>
  <c r="AD40" i="14"/>
  <c r="AE40" i="14" s="1"/>
  <c r="AF20" i="14"/>
  <c r="O33" i="14"/>
  <c r="BN30" i="14"/>
  <c r="BN23" i="13"/>
  <c r="BN24" i="13"/>
  <c r="BN25" i="13"/>
  <c r="AF31" i="14"/>
  <c r="AF30" i="14"/>
  <c r="AD24" i="14"/>
  <c r="AE24" i="14" s="1"/>
  <c r="O34" i="14"/>
  <c r="O26" i="14"/>
  <c r="AF22" i="13"/>
  <c r="O34" i="13"/>
  <c r="BN28" i="14"/>
  <c r="AF19" i="14"/>
  <c r="O40" i="14"/>
  <c r="AF17" i="14"/>
  <c r="O17" i="14"/>
  <c r="BN36" i="14"/>
  <c r="AF24" i="14"/>
  <c r="O23" i="14"/>
  <c r="O38" i="14"/>
  <c r="BN33" i="14"/>
  <c r="AD21" i="14"/>
  <c r="AE21" i="14" s="1"/>
  <c r="AF35" i="14"/>
  <c r="AF36" i="14"/>
  <c r="AF32" i="14"/>
  <c r="AD20" i="14"/>
  <c r="AE20" i="14" s="1"/>
  <c r="AF22" i="14"/>
  <c r="AD22" i="14"/>
  <c r="AE22" i="14" s="1"/>
  <c r="AD33" i="14"/>
  <c r="AE33" i="14" s="1"/>
  <c r="AF37" i="14"/>
  <c r="AF26" i="14"/>
  <c r="AF16" i="14"/>
  <c r="O25" i="14"/>
  <c r="BN25" i="14"/>
  <c r="BN29" i="14"/>
  <c r="O29" i="14"/>
  <c r="AD25" i="14"/>
  <c r="AE25" i="14" s="1"/>
  <c r="AF39" i="14"/>
  <c r="AD37" i="14"/>
  <c r="AE37" i="14" s="1"/>
  <c r="AD39" i="14"/>
  <c r="AE39" i="14" s="1"/>
  <c r="BN18" i="14"/>
  <c r="O20" i="14"/>
  <c r="O37" i="14"/>
  <c r="BN32" i="14"/>
  <c r="O32" i="14"/>
  <c r="O39" i="14"/>
  <c r="BN39" i="14"/>
  <c r="AF23" i="14"/>
  <c r="BN26" i="14"/>
  <c r="AD17" i="14"/>
  <c r="AE17" i="14" s="1"/>
  <c r="AD26" i="14"/>
  <c r="AE26" i="14" s="1"/>
  <c r="AF27" i="14"/>
  <c r="AF28" i="14"/>
  <c r="AD28" i="14"/>
  <c r="AE28" i="14" s="1"/>
  <c r="AD32" i="14"/>
  <c r="AE32" i="14" s="1"/>
  <c r="AF40" i="14"/>
  <c r="AD36" i="14"/>
  <c r="AE36" i="14" s="1"/>
  <c r="AD19" i="14"/>
  <c r="AE19" i="14" s="1"/>
  <c r="BN27" i="14"/>
  <c r="BN17" i="14"/>
  <c r="O24" i="14"/>
  <c r="O21" i="14"/>
  <c r="BN21" i="14"/>
  <c r="BN22" i="14"/>
  <c r="O22" i="14"/>
  <c r="AF33" i="14"/>
  <c r="AD23" i="14"/>
  <c r="AE23" i="14" s="1"/>
  <c r="AF18" i="14"/>
  <c r="AD18" i="14"/>
  <c r="AE18" i="14" s="1"/>
  <c r="AF34" i="14"/>
  <c r="AD29" i="14"/>
  <c r="AE29" i="14" s="1"/>
  <c r="AD31" i="14"/>
  <c r="AE31" i="14" s="1"/>
  <c r="AD34" i="14"/>
  <c r="AE34" i="14" s="1"/>
  <c r="AD35" i="14"/>
  <c r="AE35" i="14" s="1"/>
  <c r="AF38" i="14"/>
  <c r="O15" i="14"/>
  <c r="O16" i="14"/>
  <c r="BN16" i="14"/>
  <c r="O19" i="14"/>
  <c r="O30" i="14"/>
  <c r="O31" i="14"/>
  <c r="BN31" i="14"/>
  <c r="BN35" i="14"/>
  <c r="O35" i="14"/>
  <c r="O36" i="14"/>
  <c r="AD27" i="13"/>
  <c r="AE27" i="13" s="1"/>
  <c r="AD26" i="13"/>
  <c r="AE26" i="13" s="1"/>
  <c r="AD25" i="13"/>
  <c r="AE25" i="13" s="1"/>
  <c r="AF30" i="13"/>
  <c r="AD37" i="13"/>
  <c r="AE37" i="13" s="1"/>
  <c r="AD29" i="13"/>
  <c r="AE29" i="13" s="1"/>
  <c r="AD18" i="13"/>
  <c r="AE18" i="13" s="1"/>
  <c r="AD20" i="13"/>
  <c r="AE20" i="13" s="1"/>
  <c r="AD31" i="13"/>
  <c r="AE31" i="13" s="1"/>
  <c r="AF38" i="13"/>
  <c r="O30" i="13"/>
  <c r="AF24" i="13"/>
  <c r="AF36" i="13"/>
  <c r="AD34" i="13"/>
  <c r="AE34" i="13" s="1"/>
  <c r="O20" i="13"/>
  <c r="BN26" i="13"/>
  <c r="BN33" i="13"/>
  <c r="BN31" i="13"/>
  <c r="O38" i="13"/>
  <c r="O39" i="13"/>
  <c r="AD28" i="13"/>
  <c r="AE28" i="13" s="1"/>
  <c r="AF39" i="13"/>
  <c r="O19" i="13"/>
  <c r="O18" i="13"/>
  <c r="O27" i="13"/>
  <c r="O28" i="13"/>
  <c r="O29" i="13"/>
  <c r="O37" i="13"/>
  <c r="AF21" i="13"/>
  <c r="AF23" i="13"/>
  <c r="AD36" i="13"/>
  <c r="AE36" i="13" s="1"/>
  <c r="AF40" i="13"/>
  <c r="O40" i="13"/>
  <c r="BN40" i="13"/>
  <c r="O26" i="13"/>
  <c r="BN16" i="13"/>
  <c r="BN34" i="13"/>
  <c r="BN28" i="13"/>
  <c r="AD23" i="13"/>
  <c r="AE23" i="13" s="1"/>
  <c r="AF19" i="13"/>
  <c r="AF20" i="13"/>
  <c r="AF28" i="13"/>
  <c r="AD24" i="13"/>
  <c r="AE24" i="13" s="1"/>
  <c r="AF27" i="13"/>
  <c r="AF31" i="13"/>
  <c r="AF32" i="13"/>
  <c r="AF34" i="13"/>
  <c r="AF37" i="13"/>
  <c r="AD40" i="13"/>
  <c r="AE40" i="13" s="1"/>
  <c r="O33" i="13"/>
  <c r="O31" i="13"/>
  <c r="O35" i="13"/>
  <c r="O36" i="13"/>
  <c r="BN36" i="13"/>
  <c r="O17" i="13"/>
  <c r="BN38" i="13"/>
  <c r="AD30" i="13"/>
  <c r="AE30" i="13" s="1"/>
  <c r="AF33" i="13"/>
  <c r="BN37" i="13"/>
  <c r="BN27" i="13"/>
  <c r="BN18" i="13"/>
  <c r="O15" i="13"/>
  <c r="AF18" i="13"/>
  <c r="AD21" i="13"/>
  <c r="AE21" i="13" s="1"/>
  <c r="AD22" i="13"/>
  <c r="AE22" i="13" s="1"/>
  <c r="AF25" i="13"/>
  <c r="AF26" i="13"/>
  <c r="AD33" i="13"/>
  <c r="AE33" i="13" s="1"/>
  <c r="AF29" i="13"/>
  <c r="AD38" i="13"/>
  <c r="AE38" i="13" s="1"/>
  <c r="AD39" i="13"/>
  <c r="AE39" i="13" s="1"/>
  <c r="AF35" i="13"/>
  <c r="O23" i="13"/>
  <c r="O21" i="13"/>
  <c r="O22" i="13"/>
  <c r="O24" i="13"/>
  <c r="O25" i="13"/>
  <c r="BN20" i="13"/>
  <c r="AD17" i="13"/>
  <c r="AE17" i="13" s="1"/>
  <c r="AR23" i="13"/>
  <c r="AR33" i="13"/>
  <c r="AR40" i="13"/>
  <c r="AR34" i="13"/>
  <c r="AR31" i="13"/>
  <c r="AR38" i="13"/>
  <c r="AR18" i="13"/>
  <c r="AR27" i="13"/>
  <c r="AR16" i="13"/>
  <c r="AR21" i="13"/>
  <c r="AR25" i="13"/>
  <c r="AR20" i="13"/>
  <c r="AR17" i="13"/>
  <c r="AR28" i="13"/>
  <c r="AR30" i="13"/>
  <c r="AR36" i="13"/>
  <c r="AR19" i="13"/>
  <c r="AR22" i="13"/>
  <c r="AR39" i="13"/>
  <c r="AR24" i="13"/>
  <c r="AR29" i="13"/>
  <c r="AR37" i="13"/>
  <c r="AR35" i="13"/>
  <c r="AR26" i="13"/>
  <c r="AG33" i="13"/>
  <c r="AG37" i="13"/>
  <c r="AG23" i="13"/>
  <c r="AG18" i="13"/>
  <c r="AG20" i="13"/>
  <c r="AG26" i="13"/>
  <c r="AR39" i="14"/>
  <c r="AR27" i="14"/>
  <c r="AR29" i="14"/>
  <c r="AR22" i="14"/>
  <c r="AR16" i="14"/>
  <c r="AR26" i="14"/>
  <c r="AG37" i="14"/>
  <c r="AG36" i="14"/>
  <c r="AG34" i="14"/>
  <c r="AG26" i="14"/>
  <c r="AG16" i="14"/>
  <c r="AG21" i="14"/>
  <c r="AG39" i="13"/>
  <c r="AG22" i="13"/>
  <c r="AG31" i="13"/>
  <c r="AG29" i="13"/>
  <c r="AR37" i="14"/>
  <c r="AR20" i="14"/>
  <c r="AR33" i="14"/>
  <c r="AR40" i="14"/>
  <c r="AR24" i="14"/>
  <c r="AR30" i="14"/>
  <c r="AG31" i="14"/>
  <c r="AG40" i="14"/>
  <c r="AG22" i="14"/>
  <c r="AG19" i="14"/>
  <c r="AG23" i="14"/>
  <c r="AG27" i="14"/>
  <c r="AG16" i="13"/>
  <c r="AG24" i="13"/>
  <c r="AG28" i="13"/>
  <c r="AG40" i="13"/>
  <c r="AG32" i="13"/>
  <c r="AG19" i="13"/>
  <c r="AG27" i="13"/>
  <c r="AR32" i="14"/>
  <c r="AR34" i="14"/>
  <c r="AR23" i="14"/>
  <c r="AR38" i="14"/>
  <c r="AR36" i="14"/>
  <c r="AR35" i="14"/>
  <c r="AG30" i="14"/>
  <c r="AG39" i="14"/>
  <c r="AG38" i="14"/>
  <c r="AG35" i="14"/>
  <c r="AG20" i="14"/>
  <c r="AG33" i="14"/>
  <c r="AG30" i="13"/>
  <c r="AG21" i="13"/>
  <c r="AG36" i="13"/>
  <c r="AG25" i="13"/>
  <c r="AG35" i="13"/>
  <c r="AG38" i="13"/>
  <c r="AG34" i="13"/>
  <c r="AR31" i="14"/>
  <c r="AR19" i="14"/>
  <c r="AR25" i="14"/>
  <c r="AR21" i="14"/>
  <c r="AR18" i="14"/>
  <c r="AR17" i="14"/>
  <c r="AG17" i="14"/>
  <c r="AG28" i="14"/>
  <c r="AG18" i="14"/>
  <c r="AG24" i="14"/>
  <c r="AG32" i="14"/>
  <c r="B33" i="13" l="1"/>
  <c r="B39" i="13"/>
  <c r="B37" i="13"/>
  <c r="B16" i="13"/>
  <c r="B20" i="13"/>
  <c r="B22" i="13"/>
  <c r="B35" i="13"/>
  <c r="B17" i="13"/>
  <c r="B40" i="13"/>
  <c r="B38" i="13"/>
  <c r="B27" i="14"/>
  <c r="B32" i="14"/>
  <c r="B34" i="13"/>
  <c r="B19" i="13"/>
  <c r="B24" i="14"/>
  <c r="B34" i="14"/>
  <c r="B36" i="13"/>
  <c r="B18" i="13"/>
  <c r="B32" i="13"/>
  <c r="B21" i="13"/>
  <c r="B39" i="14"/>
  <c r="B35" i="14"/>
  <c r="B37" i="14"/>
  <c r="B28" i="14"/>
  <c r="B23" i="14"/>
  <c r="B26" i="14"/>
  <c r="B29" i="14"/>
  <c r="B21" i="14"/>
  <c r="B36" i="14"/>
  <c r="B25" i="14"/>
  <c r="B19" i="14"/>
  <c r="B20" i="14"/>
  <c r="B16" i="14"/>
  <c r="B30" i="14"/>
  <c r="B33" i="14"/>
  <c r="B18" i="14"/>
  <c r="B31" i="14"/>
  <c r="B22" i="14"/>
  <c r="B40" i="14"/>
  <c r="B17" i="14"/>
  <c r="B38" i="14"/>
  <c r="C12" i="13" l="1"/>
  <c r="B12" i="13"/>
  <c r="B11" i="13"/>
  <c r="C12" i="14"/>
  <c r="B12" i="14"/>
  <c r="B11" i="14"/>
  <c r="L40" i="12"/>
  <c r="K40" i="12"/>
  <c r="AT40" i="12" s="1"/>
  <c r="J40" i="12"/>
  <c r="I40" i="12"/>
  <c r="H40" i="12"/>
  <c r="AO40" i="12" s="1"/>
  <c r="G40" i="12"/>
  <c r="F40" i="12"/>
  <c r="E40" i="12"/>
  <c r="D40" i="12"/>
  <c r="L39" i="12"/>
  <c r="K39" i="12"/>
  <c r="AT39" i="12" s="1"/>
  <c r="J39" i="12"/>
  <c r="I39" i="12"/>
  <c r="H39" i="12"/>
  <c r="AO39" i="12" s="1"/>
  <c r="G39" i="12"/>
  <c r="F39" i="12"/>
  <c r="E39" i="12"/>
  <c r="D39" i="12"/>
  <c r="L38" i="12"/>
  <c r="K38" i="12"/>
  <c r="AT38" i="12" s="1"/>
  <c r="J38" i="12"/>
  <c r="I38" i="12"/>
  <c r="H38" i="12"/>
  <c r="AO38" i="12" s="1"/>
  <c r="G38" i="12"/>
  <c r="F38" i="12"/>
  <c r="E38" i="12"/>
  <c r="D38" i="12"/>
  <c r="L37" i="12"/>
  <c r="K37" i="12"/>
  <c r="AT37" i="12" s="1"/>
  <c r="J37" i="12"/>
  <c r="I37" i="12"/>
  <c r="H37" i="12"/>
  <c r="AO37" i="12" s="1"/>
  <c r="G37" i="12"/>
  <c r="F37" i="12"/>
  <c r="E37" i="12"/>
  <c r="D37" i="12"/>
  <c r="L36" i="12"/>
  <c r="K36" i="12"/>
  <c r="AT36" i="12" s="1"/>
  <c r="J36" i="12"/>
  <c r="I36" i="12"/>
  <c r="H36" i="12"/>
  <c r="AO36" i="12" s="1"/>
  <c r="G36" i="12"/>
  <c r="F36" i="12"/>
  <c r="E36" i="12"/>
  <c r="D36" i="12"/>
  <c r="L35" i="12"/>
  <c r="K35" i="12"/>
  <c r="AT35" i="12" s="1"/>
  <c r="J35" i="12"/>
  <c r="I35" i="12"/>
  <c r="H35" i="12"/>
  <c r="AO35" i="12" s="1"/>
  <c r="G35" i="12"/>
  <c r="F35" i="12"/>
  <c r="E35" i="12"/>
  <c r="D35" i="12"/>
  <c r="L34" i="12"/>
  <c r="K34" i="12"/>
  <c r="AT34" i="12" s="1"/>
  <c r="J34" i="12"/>
  <c r="I34" i="12"/>
  <c r="H34" i="12"/>
  <c r="AO34" i="12" s="1"/>
  <c r="G34" i="12"/>
  <c r="F34" i="12"/>
  <c r="E34" i="12"/>
  <c r="D34" i="12"/>
  <c r="L33" i="12"/>
  <c r="K33" i="12"/>
  <c r="AT33" i="12" s="1"/>
  <c r="J33" i="12"/>
  <c r="I33" i="12"/>
  <c r="H33" i="12"/>
  <c r="AO33" i="12" s="1"/>
  <c r="G33" i="12"/>
  <c r="F33" i="12"/>
  <c r="E33" i="12"/>
  <c r="D33" i="12"/>
  <c r="L32" i="12"/>
  <c r="K32" i="12"/>
  <c r="AT32" i="12" s="1"/>
  <c r="J32" i="12"/>
  <c r="I32" i="12"/>
  <c r="H32" i="12"/>
  <c r="AO32" i="12" s="1"/>
  <c r="G32" i="12"/>
  <c r="F32" i="12"/>
  <c r="E32" i="12"/>
  <c r="D32" i="12"/>
  <c r="L31" i="12"/>
  <c r="K31" i="12"/>
  <c r="AT31" i="12" s="1"/>
  <c r="J31" i="12"/>
  <c r="I31" i="12"/>
  <c r="H31" i="12"/>
  <c r="AO31" i="12" s="1"/>
  <c r="G31" i="12"/>
  <c r="F31" i="12"/>
  <c r="E31" i="12"/>
  <c r="D31" i="12"/>
  <c r="L30" i="12"/>
  <c r="K30" i="12"/>
  <c r="AT30" i="12" s="1"/>
  <c r="J30" i="12"/>
  <c r="I30" i="12"/>
  <c r="H30" i="12"/>
  <c r="AO30" i="12" s="1"/>
  <c r="G30" i="12"/>
  <c r="F30" i="12"/>
  <c r="E30" i="12"/>
  <c r="D30" i="12"/>
  <c r="L29" i="12"/>
  <c r="K29" i="12"/>
  <c r="AT29" i="12" s="1"/>
  <c r="J29" i="12"/>
  <c r="I29" i="12"/>
  <c r="H29" i="12"/>
  <c r="AO29" i="12" s="1"/>
  <c r="G29" i="12"/>
  <c r="F29" i="12"/>
  <c r="E29" i="12"/>
  <c r="D29" i="12"/>
  <c r="L28" i="12"/>
  <c r="K28" i="12"/>
  <c r="AT28" i="12" s="1"/>
  <c r="J28" i="12"/>
  <c r="I28" i="12"/>
  <c r="H28" i="12"/>
  <c r="AO28" i="12" s="1"/>
  <c r="G28" i="12"/>
  <c r="F28" i="12"/>
  <c r="E28" i="12"/>
  <c r="D28" i="12"/>
  <c r="L27" i="12"/>
  <c r="K27" i="12"/>
  <c r="AT27" i="12" s="1"/>
  <c r="J27" i="12"/>
  <c r="I27" i="12"/>
  <c r="H27" i="12"/>
  <c r="AO27" i="12" s="1"/>
  <c r="G27" i="12"/>
  <c r="F27" i="12"/>
  <c r="E27" i="12"/>
  <c r="D27" i="12"/>
  <c r="L26" i="12"/>
  <c r="K26" i="12"/>
  <c r="AT26" i="12" s="1"/>
  <c r="J26" i="12"/>
  <c r="I26" i="12"/>
  <c r="H26" i="12"/>
  <c r="AO26" i="12" s="1"/>
  <c r="G26" i="12"/>
  <c r="F26" i="12"/>
  <c r="E26" i="12"/>
  <c r="D26" i="12"/>
  <c r="L25" i="12"/>
  <c r="K25" i="12"/>
  <c r="AT25" i="12" s="1"/>
  <c r="J25" i="12"/>
  <c r="I25" i="12"/>
  <c r="H25" i="12"/>
  <c r="AO25" i="12" s="1"/>
  <c r="G25" i="12"/>
  <c r="F25" i="12"/>
  <c r="E25" i="12"/>
  <c r="D25" i="12"/>
  <c r="L24" i="12"/>
  <c r="K24" i="12"/>
  <c r="AT24" i="12" s="1"/>
  <c r="J24" i="12"/>
  <c r="I24" i="12"/>
  <c r="H24" i="12"/>
  <c r="AO24" i="12" s="1"/>
  <c r="G24" i="12"/>
  <c r="F24" i="12"/>
  <c r="E24" i="12"/>
  <c r="D24" i="12"/>
  <c r="L23" i="12"/>
  <c r="K23" i="12"/>
  <c r="AT23" i="12" s="1"/>
  <c r="J23" i="12"/>
  <c r="I23" i="12"/>
  <c r="H23" i="12"/>
  <c r="AO23" i="12" s="1"/>
  <c r="G23" i="12"/>
  <c r="F23" i="12"/>
  <c r="E23" i="12"/>
  <c r="D23" i="12"/>
  <c r="L22" i="12"/>
  <c r="K22" i="12"/>
  <c r="AT22" i="12" s="1"/>
  <c r="J22" i="12"/>
  <c r="I22" i="12"/>
  <c r="H22" i="12"/>
  <c r="AO22" i="12" s="1"/>
  <c r="G22" i="12"/>
  <c r="F22" i="12"/>
  <c r="E22" i="12"/>
  <c r="D22" i="12"/>
  <c r="L21" i="12"/>
  <c r="K21" i="12"/>
  <c r="AT21" i="12" s="1"/>
  <c r="J21" i="12"/>
  <c r="I21" i="12"/>
  <c r="H21" i="12"/>
  <c r="AO21" i="12" s="1"/>
  <c r="G21" i="12"/>
  <c r="F21" i="12"/>
  <c r="E21" i="12"/>
  <c r="D21" i="12"/>
  <c r="L20" i="12"/>
  <c r="K20" i="12"/>
  <c r="AT20" i="12" s="1"/>
  <c r="J20" i="12"/>
  <c r="I20" i="12"/>
  <c r="H20" i="12"/>
  <c r="AO20" i="12" s="1"/>
  <c r="G20" i="12"/>
  <c r="F20" i="12"/>
  <c r="E20" i="12"/>
  <c r="D20" i="12"/>
  <c r="L19" i="12"/>
  <c r="K19" i="12"/>
  <c r="AT19" i="12" s="1"/>
  <c r="J19" i="12"/>
  <c r="I19" i="12"/>
  <c r="H19" i="12"/>
  <c r="AO19" i="12" s="1"/>
  <c r="G19" i="12"/>
  <c r="F19" i="12"/>
  <c r="E19" i="12"/>
  <c r="D19" i="12"/>
  <c r="L18" i="12"/>
  <c r="K18" i="12"/>
  <c r="AT18" i="12" s="1"/>
  <c r="J18" i="12"/>
  <c r="I18" i="12"/>
  <c r="H18" i="12"/>
  <c r="AO18" i="12" s="1"/>
  <c r="G18" i="12"/>
  <c r="F18" i="12"/>
  <c r="E18" i="12"/>
  <c r="D18" i="12"/>
  <c r="L17" i="12"/>
  <c r="K17" i="12"/>
  <c r="AT17" i="12" s="1"/>
  <c r="J17" i="12"/>
  <c r="I17" i="12"/>
  <c r="H17" i="12"/>
  <c r="AO17" i="12" s="1"/>
  <c r="G17" i="12"/>
  <c r="F17" i="12"/>
  <c r="E17" i="12"/>
  <c r="D17" i="12"/>
  <c r="L16" i="12"/>
  <c r="K16" i="12"/>
  <c r="AT16" i="12" s="1"/>
  <c r="J16" i="12"/>
  <c r="I16" i="12"/>
  <c r="H16" i="12"/>
  <c r="AO16" i="12" s="1"/>
  <c r="G16" i="12"/>
  <c r="F16" i="12"/>
  <c r="E16" i="12"/>
  <c r="D16" i="12"/>
  <c r="L15" i="12"/>
  <c r="M15" i="12" s="1"/>
  <c r="K15" i="12"/>
  <c r="J15" i="12"/>
  <c r="I15" i="12"/>
  <c r="H15" i="12"/>
  <c r="G15" i="12"/>
  <c r="F15" i="12"/>
  <c r="E15" i="12"/>
  <c r="D15" i="12"/>
  <c r="L40" i="11"/>
  <c r="K40" i="11"/>
  <c r="AT40" i="11" s="1"/>
  <c r="J40" i="11"/>
  <c r="I40" i="11"/>
  <c r="H40" i="11"/>
  <c r="AO40" i="11" s="1"/>
  <c r="G40" i="11"/>
  <c r="F40" i="11"/>
  <c r="E40" i="11"/>
  <c r="D40" i="11"/>
  <c r="L39" i="11"/>
  <c r="K39" i="11"/>
  <c r="AT39" i="11" s="1"/>
  <c r="J39" i="11"/>
  <c r="I39" i="11"/>
  <c r="H39" i="11"/>
  <c r="AO39" i="11" s="1"/>
  <c r="G39" i="11"/>
  <c r="F39" i="11"/>
  <c r="E39" i="11"/>
  <c r="D39" i="11"/>
  <c r="L38" i="11"/>
  <c r="K38" i="11"/>
  <c r="AT38" i="11" s="1"/>
  <c r="J38" i="11"/>
  <c r="I38" i="11"/>
  <c r="H38" i="11"/>
  <c r="AO38" i="11" s="1"/>
  <c r="G38" i="11"/>
  <c r="F38" i="11"/>
  <c r="E38" i="11"/>
  <c r="D38" i="11"/>
  <c r="L37" i="11"/>
  <c r="K37" i="11"/>
  <c r="AT37" i="11" s="1"/>
  <c r="J37" i="11"/>
  <c r="I37" i="11"/>
  <c r="H37" i="11"/>
  <c r="AO37" i="11" s="1"/>
  <c r="G37" i="11"/>
  <c r="F37" i="11"/>
  <c r="E37" i="11"/>
  <c r="D37" i="11"/>
  <c r="L36" i="11"/>
  <c r="K36" i="11"/>
  <c r="AT36" i="11" s="1"/>
  <c r="J36" i="11"/>
  <c r="I36" i="11"/>
  <c r="H36" i="11"/>
  <c r="AO36" i="11" s="1"/>
  <c r="G36" i="11"/>
  <c r="F36" i="11"/>
  <c r="E36" i="11"/>
  <c r="D36" i="11"/>
  <c r="L35" i="11"/>
  <c r="K35" i="11"/>
  <c r="AT35" i="11" s="1"/>
  <c r="J35" i="11"/>
  <c r="I35" i="11"/>
  <c r="H35" i="11"/>
  <c r="AO35" i="11" s="1"/>
  <c r="G35" i="11"/>
  <c r="F35" i="11"/>
  <c r="E35" i="11"/>
  <c r="D35" i="11"/>
  <c r="L34" i="11"/>
  <c r="K34" i="11"/>
  <c r="AT34" i="11" s="1"/>
  <c r="J34" i="11"/>
  <c r="I34" i="11"/>
  <c r="H34" i="11"/>
  <c r="AO34" i="11" s="1"/>
  <c r="G34" i="11"/>
  <c r="F34" i="11"/>
  <c r="E34" i="11"/>
  <c r="D34" i="11"/>
  <c r="L33" i="11"/>
  <c r="K33" i="11"/>
  <c r="AT33" i="11" s="1"/>
  <c r="J33" i="11"/>
  <c r="I33" i="11"/>
  <c r="H33" i="11"/>
  <c r="AO33" i="11" s="1"/>
  <c r="G33" i="11"/>
  <c r="F33" i="11"/>
  <c r="E33" i="11"/>
  <c r="D33" i="11"/>
  <c r="L32" i="11"/>
  <c r="K32" i="11"/>
  <c r="AT32" i="11" s="1"/>
  <c r="J32" i="11"/>
  <c r="I32" i="11"/>
  <c r="H32" i="11"/>
  <c r="AO32" i="11" s="1"/>
  <c r="G32" i="11"/>
  <c r="F32" i="11"/>
  <c r="E32" i="11"/>
  <c r="D32" i="11"/>
  <c r="L31" i="11"/>
  <c r="K31" i="11"/>
  <c r="AT31" i="11" s="1"/>
  <c r="J31" i="11"/>
  <c r="I31" i="11"/>
  <c r="H31" i="11"/>
  <c r="AO31" i="11" s="1"/>
  <c r="G31" i="11"/>
  <c r="F31" i="11"/>
  <c r="E31" i="11"/>
  <c r="D31" i="11"/>
  <c r="L30" i="11"/>
  <c r="K30" i="11"/>
  <c r="AT30" i="11" s="1"/>
  <c r="J30" i="11"/>
  <c r="I30" i="11"/>
  <c r="H30" i="11"/>
  <c r="AO30" i="11" s="1"/>
  <c r="G30" i="11"/>
  <c r="F30" i="11"/>
  <c r="E30" i="11"/>
  <c r="D30" i="11"/>
  <c r="L29" i="11"/>
  <c r="K29" i="11"/>
  <c r="AT29" i="11" s="1"/>
  <c r="J29" i="11"/>
  <c r="I29" i="11"/>
  <c r="H29" i="11"/>
  <c r="AO29" i="11" s="1"/>
  <c r="G29" i="11"/>
  <c r="F29" i="11"/>
  <c r="E29" i="11"/>
  <c r="D29" i="11"/>
  <c r="L28" i="11"/>
  <c r="K28" i="11"/>
  <c r="AT28" i="11" s="1"/>
  <c r="J28" i="11"/>
  <c r="I28" i="11"/>
  <c r="H28" i="11"/>
  <c r="AO28" i="11" s="1"/>
  <c r="G28" i="11"/>
  <c r="F28" i="11"/>
  <c r="E28" i="11"/>
  <c r="D28" i="11"/>
  <c r="L27" i="11"/>
  <c r="K27" i="11"/>
  <c r="AT27" i="11" s="1"/>
  <c r="J27" i="11"/>
  <c r="I27" i="11"/>
  <c r="H27" i="11"/>
  <c r="AO27" i="11" s="1"/>
  <c r="G27" i="11"/>
  <c r="F27" i="11"/>
  <c r="E27" i="11"/>
  <c r="D27" i="11"/>
  <c r="L26" i="11"/>
  <c r="K26" i="11"/>
  <c r="AT26" i="11" s="1"/>
  <c r="J26" i="11"/>
  <c r="I26" i="11"/>
  <c r="H26" i="11"/>
  <c r="AO26" i="11" s="1"/>
  <c r="G26" i="11"/>
  <c r="F26" i="11"/>
  <c r="E26" i="11"/>
  <c r="D26" i="11"/>
  <c r="L25" i="11"/>
  <c r="K25" i="11"/>
  <c r="AT25" i="11" s="1"/>
  <c r="J25" i="11"/>
  <c r="I25" i="11"/>
  <c r="H25" i="11"/>
  <c r="AO25" i="11" s="1"/>
  <c r="G25" i="11"/>
  <c r="F25" i="11"/>
  <c r="E25" i="11"/>
  <c r="D25" i="11"/>
  <c r="L24" i="11"/>
  <c r="K24" i="11"/>
  <c r="AT24" i="11" s="1"/>
  <c r="J24" i="11"/>
  <c r="I24" i="11"/>
  <c r="H24" i="11"/>
  <c r="AO24" i="11" s="1"/>
  <c r="G24" i="11"/>
  <c r="F24" i="11"/>
  <c r="E24" i="11"/>
  <c r="D24" i="11"/>
  <c r="L23" i="11"/>
  <c r="K23" i="11"/>
  <c r="AT23" i="11" s="1"/>
  <c r="J23" i="11"/>
  <c r="I23" i="11"/>
  <c r="H23" i="11"/>
  <c r="AO23" i="11" s="1"/>
  <c r="G23" i="11"/>
  <c r="F23" i="11"/>
  <c r="E23" i="11"/>
  <c r="D23" i="11"/>
  <c r="L22" i="11"/>
  <c r="K22" i="11"/>
  <c r="AT22" i="11" s="1"/>
  <c r="J22" i="11"/>
  <c r="I22" i="11"/>
  <c r="H22" i="11"/>
  <c r="AO22" i="11" s="1"/>
  <c r="G22" i="11"/>
  <c r="F22" i="11"/>
  <c r="E22" i="11"/>
  <c r="D22" i="11"/>
  <c r="L21" i="11"/>
  <c r="K21" i="11"/>
  <c r="AT21" i="11" s="1"/>
  <c r="J21" i="11"/>
  <c r="I21" i="11"/>
  <c r="H21" i="11"/>
  <c r="AO21" i="11" s="1"/>
  <c r="G21" i="11"/>
  <c r="F21" i="11"/>
  <c r="E21" i="11"/>
  <c r="D21" i="11"/>
  <c r="L20" i="11"/>
  <c r="K20" i="11"/>
  <c r="AT20" i="11" s="1"/>
  <c r="J20" i="11"/>
  <c r="I20" i="11"/>
  <c r="H20" i="11"/>
  <c r="AO20" i="11" s="1"/>
  <c r="G20" i="11"/>
  <c r="F20" i="11"/>
  <c r="E20" i="11"/>
  <c r="D20" i="11"/>
  <c r="L19" i="11"/>
  <c r="K19" i="11"/>
  <c r="AT19" i="11" s="1"/>
  <c r="J19" i="11"/>
  <c r="I19" i="11"/>
  <c r="H19" i="11"/>
  <c r="AO19" i="11" s="1"/>
  <c r="G19" i="11"/>
  <c r="F19" i="11"/>
  <c r="E19" i="11"/>
  <c r="D19" i="11"/>
  <c r="L18" i="11"/>
  <c r="K18" i="11"/>
  <c r="AT18" i="11" s="1"/>
  <c r="J18" i="11"/>
  <c r="I18" i="11"/>
  <c r="H18" i="11"/>
  <c r="AO18" i="11" s="1"/>
  <c r="G18" i="11"/>
  <c r="F18" i="11"/>
  <c r="E18" i="11"/>
  <c r="D18" i="11"/>
  <c r="L17" i="11"/>
  <c r="K17" i="11"/>
  <c r="AT17" i="11" s="1"/>
  <c r="J17" i="11"/>
  <c r="I17" i="11"/>
  <c r="H17" i="11"/>
  <c r="AO17" i="11" s="1"/>
  <c r="G17" i="11"/>
  <c r="F17" i="11"/>
  <c r="E17" i="11"/>
  <c r="D17" i="11"/>
  <c r="L16" i="11"/>
  <c r="K16" i="11"/>
  <c r="AT16" i="11" s="1"/>
  <c r="J16" i="11"/>
  <c r="I16" i="11"/>
  <c r="H16" i="11"/>
  <c r="AO16" i="11" s="1"/>
  <c r="G16" i="11"/>
  <c r="F16" i="11"/>
  <c r="E16" i="11"/>
  <c r="D16" i="11"/>
  <c r="L15" i="11"/>
  <c r="K15" i="11"/>
  <c r="J15" i="11"/>
  <c r="I15" i="11"/>
  <c r="H15" i="11"/>
  <c r="G15" i="11"/>
  <c r="F15" i="11"/>
  <c r="E15" i="11"/>
  <c r="D15" i="11"/>
  <c r="L40" i="10"/>
  <c r="K40" i="10"/>
  <c r="AT40" i="10" s="1"/>
  <c r="J40" i="10"/>
  <c r="I40" i="10"/>
  <c r="H40" i="10"/>
  <c r="AO40" i="10" s="1"/>
  <c r="G40" i="10"/>
  <c r="F40" i="10"/>
  <c r="E40" i="10"/>
  <c r="D40" i="10"/>
  <c r="L39" i="10"/>
  <c r="K39" i="10"/>
  <c r="AT39" i="10" s="1"/>
  <c r="J39" i="10"/>
  <c r="I39" i="10"/>
  <c r="H39" i="10"/>
  <c r="AO39" i="10" s="1"/>
  <c r="G39" i="10"/>
  <c r="F39" i="10"/>
  <c r="E39" i="10"/>
  <c r="D39" i="10"/>
  <c r="L38" i="10"/>
  <c r="K38" i="10"/>
  <c r="AT38" i="10" s="1"/>
  <c r="J38" i="10"/>
  <c r="I38" i="10"/>
  <c r="H38" i="10"/>
  <c r="AO38" i="10" s="1"/>
  <c r="G38" i="10"/>
  <c r="F38" i="10"/>
  <c r="E38" i="10"/>
  <c r="D38" i="10"/>
  <c r="L37" i="10"/>
  <c r="K37" i="10"/>
  <c r="AT37" i="10" s="1"/>
  <c r="J37" i="10"/>
  <c r="I37" i="10"/>
  <c r="H37" i="10"/>
  <c r="AO37" i="10" s="1"/>
  <c r="G37" i="10"/>
  <c r="F37" i="10"/>
  <c r="E37" i="10"/>
  <c r="D37" i="10"/>
  <c r="L36" i="10"/>
  <c r="K36" i="10"/>
  <c r="AT36" i="10" s="1"/>
  <c r="J36" i="10"/>
  <c r="I36" i="10"/>
  <c r="H36" i="10"/>
  <c r="AO36" i="10" s="1"/>
  <c r="G36" i="10"/>
  <c r="F36" i="10"/>
  <c r="E36" i="10"/>
  <c r="D36" i="10"/>
  <c r="L35" i="10"/>
  <c r="K35" i="10"/>
  <c r="AT35" i="10" s="1"/>
  <c r="J35" i="10"/>
  <c r="I35" i="10"/>
  <c r="H35" i="10"/>
  <c r="AO35" i="10" s="1"/>
  <c r="G35" i="10"/>
  <c r="F35" i="10"/>
  <c r="E35" i="10"/>
  <c r="D35" i="10"/>
  <c r="L34" i="10"/>
  <c r="K34" i="10"/>
  <c r="AT34" i="10" s="1"/>
  <c r="J34" i="10"/>
  <c r="I34" i="10"/>
  <c r="H34" i="10"/>
  <c r="AO34" i="10" s="1"/>
  <c r="G34" i="10"/>
  <c r="F34" i="10"/>
  <c r="E34" i="10"/>
  <c r="D34" i="10"/>
  <c r="L33" i="10"/>
  <c r="K33" i="10"/>
  <c r="AT33" i="10" s="1"/>
  <c r="J33" i="10"/>
  <c r="I33" i="10"/>
  <c r="H33" i="10"/>
  <c r="AO33" i="10" s="1"/>
  <c r="G33" i="10"/>
  <c r="F33" i="10"/>
  <c r="E33" i="10"/>
  <c r="D33" i="10"/>
  <c r="L32" i="10"/>
  <c r="K32" i="10"/>
  <c r="AT32" i="10" s="1"/>
  <c r="J32" i="10"/>
  <c r="I32" i="10"/>
  <c r="H32" i="10"/>
  <c r="AO32" i="10" s="1"/>
  <c r="G32" i="10"/>
  <c r="F32" i="10"/>
  <c r="E32" i="10"/>
  <c r="D32" i="10"/>
  <c r="L31" i="10"/>
  <c r="K31" i="10"/>
  <c r="AT31" i="10" s="1"/>
  <c r="J31" i="10"/>
  <c r="I31" i="10"/>
  <c r="H31" i="10"/>
  <c r="AO31" i="10" s="1"/>
  <c r="G31" i="10"/>
  <c r="F31" i="10"/>
  <c r="E31" i="10"/>
  <c r="D31" i="10"/>
  <c r="L30" i="10"/>
  <c r="K30" i="10"/>
  <c r="AT30" i="10" s="1"/>
  <c r="J30" i="10"/>
  <c r="I30" i="10"/>
  <c r="H30" i="10"/>
  <c r="AO30" i="10" s="1"/>
  <c r="G30" i="10"/>
  <c r="F30" i="10"/>
  <c r="E30" i="10"/>
  <c r="D30" i="10"/>
  <c r="L29" i="10"/>
  <c r="K29" i="10"/>
  <c r="AT29" i="10" s="1"/>
  <c r="J29" i="10"/>
  <c r="I29" i="10"/>
  <c r="H29" i="10"/>
  <c r="AO29" i="10" s="1"/>
  <c r="G29" i="10"/>
  <c r="F29" i="10"/>
  <c r="E29" i="10"/>
  <c r="D29" i="10"/>
  <c r="L28" i="10"/>
  <c r="K28" i="10"/>
  <c r="AT28" i="10" s="1"/>
  <c r="J28" i="10"/>
  <c r="I28" i="10"/>
  <c r="H28" i="10"/>
  <c r="AO28" i="10" s="1"/>
  <c r="G28" i="10"/>
  <c r="F28" i="10"/>
  <c r="E28" i="10"/>
  <c r="D28" i="10"/>
  <c r="L27" i="10"/>
  <c r="K27" i="10"/>
  <c r="AT27" i="10" s="1"/>
  <c r="J27" i="10"/>
  <c r="I27" i="10"/>
  <c r="H27" i="10"/>
  <c r="AO27" i="10" s="1"/>
  <c r="G27" i="10"/>
  <c r="F27" i="10"/>
  <c r="E27" i="10"/>
  <c r="D27" i="10"/>
  <c r="L26" i="10"/>
  <c r="K26" i="10"/>
  <c r="AT26" i="10" s="1"/>
  <c r="J26" i="10"/>
  <c r="I26" i="10"/>
  <c r="H26" i="10"/>
  <c r="AO26" i="10" s="1"/>
  <c r="G26" i="10"/>
  <c r="F26" i="10"/>
  <c r="E26" i="10"/>
  <c r="D26" i="10"/>
  <c r="L25" i="10"/>
  <c r="K25" i="10"/>
  <c r="AT25" i="10" s="1"/>
  <c r="J25" i="10"/>
  <c r="I25" i="10"/>
  <c r="H25" i="10"/>
  <c r="AO25" i="10" s="1"/>
  <c r="G25" i="10"/>
  <c r="F25" i="10"/>
  <c r="E25" i="10"/>
  <c r="D25" i="10"/>
  <c r="L24" i="10"/>
  <c r="K24" i="10"/>
  <c r="AT24" i="10" s="1"/>
  <c r="J24" i="10"/>
  <c r="I24" i="10"/>
  <c r="H24" i="10"/>
  <c r="AO24" i="10" s="1"/>
  <c r="G24" i="10"/>
  <c r="F24" i="10"/>
  <c r="E24" i="10"/>
  <c r="D24" i="10"/>
  <c r="L23" i="10"/>
  <c r="K23" i="10"/>
  <c r="AT23" i="10" s="1"/>
  <c r="J23" i="10"/>
  <c r="I23" i="10"/>
  <c r="H23" i="10"/>
  <c r="AO23" i="10" s="1"/>
  <c r="G23" i="10"/>
  <c r="F23" i="10"/>
  <c r="E23" i="10"/>
  <c r="D23" i="10"/>
  <c r="L22" i="10"/>
  <c r="K22" i="10"/>
  <c r="AT22" i="10" s="1"/>
  <c r="J22" i="10"/>
  <c r="I22" i="10"/>
  <c r="H22" i="10"/>
  <c r="AO22" i="10" s="1"/>
  <c r="G22" i="10"/>
  <c r="F22" i="10"/>
  <c r="E22" i="10"/>
  <c r="D22" i="10"/>
  <c r="L21" i="10"/>
  <c r="K21" i="10"/>
  <c r="AT21" i="10" s="1"/>
  <c r="J21" i="10"/>
  <c r="I21" i="10"/>
  <c r="H21" i="10"/>
  <c r="AO21" i="10" s="1"/>
  <c r="G21" i="10"/>
  <c r="F21" i="10"/>
  <c r="E21" i="10"/>
  <c r="D21" i="10"/>
  <c r="L20" i="10"/>
  <c r="K20" i="10"/>
  <c r="AT20" i="10" s="1"/>
  <c r="J20" i="10"/>
  <c r="I20" i="10"/>
  <c r="H20" i="10"/>
  <c r="AO20" i="10" s="1"/>
  <c r="G20" i="10"/>
  <c r="F20" i="10"/>
  <c r="E20" i="10"/>
  <c r="D20" i="10"/>
  <c r="L19" i="10"/>
  <c r="K19" i="10"/>
  <c r="AT19" i="10" s="1"/>
  <c r="J19" i="10"/>
  <c r="I19" i="10"/>
  <c r="H19" i="10"/>
  <c r="AO19" i="10" s="1"/>
  <c r="G19" i="10"/>
  <c r="F19" i="10"/>
  <c r="E19" i="10"/>
  <c r="D19" i="10"/>
  <c r="L18" i="10"/>
  <c r="K18" i="10"/>
  <c r="AT18" i="10" s="1"/>
  <c r="J18" i="10"/>
  <c r="I18" i="10"/>
  <c r="H18" i="10"/>
  <c r="AO18" i="10" s="1"/>
  <c r="G18" i="10"/>
  <c r="F18" i="10"/>
  <c r="E18" i="10"/>
  <c r="D18" i="10"/>
  <c r="L17" i="10"/>
  <c r="K17" i="10"/>
  <c r="AT17" i="10" s="1"/>
  <c r="J17" i="10"/>
  <c r="I17" i="10"/>
  <c r="H17" i="10"/>
  <c r="AO17" i="10" s="1"/>
  <c r="G17" i="10"/>
  <c r="F17" i="10"/>
  <c r="E17" i="10"/>
  <c r="D17" i="10"/>
  <c r="L16" i="10"/>
  <c r="K16" i="10"/>
  <c r="AT16" i="10" s="1"/>
  <c r="J16" i="10"/>
  <c r="I16" i="10"/>
  <c r="H16" i="10"/>
  <c r="AO16" i="10" s="1"/>
  <c r="G16" i="10"/>
  <c r="F16" i="10"/>
  <c r="E16" i="10"/>
  <c r="D16" i="10"/>
  <c r="L15" i="10"/>
  <c r="N15" i="10" s="1"/>
  <c r="K15" i="10"/>
  <c r="J15" i="10"/>
  <c r="I15" i="10"/>
  <c r="H15" i="10"/>
  <c r="G15" i="10"/>
  <c r="F15" i="10"/>
  <c r="AB23" i="10" s="1"/>
  <c r="E15" i="10"/>
  <c r="D15" i="10"/>
  <c r="L40" i="9"/>
  <c r="K40" i="9"/>
  <c r="AT40" i="9" s="1"/>
  <c r="J40" i="9"/>
  <c r="I40" i="9"/>
  <c r="H40" i="9"/>
  <c r="AO40" i="9" s="1"/>
  <c r="G40" i="9"/>
  <c r="F40" i="9"/>
  <c r="E40" i="9"/>
  <c r="D40" i="9"/>
  <c r="L39" i="9"/>
  <c r="K39" i="9"/>
  <c r="AT39" i="9" s="1"/>
  <c r="J39" i="9"/>
  <c r="I39" i="9"/>
  <c r="H39" i="9"/>
  <c r="AO39" i="9" s="1"/>
  <c r="G39" i="9"/>
  <c r="F39" i="9"/>
  <c r="E39" i="9"/>
  <c r="D39" i="9"/>
  <c r="L38" i="9"/>
  <c r="K38" i="9"/>
  <c r="AT38" i="9" s="1"/>
  <c r="J38" i="9"/>
  <c r="I38" i="9"/>
  <c r="H38" i="9"/>
  <c r="AO38" i="9" s="1"/>
  <c r="G38" i="9"/>
  <c r="F38" i="9"/>
  <c r="E38" i="9"/>
  <c r="D38" i="9"/>
  <c r="L37" i="9"/>
  <c r="K37" i="9"/>
  <c r="AT37" i="9" s="1"/>
  <c r="J37" i="9"/>
  <c r="I37" i="9"/>
  <c r="H37" i="9"/>
  <c r="AO37" i="9" s="1"/>
  <c r="G37" i="9"/>
  <c r="F37" i="9"/>
  <c r="E37" i="9"/>
  <c r="D37" i="9"/>
  <c r="L36" i="9"/>
  <c r="K36" i="9"/>
  <c r="AT36" i="9" s="1"/>
  <c r="J36" i="9"/>
  <c r="I36" i="9"/>
  <c r="H36" i="9"/>
  <c r="AO36" i="9" s="1"/>
  <c r="G36" i="9"/>
  <c r="F36" i="9"/>
  <c r="E36" i="9"/>
  <c r="D36" i="9"/>
  <c r="L35" i="9"/>
  <c r="K35" i="9"/>
  <c r="AT35" i="9" s="1"/>
  <c r="J35" i="9"/>
  <c r="I35" i="9"/>
  <c r="H35" i="9"/>
  <c r="AO35" i="9" s="1"/>
  <c r="G35" i="9"/>
  <c r="F35" i="9"/>
  <c r="E35" i="9"/>
  <c r="D35" i="9"/>
  <c r="L34" i="9"/>
  <c r="K34" i="9"/>
  <c r="AT34" i="9" s="1"/>
  <c r="J34" i="9"/>
  <c r="I34" i="9"/>
  <c r="H34" i="9"/>
  <c r="AO34" i="9" s="1"/>
  <c r="G34" i="9"/>
  <c r="F34" i="9"/>
  <c r="E34" i="9"/>
  <c r="D34" i="9"/>
  <c r="L33" i="9"/>
  <c r="K33" i="9"/>
  <c r="AT33" i="9" s="1"/>
  <c r="J33" i="9"/>
  <c r="I33" i="9"/>
  <c r="H33" i="9"/>
  <c r="AO33" i="9" s="1"/>
  <c r="G33" i="9"/>
  <c r="F33" i="9"/>
  <c r="E33" i="9"/>
  <c r="D33" i="9"/>
  <c r="L32" i="9"/>
  <c r="K32" i="9"/>
  <c r="AT32" i="9" s="1"/>
  <c r="J32" i="9"/>
  <c r="I32" i="9"/>
  <c r="H32" i="9"/>
  <c r="AO32" i="9" s="1"/>
  <c r="G32" i="9"/>
  <c r="F32" i="9"/>
  <c r="E32" i="9"/>
  <c r="D32" i="9"/>
  <c r="L31" i="9"/>
  <c r="K31" i="9"/>
  <c r="AT31" i="9" s="1"/>
  <c r="J31" i="9"/>
  <c r="I31" i="9"/>
  <c r="H31" i="9"/>
  <c r="AO31" i="9" s="1"/>
  <c r="G31" i="9"/>
  <c r="F31" i="9"/>
  <c r="E31" i="9"/>
  <c r="D31" i="9"/>
  <c r="L30" i="9"/>
  <c r="K30" i="9"/>
  <c r="AT30" i="9" s="1"/>
  <c r="J30" i="9"/>
  <c r="I30" i="9"/>
  <c r="H30" i="9"/>
  <c r="AO30" i="9" s="1"/>
  <c r="G30" i="9"/>
  <c r="F30" i="9"/>
  <c r="E30" i="9"/>
  <c r="D30" i="9"/>
  <c r="L29" i="9"/>
  <c r="K29" i="9"/>
  <c r="AT29" i="9" s="1"/>
  <c r="J29" i="9"/>
  <c r="I29" i="9"/>
  <c r="H29" i="9"/>
  <c r="AO29" i="9" s="1"/>
  <c r="G29" i="9"/>
  <c r="F29" i="9"/>
  <c r="E29" i="9"/>
  <c r="D29" i="9"/>
  <c r="L28" i="9"/>
  <c r="K28" i="9"/>
  <c r="AT28" i="9" s="1"/>
  <c r="J28" i="9"/>
  <c r="I28" i="9"/>
  <c r="H28" i="9"/>
  <c r="AO28" i="9" s="1"/>
  <c r="G28" i="9"/>
  <c r="F28" i="9"/>
  <c r="E28" i="9"/>
  <c r="D28" i="9"/>
  <c r="L27" i="9"/>
  <c r="K27" i="9"/>
  <c r="AT27" i="9" s="1"/>
  <c r="J27" i="9"/>
  <c r="I27" i="9"/>
  <c r="H27" i="9"/>
  <c r="AO27" i="9" s="1"/>
  <c r="G27" i="9"/>
  <c r="F27" i="9"/>
  <c r="E27" i="9"/>
  <c r="D27" i="9"/>
  <c r="L26" i="9"/>
  <c r="K26" i="9"/>
  <c r="AT26" i="9" s="1"/>
  <c r="J26" i="9"/>
  <c r="I26" i="9"/>
  <c r="H26" i="9"/>
  <c r="AO26" i="9" s="1"/>
  <c r="G26" i="9"/>
  <c r="F26" i="9"/>
  <c r="E26" i="9"/>
  <c r="D26" i="9"/>
  <c r="L25" i="9"/>
  <c r="K25" i="9"/>
  <c r="AT25" i="9" s="1"/>
  <c r="J25" i="9"/>
  <c r="I25" i="9"/>
  <c r="H25" i="9"/>
  <c r="AO25" i="9" s="1"/>
  <c r="G25" i="9"/>
  <c r="F25" i="9"/>
  <c r="E25" i="9"/>
  <c r="D25" i="9"/>
  <c r="L24" i="9"/>
  <c r="K24" i="9"/>
  <c r="AT24" i="9" s="1"/>
  <c r="J24" i="9"/>
  <c r="I24" i="9"/>
  <c r="H24" i="9"/>
  <c r="AO24" i="9" s="1"/>
  <c r="G24" i="9"/>
  <c r="F24" i="9"/>
  <c r="E24" i="9"/>
  <c r="D24" i="9"/>
  <c r="L23" i="9"/>
  <c r="K23" i="9"/>
  <c r="AT23" i="9" s="1"/>
  <c r="J23" i="9"/>
  <c r="I23" i="9"/>
  <c r="H23" i="9"/>
  <c r="AO23" i="9" s="1"/>
  <c r="G23" i="9"/>
  <c r="F23" i="9"/>
  <c r="E23" i="9"/>
  <c r="D23" i="9"/>
  <c r="L22" i="9"/>
  <c r="K22" i="9"/>
  <c r="AT22" i="9" s="1"/>
  <c r="J22" i="9"/>
  <c r="I22" i="9"/>
  <c r="H22" i="9"/>
  <c r="AO22" i="9" s="1"/>
  <c r="G22" i="9"/>
  <c r="F22" i="9"/>
  <c r="E22" i="9"/>
  <c r="D22" i="9"/>
  <c r="L21" i="9"/>
  <c r="K21" i="9"/>
  <c r="AT21" i="9" s="1"/>
  <c r="J21" i="9"/>
  <c r="I21" i="9"/>
  <c r="H21" i="9"/>
  <c r="AO21" i="9" s="1"/>
  <c r="G21" i="9"/>
  <c r="F21" i="9"/>
  <c r="E21" i="9"/>
  <c r="D21" i="9"/>
  <c r="L20" i="9"/>
  <c r="K20" i="9"/>
  <c r="AT20" i="9" s="1"/>
  <c r="J20" i="9"/>
  <c r="I20" i="9"/>
  <c r="G20" i="9"/>
  <c r="F20" i="9"/>
  <c r="E20" i="9"/>
  <c r="D20" i="9"/>
  <c r="L19" i="9"/>
  <c r="K19" i="9"/>
  <c r="AT19" i="9" s="1"/>
  <c r="J19" i="9"/>
  <c r="I19" i="9"/>
  <c r="H19" i="9"/>
  <c r="AO19" i="9" s="1"/>
  <c r="G19" i="9"/>
  <c r="F19" i="9"/>
  <c r="E19" i="9"/>
  <c r="D19" i="9"/>
  <c r="L18" i="9"/>
  <c r="K18" i="9"/>
  <c r="AT18" i="9" s="1"/>
  <c r="J18" i="9"/>
  <c r="I18" i="9"/>
  <c r="H18" i="9"/>
  <c r="AO18" i="9" s="1"/>
  <c r="G18" i="9"/>
  <c r="F18" i="9"/>
  <c r="E18" i="9"/>
  <c r="D18" i="9"/>
  <c r="L17" i="9"/>
  <c r="K17" i="9"/>
  <c r="AT17" i="9" s="1"/>
  <c r="J17" i="9"/>
  <c r="I17" i="9"/>
  <c r="H17" i="9"/>
  <c r="AO17" i="9" s="1"/>
  <c r="G17" i="9"/>
  <c r="F17" i="9"/>
  <c r="E17" i="9"/>
  <c r="D17" i="9"/>
  <c r="L16" i="9"/>
  <c r="K16" i="9"/>
  <c r="AT16" i="9" s="1"/>
  <c r="J16" i="9"/>
  <c r="I16" i="9"/>
  <c r="H16" i="9"/>
  <c r="AO16" i="9" s="1"/>
  <c r="G16" i="9"/>
  <c r="F16" i="9"/>
  <c r="E16" i="9"/>
  <c r="D16" i="9"/>
  <c r="L15" i="9"/>
  <c r="N15" i="9" s="1"/>
  <c r="K15" i="9"/>
  <c r="J15" i="9"/>
  <c r="I15" i="9"/>
  <c r="H15" i="9"/>
  <c r="G15" i="9"/>
  <c r="F15" i="9"/>
  <c r="E15" i="9"/>
  <c r="D15" i="9"/>
  <c r="D32" i="8"/>
  <c r="E32" i="8"/>
  <c r="F32" i="8"/>
  <c r="G32" i="8"/>
  <c r="H32" i="8"/>
  <c r="AO32" i="8" s="1"/>
  <c r="I32" i="8"/>
  <c r="J32" i="8"/>
  <c r="K32" i="8"/>
  <c r="AT32" i="8" s="1"/>
  <c r="L32" i="8"/>
  <c r="D33" i="8"/>
  <c r="E33" i="8"/>
  <c r="F33" i="8"/>
  <c r="G33" i="8"/>
  <c r="H33" i="8"/>
  <c r="AO33" i="8" s="1"/>
  <c r="I33" i="8"/>
  <c r="J33" i="8"/>
  <c r="K33" i="8"/>
  <c r="AT33" i="8" s="1"/>
  <c r="L33" i="8"/>
  <c r="D34" i="8"/>
  <c r="E34" i="8"/>
  <c r="F34" i="8"/>
  <c r="G34" i="8"/>
  <c r="H34" i="8"/>
  <c r="AO34" i="8" s="1"/>
  <c r="I34" i="8"/>
  <c r="J34" i="8"/>
  <c r="K34" i="8"/>
  <c r="AT34" i="8" s="1"/>
  <c r="L34" i="8"/>
  <c r="D35" i="8"/>
  <c r="E35" i="8"/>
  <c r="F35" i="8"/>
  <c r="G35" i="8"/>
  <c r="H35" i="8"/>
  <c r="AO35" i="8" s="1"/>
  <c r="I35" i="8"/>
  <c r="J35" i="8"/>
  <c r="K35" i="8"/>
  <c r="AT35" i="8" s="1"/>
  <c r="L35" i="8"/>
  <c r="D36" i="8"/>
  <c r="E36" i="8"/>
  <c r="F36" i="8"/>
  <c r="G36" i="8"/>
  <c r="H36" i="8"/>
  <c r="AO36" i="8" s="1"/>
  <c r="I36" i="8"/>
  <c r="J36" i="8"/>
  <c r="K36" i="8"/>
  <c r="AT36" i="8" s="1"/>
  <c r="L36" i="8"/>
  <c r="D37" i="8"/>
  <c r="E37" i="8"/>
  <c r="F37" i="8"/>
  <c r="G37" i="8"/>
  <c r="H37" i="8"/>
  <c r="AO37" i="8" s="1"/>
  <c r="I37" i="8"/>
  <c r="J37" i="8"/>
  <c r="K37" i="8"/>
  <c r="AT37" i="8" s="1"/>
  <c r="L37" i="8"/>
  <c r="D32" i="7"/>
  <c r="E32" i="7"/>
  <c r="F32" i="7"/>
  <c r="G32" i="7"/>
  <c r="H32" i="7"/>
  <c r="AO32" i="7" s="1"/>
  <c r="I32" i="7"/>
  <c r="J32" i="7"/>
  <c r="K32" i="7"/>
  <c r="AT32" i="7" s="1"/>
  <c r="L32" i="7"/>
  <c r="D33" i="7"/>
  <c r="E33" i="7"/>
  <c r="F33" i="7"/>
  <c r="G33" i="7"/>
  <c r="H33" i="7"/>
  <c r="AO33" i="7" s="1"/>
  <c r="I33" i="7"/>
  <c r="J33" i="7"/>
  <c r="K33" i="7"/>
  <c r="AT33" i="7" s="1"/>
  <c r="L33" i="7"/>
  <c r="D34" i="7"/>
  <c r="E34" i="7"/>
  <c r="F34" i="7"/>
  <c r="G34" i="7"/>
  <c r="H34" i="7"/>
  <c r="AO34" i="7" s="1"/>
  <c r="I34" i="7"/>
  <c r="J34" i="7"/>
  <c r="K34" i="7"/>
  <c r="AT34" i="7" s="1"/>
  <c r="L34" i="7"/>
  <c r="D35" i="7"/>
  <c r="E35" i="7"/>
  <c r="F35" i="7"/>
  <c r="G35" i="7"/>
  <c r="H35" i="7"/>
  <c r="AO35" i="7" s="1"/>
  <c r="I35" i="7"/>
  <c r="J35" i="7"/>
  <c r="K35" i="7"/>
  <c r="AT35" i="7" s="1"/>
  <c r="L35" i="7"/>
  <c r="D36" i="7"/>
  <c r="E36" i="7"/>
  <c r="F36" i="7"/>
  <c r="G36" i="7"/>
  <c r="H36" i="7"/>
  <c r="AO36" i="7" s="1"/>
  <c r="I36" i="7"/>
  <c r="J36" i="7"/>
  <c r="K36" i="7"/>
  <c r="AT36" i="7" s="1"/>
  <c r="L36" i="7"/>
  <c r="D37" i="7"/>
  <c r="E37" i="7"/>
  <c r="F37" i="7"/>
  <c r="G37" i="7"/>
  <c r="H37" i="7"/>
  <c r="AO37" i="7" s="1"/>
  <c r="I37" i="7"/>
  <c r="J37" i="7"/>
  <c r="K37" i="7"/>
  <c r="AT37" i="7" s="1"/>
  <c r="L37" i="7"/>
  <c r="D35" i="6"/>
  <c r="E35" i="6"/>
  <c r="F35" i="6"/>
  <c r="G35" i="6"/>
  <c r="H35" i="6"/>
  <c r="AO35" i="6" s="1"/>
  <c r="I35" i="6"/>
  <c r="J35" i="6"/>
  <c r="K35" i="6"/>
  <c r="AT35" i="6" s="1"/>
  <c r="L35" i="6"/>
  <c r="D36" i="6"/>
  <c r="E36" i="6"/>
  <c r="F36" i="6"/>
  <c r="G36" i="6"/>
  <c r="H36" i="6"/>
  <c r="AO36" i="6" s="1"/>
  <c r="I36" i="6"/>
  <c r="J36" i="6"/>
  <c r="K36" i="6"/>
  <c r="AT36" i="6" s="1"/>
  <c r="L36" i="6"/>
  <c r="D37" i="6"/>
  <c r="E37" i="6"/>
  <c r="F37" i="6"/>
  <c r="G37" i="6"/>
  <c r="H37" i="6"/>
  <c r="AO37" i="6" s="1"/>
  <c r="I37" i="6"/>
  <c r="J37" i="6"/>
  <c r="K37" i="6"/>
  <c r="AT37" i="6" s="1"/>
  <c r="L37" i="6"/>
  <c r="D38" i="6"/>
  <c r="E38" i="6"/>
  <c r="F38" i="6"/>
  <c r="G38" i="6"/>
  <c r="H38" i="6"/>
  <c r="AO38" i="6" s="1"/>
  <c r="I38" i="6"/>
  <c r="J38" i="6"/>
  <c r="K38" i="6"/>
  <c r="AT38" i="6" s="1"/>
  <c r="L38" i="6"/>
  <c r="D39" i="6"/>
  <c r="E39" i="6"/>
  <c r="F39" i="6"/>
  <c r="G39" i="6"/>
  <c r="H39" i="6"/>
  <c r="AO39" i="6" s="1"/>
  <c r="I39" i="6"/>
  <c r="J39" i="6"/>
  <c r="K39" i="6"/>
  <c r="AT39" i="6" s="1"/>
  <c r="L39" i="6"/>
  <c r="D40" i="6"/>
  <c r="E40" i="6"/>
  <c r="F40" i="6"/>
  <c r="G40" i="6"/>
  <c r="H40" i="6"/>
  <c r="AO40" i="6" s="1"/>
  <c r="I40" i="6"/>
  <c r="J40" i="6"/>
  <c r="K40" i="6"/>
  <c r="AT40" i="6" s="1"/>
  <c r="L40" i="6"/>
  <c r="D35" i="4"/>
  <c r="E35" i="4"/>
  <c r="F35" i="4"/>
  <c r="G35" i="4"/>
  <c r="H35" i="4"/>
  <c r="AO35" i="4" s="1"/>
  <c r="I35" i="4"/>
  <c r="J35" i="4"/>
  <c r="K35" i="4"/>
  <c r="AT35" i="4" s="1"/>
  <c r="L35" i="4"/>
  <c r="D36" i="4"/>
  <c r="E36" i="4"/>
  <c r="F36" i="4"/>
  <c r="G36" i="4"/>
  <c r="H36" i="4"/>
  <c r="AO36" i="4" s="1"/>
  <c r="I36" i="4"/>
  <c r="J36" i="4"/>
  <c r="K36" i="4"/>
  <c r="AT36" i="4" s="1"/>
  <c r="L36" i="4"/>
  <c r="D37" i="4"/>
  <c r="E37" i="4"/>
  <c r="F37" i="4"/>
  <c r="G37" i="4"/>
  <c r="H37" i="4"/>
  <c r="AO37" i="4" s="1"/>
  <c r="I37" i="4"/>
  <c r="J37" i="4"/>
  <c r="K37" i="4"/>
  <c r="AT37" i="4" s="1"/>
  <c r="L37" i="4"/>
  <c r="D26" i="4"/>
  <c r="E26" i="4"/>
  <c r="F26" i="4"/>
  <c r="G26" i="4"/>
  <c r="H26" i="4"/>
  <c r="AO26" i="4" s="1"/>
  <c r="I26" i="4"/>
  <c r="J26" i="4"/>
  <c r="K26" i="4"/>
  <c r="AT26" i="4" s="1"/>
  <c r="L26" i="4"/>
  <c r="D27" i="4"/>
  <c r="E27" i="4"/>
  <c r="F27" i="4"/>
  <c r="G27" i="4"/>
  <c r="H27" i="4"/>
  <c r="AO27" i="4" s="1"/>
  <c r="I27" i="4"/>
  <c r="J27" i="4"/>
  <c r="K27" i="4"/>
  <c r="AT27" i="4" s="1"/>
  <c r="L27" i="4"/>
  <c r="D28" i="4"/>
  <c r="E28" i="4"/>
  <c r="F28" i="4"/>
  <c r="G28" i="4"/>
  <c r="H28" i="4"/>
  <c r="AO28" i="4" s="1"/>
  <c r="I28" i="4"/>
  <c r="J28" i="4"/>
  <c r="K28" i="4"/>
  <c r="AT28" i="4" s="1"/>
  <c r="L28" i="4"/>
  <c r="Y37" i="12"/>
  <c r="V37" i="12"/>
  <c r="Y33" i="12"/>
  <c r="V33" i="12"/>
  <c r="Y29" i="12"/>
  <c r="V29" i="12"/>
  <c r="Y25" i="12"/>
  <c r="V25" i="12"/>
  <c r="Y21" i="12"/>
  <c r="V21" i="12"/>
  <c r="Y17" i="12"/>
  <c r="V17" i="12"/>
  <c r="Y39" i="11"/>
  <c r="V39" i="11"/>
  <c r="Y35" i="11"/>
  <c r="V35" i="11"/>
  <c r="Y31" i="11"/>
  <c r="V31" i="11"/>
  <c r="Y27" i="11"/>
  <c r="V27" i="11"/>
  <c r="Y23" i="11"/>
  <c r="V23" i="11"/>
  <c r="Y19" i="11"/>
  <c r="V19" i="11"/>
  <c r="P17" i="11"/>
  <c r="P21" i="11"/>
  <c r="P22" i="11"/>
  <c r="P16" i="11"/>
  <c r="P20" i="11"/>
  <c r="P18" i="11"/>
  <c r="P19" i="11"/>
  <c r="P23" i="11"/>
  <c r="P24" i="11"/>
  <c r="P25" i="11"/>
  <c r="P26" i="11"/>
  <c r="P28" i="11"/>
  <c r="P31" i="11"/>
  <c r="P35" i="11"/>
  <c r="P38" i="11"/>
  <c r="P27" i="11"/>
  <c r="P30" i="11"/>
  <c r="P32" i="11"/>
  <c r="P36" i="11"/>
  <c r="P39" i="11"/>
  <c r="P15" i="11"/>
  <c r="Q15" i="11" s="1"/>
  <c r="P29" i="11"/>
  <c r="P33" i="11"/>
  <c r="P34" i="11"/>
  <c r="P37" i="11"/>
  <c r="P40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Y37" i="10"/>
  <c r="V37" i="10"/>
  <c r="Y33" i="10"/>
  <c r="V33" i="10"/>
  <c r="Y29" i="10"/>
  <c r="V29" i="10"/>
  <c r="Y25" i="10"/>
  <c r="V25" i="10"/>
  <c r="Y21" i="10"/>
  <c r="V21" i="10"/>
  <c r="Y17" i="10"/>
  <c r="V17" i="10"/>
  <c r="Y39" i="9"/>
  <c r="V39" i="9"/>
  <c r="Y35" i="9"/>
  <c r="V35" i="9"/>
  <c r="Y31" i="9"/>
  <c r="V31" i="9"/>
  <c r="Y27" i="9"/>
  <c r="V27" i="9"/>
  <c r="Y23" i="9"/>
  <c r="V23" i="9"/>
  <c r="Y18" i="9"/>
  <c r="V18" i="9"/>
  <c r="Y31" i="10"/>
  <c r="V31" i="10"/>
  <c r="Y40" i="12"/>
  <c r="V40" i="12"/>
  <c r="Y36" i="12"/>
  <c r="V36" i="12"/>
  <c r="Y32" i="12"/>
  <c r="V32" i="12"/>
  <c r="Y28" i="12"/>
  <c r="V28" i="12"/>
  <c r="Y24" i="12"/>
  <c r="V24" i="12"/>
  <c r="Y20" i="12"/>
  <c r="V20" i="12"/>
  <c r="Y16" i="12"/>
  <c r="V16" i="12"/>
  <c r="Y38" i="11"/>
  <c r="V38" i="11"/>
  <c r="Y34" i="11"/>
  <c r="V34" i="11"/>
  <c r="Y30" i="11"/>
  <c r="V30" i="11"/>
  <c r="Y26" i="11"/>
  <c r="V26" i="11"/>
  <c r="Y22" i="11"/>
  <c r="V22" i="11"/>
  <c r="Y18" i="11"/>
  <c r="V18" i="11"/>
  <c r="Y40" i="10"/>
  <c r="V40" i="10"/>
  <c r="Y36" i="10"/>
  <c r="V36" i="10"/>
  <c r="Y32" i="10"/>
  <c r="V32" i="10"/>
  <c r="Y28" i="10"/>
  <c r="V28" i="10"/>
  <c r="Y24" i="10"/>
  <c r="V24" i="10"/>
  <c r="Y20" i="10"/>
  <c r="V20" i="10"/>
  <c r="Y16" i="10"/>
  <c r="V16" i="10"/>
  <c r="Y38" i="9"/>
  <c r="V38" i="9"/>
  <c r="Y34" i="9"/>
  <c r="V34" i="9"/>
  <c r="Y30" i="9"/>
  <c r="V30" i="9"/>
  <c r="Y26" i="9"/>
  <c r="V26" i="9"/>
  <c r="Y22" i="9"/>
  <c r="V22" i="9"/>
  <c r="Y17" i="9"/>
  <c r="V17" i="9"/>
  <c r="Y27" i="10"/>
  <c r="V27" i="10"/>
  <c r="Y19" i="10"/>
  <c r="V19" i="10"/>
  <c r="Y37" i="9"/>
  <c r="V37" i="9"/>
  <c r="Y29" i="9"/>
  <c r="V29" i="9"/>
  <c r="Y21" i="9"/>
  <c r="V21" i="9"/>
  <c r="Y20" i="9"/>
  <c r="V20" i="9"/>
  <c r="Y36" i="9"/>
  <c r="V36" i="9"/>
  <c r="Y32" i="9"/>
  <c r="V32" i="9"/>
  <c r="Y19" i="9"/>
  <c r="V19" i="9"/>
  <c r="Y39" i="12"/>
  <c r="V39" i="12"/>
  <c r="Y35" i="12"/>
  <c r="V35" i="12"/>
  <c r="Y31" i="12"/>
  <c r="V31" i="12"/>
  <c r="Y27" i="12"/>
  <c r="V27" i="12"/>
  <c r="Y23" i="12"/>
  <c r="V23" i="12"/>
  <c r="Y19" i="12"/>
  <c r="V19" i="12"/>
  <c r="P16" i="12"/>
  <c r="P19" i="12"/>
  <c r="P18" i="12"/>
  <c r="P22" i="12"/>
  <c r="P20" i="12"/>
  <c r="P17" i="12"/>
  <c r="P21" i="12"/>
  <c r="P23" i="12"/>
  <c r="P24" i="12"/>
  <c r="P27" i="12"/>
  <c r="P30" i="12"/>
  <c r="P33" i="12"/>
  <c r="P36" i="12"/>
  <c r="P39" i="12"/>
  <c r="P25" i="12"/>
  <c r="P28" i="12"/>
  <c r="P31" i="12"/>
  <c r="P34" i="12"/>
  <c r="P40" i="12"/>
  <c r="P15" i="12"/>
  <c r="Q15" i="12" s="1"/>
  <c r="P26" i="12"/>
  <c r="P29" i="12"/>
  <c r="P32" i="12"/>
  <c r="P35" i="12"/>
  <c r="P37" i="12"/>
  <c r="P38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Y37" i="11"/>
  <c r="V37" i="11"/>
  <c r="Y33" i="11"/>
  <c r="V33" i="11"/>
  <c r="Y29" i="11"/>
  <c r="V29" i="11"/>
  <c r="Y25" i="11"/>
  <c r="V25" i="11"/>
  <c r="Y21" i="11"/>
  <c r="V21" i="11"/>
  <c r="Y17" i="11"/>
  <c r="V17" i="11"/>
  <c r="Y39" i="10"/>
  <c r="V39" i="10"/>
  <c r="Y35" i="10"/>
  <c r="V35" i="10"/>
  <c r="Y23" i="10"/>
  <c r="V23" i="10"/>
  <c r="P16" i="10"/>
  <c r="P19" i="10"/>
  <c r="P23" i="10"/>
  <c r="P18" i="10"/>
  <c r="P22" i="10"/>
  <c r="P20" i="10"/>
  <c r="P17" i="10"/>
  <c r="P21" i="10"/>
  <c r="P24" i="10"/>
  <c r="P27" i="10"/>
  <c r="P30" i="10"/>
  <c r="P33" i="10"/>
  <c r="P37" i="10"/>
  <c r="P26" i="10"/>
  <c r="P29" i="10"/>
  <c r="P32" i="10"/>
  <c r="P35" i="10"/>
  <c r="P38" i="10"/>
  <c r="P15" i="10"/>
  <c r="Q15" i="10" s="1"/>
  <c r="P25" i="10"/>
  <c r="P28" i="10"/>
  <c r="P31" i="10"/>
  <c r="P34" i="10"/>
  <c r="P36" i="10"/>
  <c r="P39" i="10"/>
  <c r="P40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Y33" i="9"/>
  <c r="V33" i="9"/>
  <c r="Y25" i="9"/>
  <c r="V25" i="9"/>
  <c r="Y16" i="9"/>
  <c r="V16" i="9"/>
  <c r="Y40" i="9"/>
  <c r="V40" i="9"/>
  <c r="Y38" i="12"/>
  <c r="V38" i="12"/>
  <c r="Y34" i="12"/>
  <c r="V34" i="12"/>
  <c r="Y30" i="12"/>
  <c r="V30" i="12"/>
  <c r="Y26" i="12"/>
  <c r="V26" i="12"/>
  <c r="Y22" i="12"/>
  <c r="V22" i="12"/>
  <c r="Y18" i="12"/>
  <c r="V18" i="12"/>
  <c r="Y40" i="11"/>
  <c r="V40" i="11"/>
  <c r="Y36" i="11"/>
  <c r="V36" i="11"/>
  <c r="Y32" i="11"/>
  <c r="V32" i="11"/>
  <c r="Y28" i="11"/>
  <c r="V28" i="11"/>
  <c r="Y24" i="11"/>
  <c r="V24" i="11"/>
  <c r="Y20" i="11"/>
  <c r="V20" i="11"/>
  <c r="Y16" i="11"/>
  <c r="V16" i="11"/>
  <c r="Y38" i="10"/>
  <c r="V38" i="10"/>
  <c r="Y34" i="10"/>
  <c r="V34" i="10"/>
  <c r="Y30" i="10"/>
  <c r="V30" i="10"/>
  <c r="Y26" i="10"/>
  <c r="V26" i="10"/>
  <c r="Y22" i="10"/>
  <c r="V22" i="10"/>
  <c r="Y18" i="10"/>
  <c r="V18" i="10"/>
  <c r="Y28" i="9"/>
  <c r="V28" i="9"/>
  <c r="Y24" i="9"/>
  <c r="V24" i="9"/>
  <c r="P18" i="9"/>
  <c r="P17" i="9"/>
  <c r="P21" i="9"/>
  <c r="P16" i="9"/>
  <c r="P20" i="9"/>
  <c r="P24" i="9"/>
  <c r="P22" i="9"/>
  <c r="P19" i="9"/>
  <c r="P23" i="9"/>
  <c r="P27" i="9"/>
  <c r="P30" i="9"/>
  <c r="P33" i="9"/>
  <c r="P36" i="9"/>
  <c r="P38" i="9"/>
  <c r="P26" i="9"/>
  <c r="P29" i="9"/>
  <c r="P32" i="9"/>
  <c r="P35" i="9"/>
  <c r="P37" i="9"/>
  <c r="P39" i="9"/>
  <c r="P15" i="9"/>
  <c r="Q15" i="9" s="1"/>
  <c r="P25" i="9"/>
  <c r="P28" i="9"/>
  <c r="P31" i="9"/>
  <c r="P34" i="9"/>
  <c r="P40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C23" i="1"/>
  <c r="C24" i="1"/>
  <c r="AH40" i="12"/>
  <c r="AP39" i="12"/>
  <c r="AH36" i="12"/>
  <c r="AP35" i="12"/>
  <c r="AP19" i="10"/>
  <c r="AP37" i="9"/>
  <c r="AH34" i="9"/>
  <c r="AP25" i="9"/>
  <c r="AP21" i="9"/>
  <c r="AP34" i="7"/>
  <c r="AH39" i="12"/>
  <c r="AP38" i="12"/>
  <c r="AH35" i="12"/>
  <c r="AP34" i="12"/>
  <c r="AH31" i="12"/>
  <c r="AP30" i="12"/>
  <c r="AH27" i="12"/>
  <c r="AP26" i="12"/>
  <c r="AH23" i="12"/>
  <c r="AP22" i="12"/>
  <c r="AH19" i="12"/>
  <c r="AP18" i="12"/>
  <c r="AP40" i="11"/>
  <c r="AH37" i="11"/>
  <c r="AP36" i="11"/>
  <c r="AH33" i="11"/>
  <c r="AP32" i="11"/>
  <c r="AH29" i="11"/>
  <c r="AP28" i="11"/>
  <c r="AH25" i="11"/>
  <c r="AP24" i="11"/>
  <c r="AH21" i="11"/>
  <c r="Z37" i="12"/>
  <c r="AA37" i="12"/>
  <c r="W37" i="12"/>
  <c r="X37" i="12"/>
  <c r="Z33" i="12"/>
  <c r="AA33" i="12"/>
  <c r="W33" i="12"/>
  <c r="X33" i="12"/>
  <c r="Z29" i="12"/>
  <c r="AA29" i="12"/>
  <c r="W29" i="12"/>
  <c r="X29" i="12"/>
  <c r="Z25" i="12"/>
  <c r="AA25" i="12"/>
  <c r="W25" i="12"/>
  <c r="X25" i="12"/>
  <c r="Z21" i="12"/>
  <c r="AA21" i="12"/>
  <c r="W21" i="12"/>
  <c r="X21" i="12"/>
  <c r="Z17" i="12"/>
  <c r="AA17" i="12"/>
  <c r="W17" i="12"/>
  <c r="X17" i="12"/>
  <c r="Z39" i="11"/>
  <c r="AA39" i="11"/>
  <c r="X39" i="11"/>
  <c r="W39" i="11"/>
  <c r="Z35" i="11"/>
  <c r="AA35" i="11"/>
  <c r="X35" i="11"/>
  <c r="W35" i="11"/>
  <c r="Z31" i="11"/>
  <c r="AA31" i="11"/>
  <c r="X31" i="11"/>
  <c r="W31" i="11"/>
  <c r="Z27" i="11"/>
  <c r="AA27" i="11"/>
  <c r="X27" i="11"/>
  <c r="W27" i="11"/>
  <c r="Z23" i="11"/>
  <c r="AA23" i="11"/>
  <c r="X23" i="11"/>
  <c r="W23" i="11"/>
  <c r="Z19" i="11"/>
  <c r="AA19" i="11"/>
  <c r="X19" i="11"/>
  <c r="W19" i="11"/>
  <c r="Q17" i="11"/>
  <c r="R17" i="11"/>
  <c r="Q21" i="11"/>
  <c r="R21" i="11"/>
  <c r="Q22" i="11"/>
  <c r="R22" i="11"/>
  <c r="Q16" i="11"/>
  <c r="R16" i="11"/>
  <c r="Q20" i="11"/>
  <c r="R20" i="11"/>
  <c r="Q18" i="11"/>
  <c r="R18" i="11"/>
  <c r="Q19" i="11"/>
  <c r="R19" i="11"/>
  <c r="Q23" i="11"/>
  <c r="R23" i="11"/>
  <c r="Q24" i="11"/>
  <c r="R24" i="11"/>
  <c r="Q25" i="11"/>
  <c r="R25" i="11"/>
  <c r="Q26" i="11"/>
  <c r="R26" i="11"/>
  <c r="Q28" i="11"/>
  <c r="R28" i="11"/>
  <c r="Q31" i="11"/>
  <c r="R31" i="11"/>
  <c r="Q35" i="11"/>
  <c r="R35" i="11"/>
  <c r="Q38" i="11"/>
  <c r="R38" i="11"/>
  <c r="Q27" i="11"/>
  <c r="R27" i="11"/>
  <c r="Q30" i="11"/>
  <c r="R30" i="11"/>
  <c r="Q32" i="11"/>
  <c r="R32" i="11"/>
  <c r="Q36" i="11"/>
  <c r="R36" i="11"/>
  <c r="Q39" i="11"/>
  <c r="R39" i="11"/>
  <c r="Q29" i="11"/>
  <c r="R29" i="11"/>
  <c r="R33" i="11"/>
  <c r="Q33" i="11"/>
  <c r="Q34" i="11"/>
  <c r="R34" i="11"/>
  <c r="R37" i="11"/>
  <c r="Q37" i="11"/>
  <c r="Q40" i="11"/>
  <c r="R40" i="11"/>
  <c r="U16" i="11"/>
  <c r="T16" i="11"/>
  <c r="T17" i="11"/>
  <c r="U17" i="11"/>
  <c r="U18" i="11"/>
  <c r="T18" i="11"/>
  <c r="T19" i="11"/>
  <c r="U19" i="11"/>
  <c r="U20" i="11"/>
  <c r="T20" i="11"/>
  <c r="T21" i="11"/>
  <c r="U21" i="11"/>
  <c r="U22" i="11"/>
  <c r="T22" i="11"/>
  <c r="T23" i="11"/>
  <c r="U23" i="11"/>
  <c r="U24" i="11"/>
  <c r="T24" i="11"/>
  <c r="U25" i="11"/>
  <c r="T25" i="11"/>
  <c r="U26" i="11"/>
  <c r="T26" i="11"/>
  <c r="U27" i="11"/>
  <c r="T27" i="11"/>
  <c r="T28" i="11"/>
  <c r="U28" i="11"/>
  <c r="T29" i="11"/>
  <c r="U29" i="11"/>
  <c r="T30" i="11"/>
  <c r="U30" i="11"/>
  <c r="U31" i="11"/>
  <c r="T31" i="11"/>
  <c r="U32" i="11"/>
  <c r="T32" i="11"/>
  <c r="T33" i="11"/>
  <c r="U33" i="11"/>
  <c r="T34" i="11"/>
  <c r="U34" i="11"/>
  <c r="U35" i="11"/>
  <c r="T35" i="11"/>
  <c r="T36" i="11"/>
  <c r="U36" i="11"/>
  <c r="U37" i="11"/>
  <c r="T37" i="11"/>
  <c r="U38" i="11"/>
  <c r="T38" i="11"/>
  <c r="T39" i="11"/>
  <c r="U39" i="11"/>
  <c r="T40" i="11"/>
  <c r="U40" i="11"/>
  <c r="Z37" i="10"/>
  <c r="AA37" i="10"/>
  <c r="X37" i="10"/>
  <c r="W37" i="10"/>
  <c r="Z33" i="10"/>
  <c r="AA33" i="10"/>
  <c r="X33" i="10"/>
  <c r="W33" i="10"/>
  <c r="Z29" i="10"/>
  <c r="AA29" i="10"/>
  <c r="X29" i="10"/>
  <c r="W29" i="10"/>
  <c r="Z25" i="10"/>
  <c r="AA25" i="10"/>
  <c r="X25" i="10"/>
  <c r="W25" i="10"/>
  <c r="Z21" i="10"/>
  <c r="AA21" i="10"/>
  <c r="X21" i="10"/>
  <c r="W21" i="10"/>
  <c r="Z17" i="10"/>
  <c r="AA17" i="10"/>
  <c r="X17" i="10"/>
  <c r="W17" i="10"/>
  <c r="Z39" i="9"/>
  <c r="AA39" i="9"/>
  <c r="X39" i="9"/>
  <c r="W39" i="9"/>
  <c r="Z35" i="9"/>
  <c r="AA35" i="9"/>
  <c r="X35" i="9"/>
  <c r="W35" i="9"/>
  <c r="Z31" i="9"/>
  <c r="AA31" i="9"/>
  <c r="X31" i="9"/>
  <c r="W31" i="9"/>
  <c r="Z27" i="9"/>
  <c r="AA27" i="9"/>
  <c r="X27" i="9"/>
  <c r="W27" i="9"/>
  <c r="Z23" i="9"/>
  <c r="AA23" i="9"/>
  <c r="X23" i="9"/>
  <c r="W23" i="9"/>
  <c r="Z18" i="9"/>
  <c r="AA18" i="9"/>
  <c r="W18" i="9"/>
  <c r="X18" i="9"/>
  <c r="Z31" i="10"/>
  <c r="AA31" i="10"/>
  <c r="X31" i="10"/>
  <c r="W31" i="10"/>
  <c r="Z40" i="12"/>
  <c r="AA40" i="12"/>
  <c r="X40" i="12"/>
  <c r="W40" i="12"/>
  <c r="Z36" i="12"/>
  <c r="AA36" i="12"/>
  <c r="X36" i="12"/>
  <c r="W36" i="12"/>
  <c r="Z32" i="12"/>
  <c r="AA32" i="12"/>
  <c r="X32" i="12"/>
  <c r="W32" i="12"/>
  <c r="Z28" i="12"/>
  <c r="AA28" i="12"/>
  <c r="X28" i="12"/>
  <c r="W28" i="12"/>
  <c r="Z24" i="12"/>
  <c r="AA24" i="12"/>
  <c r="X24" i="12"/>
  <c r="W24" i="12"/>
  <c r="Z20" i="12"/>
  <c r="AA20" i="12"/>
  <c r="X20" i="12"/>
  <c r="W20" i="12"/>
  <c r="Z16" i="12"/>
  <c r="AA16" i="12"/>
  <c r="X16" i="12"/>
  <c r="W16" i="12"/>
  <c r="Z38" i="11"/>
  <c r="AA38" i="11"/>
  <c r="W38" i="11"/>
  <c r="X38" i="11"/>
  <c r="Z34" i="11"/>
  <c r="AA34" i="11"/>
  <c r="W34" i="11"/>
  <c r="X34" i="11"/>
  <c r="Z30" i="11"/>
  <c r="AA30" i="11"/>
  <c r="W30" i="11"/>
  <c r="X30" i="11"/>
  <c r="Z26" i="11"/>
  <c r="AA26" i="11"/>
  <c r="W26" i="11"/>
  <c r="X26" i="11"/>
  <c r="Z22" i="11"/>
  <c r="AA22" i="11"/>
  <c r="W22" i="11"/>
  <c r="X22" i="11"/>
  <c r="Z18" i="11"/>
  <c r="AA18" i="11"/>
  <c r="W18" i="11"/>
  <c r="X18" i="11"/>
  <c r="AA40" i="10"/>
  <c r="Z40" i="10"/>
  <c r="W40" i="10"/>
  <c r="X40" i="10"/>
  <c r="AA36" i="10"/>
  <c r="Z36" i="10"/>
  <c r="W36" i="10"/>
  <c r="X36" i="10"/>
  <c r="AA32" i="10"/>
  <c r="Z32" i="10"/>
  <c r="W32" i="10"/>
  <c r="X32" i="10"/>
  <c r="AA28" i="10"/>
  <c r="Z28" i="10"/>
  <c r="W28" i="10"/>
  <c r="X28" i="10"/>
  <c r="AA24" i="10"/>
  <c r="Z24" i="10"/>
  <c r="W24" i="10"/>
  <c r="X24" i="10"/>
  <c r="AA20" i="10"/>
  <c r="Z20" i="10"/>
  <c r="W20" i="10"/>
  <c r="X20" i="10"/>
  <c r="AA16" i="10"/>
  <c r="Z16" i="10"/>
  <c r="W16" i="10"/>
  <c r="X16" i="10"/>
  <c r="Z38" i="9"/>
  <c r="AA38" i="9"/>
  <c r="W38" i="9"/>
  <c r="X38" i="9"/>
  <c r="Z34" i="9"/>
  <c r="AA34" i="9"/>
  <c r="W34" i="9"/>
  <c r="X34" i="9"/>
  <c r="Z30" i="9"/>
  <c r="AA30" i="9"/>
  <c r="W30" i="9"/>
  <c r="X30" i="9"/>
  <c r="Z26" i="9"/>
  <c r="AA26" i="9"/>
  <c r="W26" i="9"/>
  <c r="X26" i="9"/>
  <c r="Z22" i="9"/>
  <c r="AA22" i="9"/>
  <c r="W22" i="9"/>
  <c r="X22" i="9"/>
  <c r="Z17" i="9"/>
  <c r="AA17" i="9"/>
  <c r="X17" i="9"/>
  <c r="W17" i="9"/>
  <c r="Z27" i="10"/>
  <c r="AA27" i="10"/>
  <c r="X27" i="10"/>
  <c r="W27" i="10"/>
  <c r="Z19" i="10"/>
  <c r="AA19" i="10"/>
  <c r="X19" i="10"/>
  <c r="W19" i="10"/>
  <c r="AA37" i="9"/>
  <c r="Z37" i="9"/>
  <c r="X37" i="9"/>
  <c r="W37" i="9"/>
  <c r="AA29" i="9"/>
  <c r="Z29" i="9"/>
  <c r="X29" i="9"/>
  <c r="W29" i="9"/>
  <c r="AA21" i="9"/>
  <c r="Z21" i="9"/>
  <c r="X21" i="9"/>
  <c r="W21" i="9"/>
  <c r="Z20" i="9"/>
  <c r="AA20" i="9"/>
  <c r="W20" i="9"/>
  <c r="X20" i="9"/>
  <c r="Z36" i="9"/>
  <c r="AA36" i="9"/>
  <c r="W36" i="9"/>
  <c r="X36" i="9"/>
  <c r="Z32" i="9"/>
  <c r="AA32" i="9"/>
  <c r="W32" i="9"/>
  <c r="X32" i="9"/>
  <c r="AA19" i="9"/>
  <c r="Z19" i="9"/>
  <c r="X19" i="9"/>
  <c r="W19" i="9"/>
  <c r="Z39" i="12"/>
  <c r="AA39" i="12"/>
  <c r="W39" i="12"/>
  <c r="X39" i="12"/>
  <c r="Z35" i="12"/>
  <c r="AA35" i="12"/>
  <c r="W35" i="12"/>
  <c r="X35" i="12"/>
  <c r="Z31" i="12"/>
  <c r="AA31" i="12"/>
  <c r="W31" i="12"/>
  <c r="X31" i="12"/>
  <c r="Z27" i="12"/>
  <c r="AA27" i="12"/>
  <c r="W27" i="12"/>
  <c r="X27" i="12"/>
  <c r="Z23" i="12"/>
  <c r="AA23" i="12"/>
  <c r="W23" i="12"/>
  <c r="X23" i="12"/>
  <c r="Z19" i="12"/>
  <c r="AA19" i="12"/>
  <c r="W19" i="12"/>
  <c r="X19" i="12"/>
  <c r="Q16" i="12"/>
  <c r="R16" i="12"/>
  <c r="Q19" i="12"/>
  <c r="R19" i="12"/>
  <c r="Q18" i="12"/>
  <c r="R18" i="12"/>
  <c r="Q22" i="12"/>
  <c r="R22" i="12"/>
  <c r="Q20" i="12"/>
  <c r="R20" i="12"/>
  <c r="Q17" i="12"/>
  <c r="R17" i="12"/>
  <c r="Q21" i="12"/>
  <c r="R21" i="12"/>
  <c r="Q23" i="12"/>
  <c r="R23" i="12"/>
  <c r="Q24" i="12"/>
  <c r="R24" i="12"/>
  <c r="Q27" i="12"/>
  <c r="R27" i="12"/>
  <c r="Q30" i="12"/>
  <c r="R30" i="12"/>
  <c r="Q33" i="12"/>
  <c r="R33" i="12"/>
  <c r="Q36" i="12"/>
  <c r="R36" i="12"/>
  <c r="Q39" i="12"/>
  <c r="R39" i="12"/>
  <c r="Q25" i="12"/>
  <c r="R25" i="12"/>
  <c r="Q28" i="12"/>
  <c r="R28" i="12"/>
  <c r="Q31" i="12"/>
  <c r="R31" i="12"/>
  <c r="Q34" i="12"/>
  <c r="R34" i="12"/>
  <c r="Q40" i="12"/>
  <c r="R40" i="12"/>
  <c r="R26" i="12"/>
  <c r="Q26" i="12"/>
  <c r="Q29" i="12"/>
  <c r="R29" i="12"/>
  <c r="R32" i="12"/>
  <c r="Q32" i="12"/>
  <c r="Q35" i="12"/>
  <c r="R35" i="12"/>
  <c r="R37" i="12"/>
  <c r="Q37" i="12"/>
  <c r="Q38" i="12"/>
  <c r="R38" i="12"/>
  <c r="U16" i="12"/>
  <c r="T16" i="12"/>
  <c r="T17" i="12"/>
  <c r="U17" i="12"/>
  <c r="U18" i="12"/>
  <c r="T18" i="12"/>
  <c r="T19" i="12"/>
  <c r="U19" i="12"/>
  <c r="U20" i="12"/>
  <c r="T20" i="12"/>
  <c r="T21" i="12"/>
  <c r="U21" i="12"/>
  <c r="T22" i="12"/>
  <c r="U22" i="12"/>
  <c r="U23" i="12"/>
  <c r="T23" i="12"/>
  <c r="T24" i="12"/>
  <c r="U24" i="12"/>
  <c r="T25" i="12"/>
  <c r="U25" i="12"/>
  <c r="T26" i="12"/>
  <c r="U26" i="12"/>
  <c r="U27" i="12"/>
  <c r="T27" i="12"/>
  <c r="U28" i="12"/>
  <c r="T28" i="12"/>
  <c r="U29" i="12"/>
  <c r="T29" i="12"/>
  <c r="T30" i="12"/>
  <c r="U30" i="12"/>
  <c r="T31" i="12"/>
  <c r="U31" i="12"/>
  <c r="T32" i="12"/>
  <c r="U32" i="12"/>
  <c r="U33" i="12"/>
  <c r="T33" i="12"/>
  <c r="U34" i="12"/>
  <c r="T34" i="12"/>
  <c r="U35" i="12"/>
  <c r="T35" i="12"/>
  <c r="U36" i="12"/>
  <c r="T36" i="12"/>
  <c r="U37" i="12"/>
  <c r="T37" i="12"/>
  <c r="T38" i="12"/>
  <c r="U38" i="12"/>
  <c r="U39" i="12"/>
  <c r="T39" i="12"/>
  <c r="T40" i="12"/>
  <c r="U40" i="12"/>
  <c r="Z37" i="11"/>
  <c r="AA37" i="11"/>
  <c r="X37" i="11"/>
  <c r="W37" i="11"/>
  <c r="Z33" i="11"/>
  <c r="AA33" i="11"/>
  <c r="X33" i="11"/>
  <c r="W33" i="11"/>
  <c r="Z29" i="11"/>
  <c r="AA29" i="11"/>
  <c r="X29" i="11"/>
  <c r="W29" i="11"/>
  <c r="Z25" i="11"/>
  <c r="AA25" i="11"/>
  <c r="X25" i="11"/>
  <c r="W25" i="11"/>
  <c r="Z21" i="11"/>
  <c r="AA21" i="11"/>
  <c r="X21" i="11"/>
  <c r="W21" i="11"/>
  <c r="Z17" i="11"/>
  <c r="AA17" i="11"/>
  <c r="X17" i="11"/>
  <c r="W17" i="11"/>
  <c r="Z39" i="10"/>
  <c r="AA39" i="10"/>
  <c r="X39" i="10"/>
  <c r="W39" i="10"/>
  <c r="Z35" i="10"/>
  <c r="AA35" i="10"/>
  <c r="X35" i="10"/>
  <c r="W35" i="10"/>
  <c r="Z23" i="10"/>
  <c r="AA23" i="10"/>
  <c r="X23" i="10"/>
  <c r="W23" i="10"/>
  <c r="Q16" i="10"/>
  <c r="R16" i="10"/>
  <c r="R19" i="10"/>
  <c r="Q19" i="10"/>
  <c r="Q23" i="10"/>
  <c r="R23" i="10"/>
  <c r="R18" i="10"/>
  <c r="Q18" i="10"/>
  <c r="Q22" i="10"/>
  <c r="R22" i="10"/>
  <c r="Q20" i="10"/>
  <c r="R20" i="10"/>
  <c r="Q17" i="10"/>
  <c r="R17" i="10"/>
  <c r="R21" i="10"/>
  <c r="Q21" i="10"/>
  <c r="Q24" i="10"/>
  <c r="R24" i="10"/>
  <c r="R27" i="10"/>
  <c r="Q27" i="10"/>
  <c r="Q30" i="10"/>
  <c r="R30" i="10"/>
  <c r="R33" i="10"/>
  <c r="Q33" i="10"/>
  <c r="Q37" i="10"/>
  <c r="R37" i="10"/>
  <c r="Q26" i="10"/>
  <c r="R26" i="10"/>
  <c r="R29" i="10"/>
  <c r="Q29" i="10"/>
  <c r="Q32" i="10"/>
  <c r="R32" i="10"/>
  <c r="R35" i="10"/>
  <c r="Q35" i="10"/>
  <c r="Q38" i="10"/>
  <c r="R38" i="10"/>
  <c r="Q25" i="10"/>
  <c r="R25" i="10"/>
  <c r="R28" i="10"/>
  <c r="Q28" i="10"/>
  <c r="Q31" i="10"/>
  <c r="R31" i="10"/>
  <c r="R34" i="10"/>
  <c r="Q34" i="10"/>
  <c r="Q36" i="10"/>
  <c r="R36" i="10"/>
  <c r="R39" i="10"/>
  <c r="Q39" i="10"/>
  <c r="Q40" i="10"/>
  <c r="R40" i="10"/>
  <c r="U16" i="10"/>
  <c r="T16" i="10"/>
  <c r="T17" i="10"/>
  <c r="U17" i="10"/>
  <c r="U18" i="10"/>
  <c r="T18" i="10"/>
  <c r="T19" i="10"/>
  <c r="U19" i="10"/>
  <c r="U20" i="10"/>
  <c r="T20" i="10"/>
  <c r="T21" i="10"/>
  <c r="U21" i="10"/>
  <c r="U22" i="10"/>
  <c r="T22" i="10"/>
  <c r="T23" i="10"/>
  <c r="U23" i="10"/>
  <c r="U24" i="10"/>
  <c r="T24" i="10"/>
  <c r="T25" i="10"/>
  <c r="U25" i="10"/>
  <c r="T26" i="10"/>
  <c r="U26" i="10"/>
  <c r="T27" i="10"/>
  <c r="U27" i="10"/>
  <c r="U28" i="10"/>
  <c r="T28" i="10"/>
  <c r="U29" i="10"/>
  <c r="T29" i="10"/>
  <c r="T30" i="10"/>
  <c r="U30" i="10"/>
  <c r="T31" i="10"/>
  <c r="U31" i="10"/>
  <c r="T32" i="10"/>
  <c r="U32" i="10"/>
  <c r="U33" i="10"/>
  <c r="T33" i="10"/>
  <c r="T34" i="10"/>
  <c r="U34" i="10"/>
  <c r="U35" i="10"/>
  <c r="T35" i="10"/>
  <c r="T36" i="10"/>
  <c r="U36" i="10"/>
  <c r="U37" i="10"/>
  <c r="T37" i="10"/>
  <c r="U38" i="10"/>
  <c r="T38" i="10"/>
  <c r="U39" i="10"/>
  <c r="T39" i="10"/>
  <c r="T40" i="10"/>
  <c r="U40" i="10"/>
  <c r="AA33" i="9"/>
  <c r="Z33" i="9"/>
  <c r="X33" i="9"/>
  <c r="W33" i="9"/>
  <c r="AA25" i="9"/>
  <c r="Z25" i="9"/>
  <c r="X25" i="9"/>
  <c r="W25" i="9"/>
  <c r="Z16" i="9"/>
  <c r="AA16" i="9"/>
  <c r="W16" i="9"/>
  <c r="X16" i="9"/>
  <c r="Z40" i="9"/>
  <c r="AA40" i="9"/>
  <c r="W40" i="9"/>
  <c r="X40" i="9"/>
  <c r="Z38" i="12"/>
  <c r="AA38" i="12"/>
  <c r="X38" i="12"/>
  <c r="W38" i="12"/>
  <c r="Z34" i="12"/>
  <c r="AA34" i="12"/>
  <c r="X34" i="12"/>
  <c r="W34" i="12"/>
  <c r="Z30" i="12"/>
  <c r="AA30" i="12"/>
  <c r="X30" i="12"/>
  <c r="W30" i="12"/>
  <c r="Z26" i="12"/>
  <c r="AA26" i="12"/>
  <c r="X26" i="12"/>
  <c r="W26" i="12"/>
  <c r="Z22" i="12"/>
  <c r="AA22" i="12"/>
  <c r="X22" i="12"/>
  <c r="W22" i="12"/>
  <c r="Z18" i="12"/>
  <c r="AA18" i="12"/>
  <c r="X18" i="12"/>
  <c r="W18" i="12"/>
  <c r="Z40" i="11"/>
  <c r="AA40" i="11"/>
  <c r="W40" i="11"/>
  <c r="X40" i="11"/>
  <c r="Z36" i="11"/>
  <c r="AA36" i="11"/>
  <c r="W36" i="11"/>
  <c r="X36" i="11"/>
  <c r="Z32" i="11"/>
  <c r="AA32" i="11"/>
  <c r="W32" i="11"/>
  <c r="X32" i="11"/>
  <c r="Z28" i="11"/>
  <c r="AA28" i="11"/>
  <c r="W28" i="11"/>
  <c r="X28" i="11"/>
  <c r="Z24" i="11"/>
  <c r="AA24" i="11"/>
  <c r="W24" i="11"/>
  <c r="X24" i="11"/>
  <c r="Z20" i="11"/>
  <c r="AA20" i="11"/>
  <c r="W20" i="11"/>
  <c r="X20" i="11"/>
  <c r="Z16" i="11"/>
  <c r="AA16" i="11"/>
  <c r="W16" i="11"/>
  <c r="X16" i="11"/>
  <c r="AA38" i="10"/>
  <c r="Z38" i="10"/>
  <c r="W38" i="10"/>
  <c r="X38" i="10"/>
  <c r="AA34" i="10"/>
  <c r="Z34" i="10"/>
  <c r="W34" i="10"/>
  <c r="X34" i="10"/>
  <c r="AA30" i="10"/>
  <c r="Z30" i="10"/>
  <c r="W30" i="10"/>
  <c r="X30" i="10"/>
  <c r="AA26" i="10"/>
  <c r="Z26" i="10"/>
  <c r="W26" i="10"/>
  <c r="X26" i="10"/>
  <c r="AA22" i="10"/>
  <c r="Z22" i="10"/>
  <c r="W22" i="10"/>
  <c r="X22" i="10"/>
  <c r="AA18" i="10"/>
  <c r="Z18" i="10"/>
  <c r="W18" i="10"/>
  <c r="X18" i="10"/>
  <c r="Z28" i="9"/>
  <c r="AA28" i="9"/>
  <c r="W28" i="9"/>
  <c r="X28" i="9"/>
  <c r="Z24" i="9"/>
  <c r="AA24" i="9"/>
  <c r="W24" i="9"/>
  <c r="X24" i="9"/>
  <c r="Q18" i="9"/>
  <c r="R18" i="9"/>
  <c r="Q17" i="9"/>
  <c r="R17" i="9"/>
  <c r="Q21" i="9"/>
  <c r="R21" i="9"/>
  <c r="R16" i="9"/>
  <c r="Q16" i="9"/>
  <c r="Q20" i="9"/>
  <c r="R20" i="9"/>
  <c r="R24" i="9"/>
  <c r="Q24" i="9"/>
  <c r="Q22" i="9"/>
  <c r="R22" i="9"/>
  <c r="Q19" i="9"/>
  <c r="R19" i="9"/>
  <c r="Q23" i="9"/>
  <c r="R23" i="9"/>
  <c r="R27" i="9"/>
  <c r="Q27" i="9"/>
  <c r="Q30" i="9"/>
  <c r="R30" i="9"/>
  <c r="Q33" i="9"/>
  <c r="R33" i="9"/>
  <c r="Q36" i="9"/>
  <c r="R36" i="9"/>
  <c r="R38" i="9"/>
  <c r="Q38" i="9"/>
  <c r="R26" i="9"/>
  <c r="Q26" i="9"/>
  <c r="Q29" i="9"/>
  <c r="R29" i="9"/>
  <c r="R32" i="9"/>
  <c r="Q32" i="9"/>
  <c r="Q35" i="9"/>
  <c r="R35" i="9"/>
  <c r="Q37" i="9"/>
  <c r="R37" i="9"/>
  <c r="Q39" i="9"/>
  <c r="R39" i="9"/>
  <c r="Q25" i="9"/>
  <c r="R25" i="9"/>
  <c r="R28" i="9"/>
  <c r="Q28" i="9"/>
  <c r="Q31" i="9"/>
  <c r="R31" i="9"/>
  <c r="R34" i="9"/>
  <c r="Q34" i="9"/>
  <c r="Q40" i="9"/>
  <c r="R40" i="9"/>
  <c r="U16" i="9"/>
  <c r="T16" i="9"/>
  <c r="T17" i="9"/>
  <c r="U17" i="9"/>
  <c r="U18" i="9"/>
  <c r="T18" i="9"/>
  <c r="T19" i="9"/>
  <c r="U19" i="9"/>
  <c r="U20" i="9"/>
  <c r="T20" i="9"/>
  <c r="T21" i="9"/>
  <c r="U21" i="9"/>
  <c r="U22" i="9"/>
  <c r="T22" i="9"/>
  <c r="T23" i="9"/>
  <c r="U23" i="9"/>
  <c r="T24" i="9"/>
  <c r="U24" i="9"/>
  <c r="T25" i="9"/>
  <c r="U25" i="9"/>
  <c r="T26" i="9"/>
  <c r="U26" i="9"/>
  <c r="U27" i="9"/>
  <c r="T27" i="9"/>
  <c r="U28" i="9"/>
  <c r="T28" i="9"/>
  <c r="U29" i="9"/>
  <c r="T29" i="9"/>
  <c r="T30" i="9"/>
  <c r="U30" i="9"/>
  <c r="T31" i="9"/>
  <c r="U31" i="9"/>
  <c r="T32" i="9"/>
  <c r="U32" i="9"/>
  <c r="U33" i="9"/>
  <c r="T33" i="9"/>
  <c r="U34" i="9"/>
  <c r="T34" i="9"/>
  <c r="U35" i="9"/>
  <c r="T35" i="9"/>
  <c r="U36" i="9"/>
  <c r="T36" i="9"/>
  <c r="T37" i="9"/>
  <c r="U37" i="9"/>
  <c r="U38" i="9"/>
  <c r="T38" i="9"/>
  <c r="T39" i="9"/>
  <c r="U39" i="9"/>
  <c r="T40" i="9"/>
  <c r="U40" i="9"/>
  <c r="M27" i="4" l="1"/>
  <c r="M36" i="7"/>
  <c r="N33" i="9"/>
  <c r="AV33" i="9"/>
  <c r="M23" i="10"/>
  <c r="AV23" i="10"/>
  <c r="N35" i="10"/>
  <c r="AV35" i="10"/>
  <c r="N17" i="11"/>
  <c r="AV17" i="11"/>
  <c r="N25" i="11"/>
  <c r="AV25" i="11"/>
  <c r="N29" i="11"/>
  <c r="AV29" i="11"/>
  <c r="N27" i="12"/>
  <c r="AV27" i="12"/>
  <c r="N31" i="12"/>
  <c r="AV31" i="12"/>
  <c r="M26" i="4"/>
  <c r="M36" i="6"/>
  <c r="M37" i="8"/>
  <c r="M33" i="8"/>
  <c r="N17" i="9"/>
  <c r="AV17" i="9"/>
  <c r="AV22" i="9"/>
  <c r="AV26" i="9"/>
  <c r="N30" i="9"/>
  <c r="AV30" i="9"/>
  <c r="AV34" i="9"/>
  <c r="AV38" i="9"/>
  <c r="N16" i="10"/>
  <c r="AV16" i="10"/>
  <c r="M20" i="10"/>
  <c r="AV20" i="10"/>
  <c r="N24" i="10"/>
  <c r="AV24" i="10"/>
  <c r="M28" i="10"/>
  <c r="AV28" i="10"/>
  <c r="N32" i="10"/>
  <c r="AV32" i="10"/>
  <c r="AV36" i="10"/>
  <c r="AV40" i="10"/>
  <c r="N18" i="11"/>
  <c r="AV18" i="11"/>
  <c r="N22" i="11"/>
  <c r="AV22" i="11"/>
  <c r="N26" i="11"/>
  <c r="AV26" i="11"/>
  <c r="M30" i="11"/>
  <c r="AV30" i="11"/>
  <c r="N34" i="11"/>
  <c r="AV34" i="11"/>
  <c r="N38" i="11"/>
  <c r="AV38" i="11"/>
  <c r="AV16" i="12"/>
  <c r="N20" i="12"/>
  <c r="AV20" i="12"/>
  <c r="AV24" i="12"/>
  <c r="M28" i="12"/>
  <c r="AV28" i="12"/>
  <c r="M32" i="12"/>
  <c r="AV32" i="12"/>
  <c r="AV36" i="12"/>
  <c r="AV40" i="12"/>
  <c r="M35" i="4"/>
  <c r="N37" i="6"/>
  <c r="M32" i="7"/>
  <c r="N34" i="8"/>
  <c r="N16" i="9"/>
  <c r="AV16" i="9"/>
  <c r="N21" i="9"/>
  <c r="AV21" i="9"/>
  <c r="N25" i="9"/>
  <c r="AV25" i="9"/>
  <c r="AV37" i="9"/>
  <c r="N19" i="10"/>
  <c r="AV19" i="10"/>
  <c r="M31" i="10"/>
  <c r="AV31" i="10"/>
  <c r="AV39" i="10"/>
  <c r="N21" i="11"/>
  <c r="AV21" i="11"/>
  <c r="AV33" i="11"/>
  <c r="M37" i="11"/>
  <c r="AV37" i="11"/>
  <c r="M19" i="12"/>
  <c r="AV19" i="12"/>
  <c r="N23" i="12"/>
  <c r="AV23" i="12"/>
  <c r="N35" i="12"/>
  <c r="AV35" i="12"/>
  <c r="N39" i="12"/>
  <c r="AV39" i="12"/>
  <c r="M40" i="6"/>
  <c r="M35" i="7"/>
  <c r="N37" i="4"/>
  <c r="M39" i="6"/>
  <c r="M35" i="6"/>
  <c r="N34" i="7"/>
  <c r="N36" i="8"/>
  <c r="M32" i="8"/>
  <c r="N18" i="9"/>
  <c r="AV18" i="9"/>
  <c r="N23" i="9"/>
  <c r="AV23" i="9"/>
  <c r="N27" i="9"/>
  <c r="AV27" i="9"/>
  <c r="N31" i="9"/>
  <c r="AV31" i="9"/>
  <c r="AV35" i="9"/>
  <c r="AV39" i="9"/>
  <c r="N17" i="10"/>
  <c r="AV17" i="10"/>
  <c r="M21" i="10"/>
  <c r="AV21" i="10"/>
  <c r="N25" i="10"/>
  <c r="AV25" i="10"/>
  <c r="M29" i="10"/>
  <c r="AV29" i="10"/>
  <c r="N33" i="10"/>
  <c r="AV33" i="10"/>
  <c r="N37" i="10"/>
  <c r="AV37" i="10"/>
  <c r="AV19" i="11"/>
  <c r="AV23" i="11"/>
  <c r="AV27" i="11"/>
  <c r="N31" i="11"/>
  <c r="AV31" i="11"/>
  <c r="N35" i="11"/>
  <c r="AV35" i="11"/>
  <c r="N39" i="11"/>
  <c r="AV39" i="11"/>
  <c r="N17" i="12"/>
  <c r="AV17" i="12"/>
  <c r="M21" i="12"/>
  <c r="AV21" i="12"/>
  <c r="N25" i="12"/>
  <c r="AV25" i="12"/>
  <c r="M29" i="12"/>
  <c r="AV29" i="12"/>
  <c r="N33" i="12"/>
  <c r="AV33" i="12"/>
  <c r="N37" i="12"/>
  <c r="AV37" i="12"/>
  <c r="N29" i="9"/>
  <c r="AV29" i="9"/>
  <c r="M27" i="10"/>
  <c r="AV27" i="10"/>
  <c r="M28" i="4"/>
  <c r="N36" i="4"/>
  <c r="M38" i="6"/>
  <c r="M37" i="7"/>
  <c r="M33" i="7"/>
  <c r="M35" i="8"/>
  <c r="AV19" i="9"/>
  <c r="N20" i="9"/>
  <c r="AV20" i="9"/>
  <c r="N24" i="9"/>
  <c r="AV24" i="9"/>
  <c r="N28" i="9"/>
  <c r="AV28" i="9"/>
  <c r="M32" i="9"/>
  <c r="AV32" i="9"/>
  <c r="AV36" i="9"/>
  <c r="AV40" i="9"/>
  <c r="N18" i="10"/>
  <c r="AV18" i="10"/>
  <c r="M22" i="10"/>
  <c r="AV22" i="10"/>
  <c r="M26" i="10"/>
  <c r="AV26" i="10"/>
  <c r="N30" i="10"/>
  <c r="AV30" i="10"/>
  <c r="N34" i="10"/>
  <c r="AV34" i="10"/>
  <c r="AV38" i="10"/>
  <c r="M16" i="11"/>
  <c r="AV16" i="11"/>
  <c r="M20" i="11"/>
  <c r="AV20" i="11"/>
  <c r="M24" i="11"/>
  <c r="AV24" i="11"/>
  <c r="M28" i="11"/>
  <c r="AV28" i="11"/>
  <c r="N32" i="11"/>
  <c r="AV32" i="11"/>
  <c r="AV36" i="11"/>
  <c r="AV40" i="11"/>
  <c r="M18" i="12"/>
  <c r="AV18" i="12"/>
  <c r="M22" i="12"/>
  <c r="AV22" i="12"/>
  <c r="M26" i="12"/>
  <c r="AV26" i="12"/>
  <c r="AV30" i="12"/>
  <c r="M34" i="12"/>
  <c r="AV34" i="12"/>
  <c r="N38" i="12"/>
  <c r="AV38" i="12"/>
  <c r="B23" i="12"/>
  <c r="B27" i="12"/>
  <c r="B31" i="12"/>
  <c r="AL17" i="11"/>
  <c r="AP20" i="11"/>
  <c r="AH17" i="11"/>
  <c r="AP16" i="11"/>
  <c r="AH39" i="10"/>
  <c r="AP38" i="10"/>
  <c r="AH35" i="10"/>
  <c r="AP34" i="10"/>
  <c r="AH31" i="10"/>
  <c r="AP30" i="10"/>
  <c r="AH27" i="10"/>
  <c r="AP26" i="10"/>
  <c r="AH23" i="10"/>
  <c r="AP22" i="10"/>
  <c r="AH19" i="10"/>
  <c r="AP18" i="10"/>
  <c r="AP40" i="9"/>
  <c r="AH37" i="9"/>
  <c r="AP36" i="9"/>
  <c r="AH33" i="9"/>
  <c r="AP32" i="9"/>
  <c r="AH29" i="9"/>
  <c r="AP28" i="9"/>
  <c r="AH25" i="9"/>
  <c r="AP24" i="9"/>
  <c r="AH21" i="9"/>
  <c r="AP20" i="9"/>
  <c r="AH20" i="9"/>
  <c r="AP19" i="9"/>
  <c r="AH16" i="9"/>
  <c r="AP33" i="8"/>
  <c r="AH34" i="8"/>
  <c r="AL34" i="8"/>
  <c r="AP37" i="8"/>
  <c r="AH32" i="7"/>
  <c r="AP35" i="7"/>
  <c r="AH36" i="7"/>
  <c r="AL36" i="7"/>
  <c r="AP36" i="6"/>
  <c r="AH37" i="6"/>
  <c r="AP40" i="6"/>
  <c r="AH35" i="4"/>
  <c r="AP37" i="4"/>
  <c r="AH26" i="4"/>
  <c r="AH28" i="12"/>
  <c r="AP23" i="12"/>
  <c r="AH20" i="12"/>
  <c r="AP19" i="12"/>
  <c r="AH16" i="12"/>
  <c r="AP37" i="11"/>
  <c r="AH18" i="11"/>
  <c r="AP39" i="10"/>
  <c r="AH32" i="10"/>
  <c r="AH28" i="10"/>
  <c r="AH16" i="10"/>
  <c r="AP33" i="9"/>
  <c r="AP29" i="9"/>
  <c r="AH26" i="9"/>
  <c r="AP16" i="9"/>
  <c r="AP32" i="8"/>
  <c r="AP36" i="8"/>
  <c r="AP39" i="6"/>
  <c r="AH38" i="12"/>
  <c r="AP37" i="12"/>
  <c r="AH34" i="12"/>
  <c r="AP33" i="12"/>
  <c r="AH30" i="12"/>
  <c r="AP29" i="12"/>
  <c r="AH26" i="12"/>
  <c r="AP25" i="12"/>
  <c r="AH22" i="12"/>
  <c r="AP21" i="12"/>
  <c r="AH18" i="12"/>
  <c r="AP17" i="12"/>
  <c r="AH40" i="11"/>
  <c r="AP39" i="11"/>
  <c r="AH36" i="11"/>
  <c r="AP35" i="11"/>
  <c r="AH32" i="11"/>
  <c r="AP31" i="11"/>
  <c r="AH28" i="11"/>
  <c r="AP27" i="11"/>
  <c r="AH24" i="11"/>
  <c r="AP23" i="11"/>
  <c r="AH20" i="11"/>
  <c r="B26" i="12" l="1"/>
  <c r="B30" i="12"/>
  <c r="B28" i="12"/>
  <c r="AL16" i="11"/>
  <c r="AP19" i="11"/>
  <c r="AH16" i="11"/>
  <c r="AH38" i="10"/>
  <c r="AP37" i="10"/>
  <c r="AH34" i="10"/>
  <c r="AP33" i="10"/>
  <c r="AH30" i="10"/>
  <c r="AP29" i="10"/>
  <c r="AH26" i="10"/>
  <c r="AP25" i="10"/>
  <c r="AH22" i="10"/>
  <c r="AP21" i="10"/>
  <c r="AH18" i="10"/>
  <c r="AP17" i="10"/>
  <c r="AH40" i="9"/>
  <c r="AP39" i="9"/>
  <c r="AH36" i="9"/>
  <c r="AP35" i="9"/>
  <c r="AH32" i="9"/>
  <c r="AP31" i="9"/>
  <c r="AH28" i="9"/>
  <c r="AP27" i="9"/>
  <c r="AH24" i="9"/>
  <c r="AP23" i="9"/>
  <c r="AH19" i="9"/>
  <c r="AP18" i="9"/>
  <c r="AP34" i="8"/>
  <c r="AH35" i="8"/>
  <c r="AP32" i="7"/>
  <c r="AH33" i="7"/>
  <c r="AP36" i="7"/>
  <c r="AH37" i="7"/>
  <c r="AL37" i="7"/>
  <c r="AP37" i="6"/>
  <c r="AH38" i="6"/>
  <c r="AP35" i="4"/>
  <c r="AH36" i="4"/>
  <c r="AP26" i="4"/>
  <c r="AH27" i="4"/>
  <c r="AP37" i="7"/>
  <c r="AH39" i="6"/>
  <c r="AP27" i="4"/>
  <c r="AH32" i="12"/>
  <c r="AP31" i="12"/>
  <c r="AP27" i="12"/>
  <c r="AH24" i="12"/>
  <c r="AL16" i="12"/>
  <c r="AH38" i="11"/>
  <c r="AH34" i="11"/>
  <c r="AP33" i="11"/>
  <c r="AH30" i="11"/>
  <c r="AH26" i="11"/>
  <c r="AH22" i="11"/>
  <c r="AP35" i="10"/>
  <c r="AP23" i="10"/>
  <c r="AH30" i="9"/>
  <c r="AH22" i="9"/>
  <c r="AH17" i="9"/>
  <c r="B24" i="12" l="1"/>
  <c r="AL37" i="8"/>
  <c r="AH36" i="6"/>
  <c r="AH40" i="6"/>
  <c r="AH37" i="4"/>
  <c r="AP40" i="12"/>
  <c r="AH37" i="12"/>
  <c r="AP36" i="12"/>
  <c r="AH33" i="12"/>
  <c r="AP32" i="12"/>
  <c r="AH29" i="12"/>
  <c r="AP28" i="12"/>
  <c r="AH25" i="12"/>
  <c r="AP24" i="12"/>
  <c r="AH21" i="12"/>
  <c r="AP20" i="12"/>
  <c r="AL17" i="12"/>
  <c r="AH17" i="12"/>
  <c r="AP16" i="12"/>
  <c r="AH39" i="11"/>
  <c r="AP38" i="11"/>
  <c r="AH35" i="11"/>
  <c r="AP34" i="11"/>
  <c r="AH31" i="11"/>
  <c r="AP30" i="11"/>
  <c r="AH27" i="11"/>
  <c r="AP26" i="11"/>
  <c r="AH23" i="11"/>
  <c r="AP22" i="11"/>
  <c r="AH19" i="11"/>
  <c r="AP18" i="11"/>
  <c r="AP40" i="10"/>
  <c r="AH37" i="10"/>
  <c r="AP36" i="10"/>
  <c r="AH33" i="10"/>
  <c r="AP32" i="10"/>
  <c r="AH29" i="10"/>
  <c r="AP28" i="10"/>
  <c r="AH25" i="10"/>
  <c r="AP24" i="10"/>
  <c r="AH21" i="10"/>
  <c r="AP20" i="10"/>
  <c r="AL17" i="10"/>
  <c r="AH17" i="10"/>
  <c r="AP16" i="10"/>
  <c r="AH39" i="9"/>
  <c r="AP38" i="9"/>
  <c r="AH35" i="9"/>
  <c r="AP34" i="9"/>
  <c r="AH31" i="9"/>
  <c r="AP30" i="9"/>
  <c r="AH27" i="9"/>
  <c r="AP26" i="9"/>
  <c r="AH23" i="9"/>
  <c r="AP22" i="9"/>
  <c r="AH18" i="9"/>
  <c r="AP17" i="9"/>
  <c r="AH32" i="8"/>
  <c r="AP35" i="8"/>
  <c r="AH36" i="8"/>
  <c r="B25" i="12" l="1"/>
  <c r="B29" i="12"/>
  <c r="AL36" i="8"/>
  <c r="AP33" i="7"/>
  <c r="AH34" i="7"/>
  <c r="AL34" i="7"/>
  <c r="AH35" i="6"/>
  <c r="AP38" i="6"/>
  <c r="AP36" i="4"/>
  <c r="AH28" i="4"/>
  <c r="AP29" i="11"/>
  <c r="AP25" i="11"/>
  <c r="AP21" i="11"/>
  <c r="AP17" i="11"/>
  <c r="AH40" i="10"/>
  <c r="AH36" i="10"/>
  <c r="AP31" i="10"/>
  <c r="AP27" i="10"/>
  <c r="AH24" i="10"/>
  <c r="AH20" i="10"/>
  <c r="AL16" i="10"/>
  <c r="AH38" i="9"/>
  <c r="AH33" i="8"/>
  <c r="AH37" i="8"/>
  <c r="AH35" i="7"/>
  <c r="BM28" i="4" l="1"/>
  <c r="AQ28" i="4"/>
  <c r="BK40" i="6"/>
  <c r="AN40" i="6"/>
  <c r="BO37" i="6"/>
  <c r="BM35" i="6"/>
  <c r="AQ35" i="6"/>
  <c r="BF32" i="7"/>
  <c r="AI32" i="7"/>
  <c r="AM32" i="7"/>
  <c r="AJ32" i="7"/>
  <c r="AK32" i="7"/>
  <c r="AI34" i="8"/>
  <c r="AJ34" i="8"/>
  <c r="AM34" i="8"/>
  <c r="AK34" i="8"/>
  <c r="AN17" i="9"/>
  <c r="AL22" i="9"/>
  <c r="AN22" i="9"/>
  <c r="BO27" i="9"/>
  <c r="BO31" i="9"/>
  <c r="BO35" i="9"/>
  <c r="BK16" i="10"/>
  <c r="AN16" i="10"/>
  <c r="BO21" i="10"/>
  <c r="BO25" i="10"/>
  <c r="AQ27" i="10"/>
  <c r="BO29" i="10"/>
  <c r="AQ31" i="10"/>
  <c r="BO33" i="10"/>
  <c r="AI37" i="10"/>
  <c r="AM37" i="10"/>
  <c r="AJ37" i="10"/>
  <c r="AK37" i="10"/>
  <c r="AQ17" i="11"/>
  <c r="BO19" i="11"/>
  <c r="AQ21" i="11"/>
  <c r="BK22" i="11"/>
  <c r="AL22" i="11"/>
  <c r="AN22" i="11"/>
  <c r="BI23" i="11"/>
  <c r="AI23" i="11"/>
  <c r="AM23" i="11"/>
  <c r="AJ23" i="11"/>
  <c r="AK23" i="11"/>
  <c r="AQ25" i="11"/>
  <c r="BJ26" i="11"/>
  <c r="AL26" i="11"/>
  <c r="AN26" i="11"/>
  <c r="AQ29" i="11"/>
  <c r="BK30" i="11"/>
  <c r="AL30" i="11"/>
  <c r="AN30" i="11"/>
  <c r="AI31" i="11"/>
  <c r="AM31" i="11"/>
  <c r="AJ31" i="11"/>
  <c r="AK31" i="11"/>
  <c r="BO35" i="11"/>
  <c r="BJ38" i="11"/>
  <c r="AL38" i="11"/>
  <c r="AN38" i="11"/>
  <c r="BK32" i="12"/>
  <c r="AL32" i="12"/>
  <c r="AN32" i="12"/>
  <c r="AQ36" i="4"/>
  <c r="BM38" i="6"/>
  <c r="AQ38" i="6"/>
  <c r="BO35" i="7"/>
  <c r="AI35" i="7"/>
  <c r="AM35" i="7"/>
  <c r="AJ35" i="7"/>
  <c r="AK35" i="7"/>
  <c r="AN34" i="7"/>
  <c r="AQ33" i="7"/>
  <c r="BO37" i="8"/>
  <c r="AM37" i="8"/>
  <c r="AI37" i="8"/>
  <c r="AJ37" i="8"/>
  <c r="AK37" i="8"/>
  <c r="AN36" i="8"/>
  <c r="AQ35" i="8"/>
  <c r="BO33" i="8"/>
  <c r="AI33" i="8"/>
  <c r="AM33" i="8"/>
  <c r="AJ33" i="8"/>
  <c r="AK33" i="8"/>
  <c r="AN32" i="8"/>
  <c r="AL32" i="8"/>
  <c r="BM17" i="9"/>
  <c r="AQ17" i="9"/>
  <c r="AL18" i="9"/>
  <c r="AN18" i="9"/>
  <c r="AI19" i="9"/>
  <c r="AM19" i="9"/>
  <c r="AJ19" i="9"/>
  <c r="AK19" i="9"/>
  <c r="BO19" i="9"/>
  <c r="AL20" i="9"/>
  <c r="BM22" i="9"/>
  <c r="AQ22" i="9"/>
  <c r="AL23" i="9"/>
  <c r="AN23" i="9"/>
  <c r="AI24" i="9"/>
  <c r="AM24" i="9"/>
  <c r="AJ24" i="9"/>
  <c r="AK24" i="9"/>
  <c r="BM26" i="9"/>
  <c r="AQ26" i="9"/>
  <c r="AL27" i="9"/>
  <c r="AN27" i="9"/>
  <c r="AI28" i="9"/>
  <c r="AM28" i="9"/>
  <c r="AJ28" i="9"/>
  <c r="AK28" i="9"/>
  <c r="BO28" i="9"/>
  <c r="AQ30" i="9"/>
  <c r="BK31" i="9"/>
  <c r="AL31" i="9"/>
  <c r="AN31" i="9"/>
  <c r="BG32" i="9"/>
  <c r="AI32" i="9"/>
  <c r="AM32" i="9"/>
  <c r="AJ32" i="9"/>
  <c r="AK32" i="9"/>
  <c r="BO32" i="9"/>
  <c r="BM34" i="9"/>
  <c r="AQ34" i="9"/>
  <c r="BJ35" i="9"/>
  <c r="AL35" i="9"/>
  <c r="AN35" i="9"/>
  <c r="BG36" i="9"/>
  <c r="AI36" i="9"/>
  <c r="AM36" i="9"/>
  <c r="AJ36" i="9"/>
  <c r="AK36" i="9"/>
  <c r="BO36" i="9"/>
  <c r="BM38" i="9"/>
  <c r="AQ38" i="9"/>
  <c r="AL39" i="9"/>
  <c r="AN39" i="9"/>
  <c r="AI40" i="9"/>
  <c r="AM40" i="9"/>
  <c r="AJ40" i="9"/>
  <c r="AK40" i="9"/>
  <c r="BO40" i="9"/>
  <c r="AQ16" i="10"/>
  <c r="BK17" i="10"/>
  <c r="AN17" i="10"/>
  <c r="BG18" i="10"/>
  <c r="AI18" i="10"/>
  <c r="AM18" i="10"/>
  <c r="AJ18" i="10"/>
  <c r="AK18" i="10"/>
  <c r="BO18" i="10"/>
  <c r="AQ20" i="10"/>
  <c r="BK21" i="10"/>
  <c r="AN21" i="10"/>
  <c r="AL21" i="10"/>
  <c r="AI22" i="10"/>
  <c r="AM22" i="10"/>
  <c r="AJ22" i="10"/>
  <c r="AK22" i="10"/>
  <c r="BO22" i="10"/>
  <c r="AQ24" i="10"/>
  <c r="AN25" i="10"/>
  <c r="AL25" i="10"/>
  <c r="BG26" i="10"/>
  <c r="AI26" i="10"/>
  <c r="AM26" i="10"/>
  <c r="AJ26" i="10"/>
  <c r="AK26" i="10"/>
  <c r="BO26" i="10"/>
  <c r="AQ28" i="10"/>
  <c r="BK29" i="10"/>
  <c r="AN29" i="10"/>
  <c r="AL29" i="10"/>
  <c r="BG30" i="10"/>
  <c r="AI30" i="10"/>
  <c r="AM30" i="10"/>
  <c r="AJ30" i="10"/>
  <c r="AK30" i="10"/>
  <c r="BO30" i="10"/>
  <c r="AQ32" i="10"/>
  <c r="AN33" i="10"/>
  <c r="AL33" i="10"/>
  <c r="AI34" i="10"/>
  <c r="AM34" i="10"/>
  <c r="AJ34" i="10"/>
  <c r="AK34" i="10"/>
  <c r="BO34" i="10"/>
  <c r="BM36" i="10"/>
  <c r="AQ36" i="10"/>
  <c r="AN37" i="10"/>
  <c r="AL37" i="10"/>
  <c r="AI38" i="10"/>
  <c r="AM38" i="10"/>
  <c r="AJ38" i="10"/>
  <c r="AK38" i="10"/>
  <c r="BO38" i="10"/>
  <c r="BM40" i="10"/>
  <c r="AQ40" i="10"/>
  <c r="BI16" i="11"/>
  <c r="AM16" i="11"/>
  <c r="AJ16" i="11"/>
  <c r="AI16" i="11"/>
  <c r="AK16" i="11"/>
  <c r="BO16" i="11"/>
  <c r="BM18" i="11"/>
  <c r="AQ18" i="11"/>
  <c r="AL19" i="11"/>
  <c r="AN19" i="11"/>
  <c r="BI20" i="11"/>
  <c r="AI20" i="11"/>
  <c r="AM20" i="11"/>
  <c r="AJ20" i="11"/>
  <c r="AK20" i="11"/>
  <c r="BO20" i="11"/>
  <c r="BM22" i="11"/>
  <c r="AQ22" i="11"/>
  <c r="BJ23" i="11"/>
  <c r="AL23" i="11"/>
  <c r="AN23" i="11"/>
  <c r="AI24" i="11"/>
  <c r="AM24" i="11"/>
  <c r="AJ24" i="11"/>
  <c r="AK24" i="11"/>
  <c r="BO24" i="11"/>
  <c r="AQ26" i="11"/>
  <c r="AL27" i="11"/>
  <c r="AN27" i="11"/>
  <c r="BI28" i="11"/>
  <c r="AI28" i="11"/>
  <c r="AM28" i="11"/>
  <c r="AJ28" i="11"/>
  <c r="AK28" i="11"/>
  <c r="BO28" i="11"/>
  <c r="AQ30" i="11"/>
  <c r="BJ31" i="11"/>
  <c r="AL31" i="11"/>
  <c r="AN31" i="11"/>
  <c r="AI32" i="11"/>
  <c r="AM32" i="11"/>
  <c r="AJ32" i="11"/>
  <c r="AK32" i="11"/>
  <c r="BO32" i="11"/>
  <c r="AQ34" i="11"/>
  <c r="AL35" i="11"/>
  <c r="AN35" i="11"/>
  <c r="BI36" i="11"/>
  <c r="AI36" i="11"/>
  <c r="AM36" i="11"/>
  <c r="AJ36" i="11"/>
  <c r="AK36" i="11"/>
  <c r="BO36" i="11"/>
  <c r="AQ38" i="11"/>
  <c r="BK39" i="11"/>
  <c r="AL39" i="11"/>
  <c r="AN39" i="11"/>
  <c r="AI40" i="11"/>
  <c r="AM40" i="11"/>
  <c r="AJ40" i="11"/>
  <c r="AK40" i="11"/>
  <c r="BM16" i="12"/>
  <c r="AQ16" i="12"/>
  <c r="BK17" i="12"/>
  <c r="AN17" i="12"/>
  <c r="BG18" i="12"/>
  <c r="AI18" i="12"/>
  <c r="AM18" i="12"/>
  <c r="AJ18" i="12"/>
  <c r="AK18" i="12"/>
  <c r="BO18" i="12"/>
  <c r="AQ20" i="12"/>
  <c r="BJ21" i="12"/>
  <c r="AN21" i="12"/>
  <c r="BG22" i="12"/>
  <c r="AI22" i="12"/>
  <c r="AM22" i="12"/>
  <c r="AJ22" i="12"/>
  <c r="AK22" i="12"/>
  <c r="BO22" i="12"/>
  <c r="AQ24" i="12"/>
  <c r="BJ25" i="12"/>
  <c r="AL25" i="12"/>
  <c r="AN25" i="12"/>
  <c r="BG26" i="12"/>
  <c r="AI26" i="12"/>
  <c r="AM26" i="12"/>
  <c r="AJ26" i="12"/>
  <c r="AK26" i="12"/>
  <c r="BO26" i="12"/>
  <c r="AQ28" i="12"/>
  <c r="BJ29" i="12"/>
  <c r="AL29" i="12"/>
  <c r="AN29" i="12"/>
  <c r="AI30" i="12"/>
  <c r="AM30" i="12"/>
  <c r="AJ30" i="12"/>
  <c r="AK30" i="12"/>
  <c r="BO30" i="12"/>
  <c r="AQ32" i="12"/>
  <c r="BJ33" i="12"/>
  <c r="AN33" i="12"/>
  <c r="AI34" i="12"/>
  <c r="AM34" i="12"/>
  <c r="AJ34" i="12"/>
  <c r="AK34" i="12"/>
  <c r="BO34" i="12"/>
  <c r="BM36" i="12"/>
  <c r="AQ36" i="12"/>
  <c r="AN37" i="12"/>
  <c r="BG38" i="12"/>
  <c r="AI38" i="12"/>
  <c r="AM38" i="12"/>
  <c r="AJ38" i="12"/>
  <c r="AK38" i="12"/>
  <c r="BO38" i="12"/>
  <c r="BM40" i="12"/>
  <c r="AQ40" i="12"/>
  <c r="AJ35" i="4"/>
  <c r="AI35" i="4"/>
  <c r="AM35" i="4"/>
  <c r="AK35" i="4"/>
  <c r="AI37" i="6"/>
  <c r="AM37" i="6"/>
  <c r="AJ37" i="6"/>
  <c r="AK37" i="6"/>
  <c r="BF36" i="7"/>
  <c r="AI36" i="7"/>
  <c r="AJ36" i="7"/>
  <c r="AM36" i="7"/>
  <c r="AK36" i="7"/>
  <c r="AN37" i="8"/>
  <c r="BO34" i="8"/>
  <c r="BG18" i="9"/>
  <c r="AI18" i="9"/>
  <c r="AM18" i="9"/>
  <c r="AJ18" i="9"/>
  <c r="AK18" i="9"/>
  <c r="AL26" i="9"/>
  <c r="AN26" i="9"/>
  <c r="AL34" i="9"/>
  <c r="AN34" i="9"/>
  <c r="BO39" i="9"/>
  <c r="BO17" i="10"/>
  <c r="BJ20" i="10"/>
  <c r="AN20" i="10"/>
  <c r="AL20" i="10"/>
  <c r="BI21" i="10"/>
  <c r="AI21" i="10"/>
  <c r="AM21" i="10"/>
  <c r="AJ21" i="10"/>
  <c r="AK21" i="10"/>
  <c r="AQ23" i="10"/>
  <c r="BK28" i="10"/>
  <c r="AN28" i="10"/>
  <c r="AL28" i="10"/>
  <c r="AI29" i="10"/>
  <c r="AM29" i="10"/>
  <c r="AJ29" i="10"/>
  <c r="AK29" i="10"/>
  <c r="BK32" i="10"/>
  <c r="AN32" i="10"/>
  <c r="AL32" i="10"/>
  <c r="AQ35" i="10"/>
  <c r="BK18" i="11"/>
  <c r="AL18" i="11"/>
  <c r="AN18" i="11"/>
  <c r="BO23" i="11"/>
  <c r="AI27" i="11"/>
  <c r="AM27" i="11"/>
  <c r="AJ27" i="11"/>
  <c r="AK27" i="11"/>
  <c r="AQ33" i="11"/>
  <c r="BO39" i="11"/>
  <c r="AN16" i="12"/>
  <c r="AJ17" i="12"/>
  <c r="AM17" i="12"/>
  <c r="AI17" i="12"/>
  <c r="AK17" i="12"/>
  <c r="BK20" i="12"/>
  <c r="AL20" i="12"/>
  <c r="AN20" i="12"/>
  <c r="BO25" i="12"/>
  <c r="BM27" i="12"/>
  <c r="AQ27" i="12"/>
  <c r="BF29" i="12"/>
  <c r="AI29" i="12"/>
  <c r="AM29" i="12"/>
  <c r="AJ29" i="12"/>
  <c r="AK29" i="12"/>
  <c r="AQ31" i="12"/>
  <c r="BM27" i="4"/>
  <c r="AQ27" i="4"/>
  <c r="BO37" i="4"/>
  <c r="AI36" i="6"/>
  <c r="AM36" i="6"/>
  <c r="AJ36" i="6"/>
  <c r="AK36" i="6"/>
  <c r="AQ37" i="7"/>
  <c r="BF28" i="4"/>
  <c r="AJ28" i="4"/>
  <c r="AI28" i="4"/>
  <c r="AM28" i="4"/>
  <c r="AK28" i="4"/>
  <c r="BK27" i="4"/>
  <c r="AN27" i="4"/>
  <c r="AL27" i="4"/>
  <c r="AQ26" i="4"/>
  <c r="BJ36" i="4"/>
  <c r="AN36" i="4"/>
  <c r="AL36" i="4"/>
  <c r="BM35" i="4"/>
  <c r="AQ35" i="4"/>
  <c r="BF39" i="6"/>
  <c r="AI39" i="6"/>
  <c r="AM39" i="6"/>
  <c r="AJ39" i="6"/>
  <c r="AK39" i="6"/>
  <c r="AL38" i="6"/>
  <c r="AN38" i="6"/>
  <c r="BM37" i="6"/>
  <c r="AQ37" i="6"/>
  <c r="BF35" i="6"/>
  <c r="AI35" i="6"/>
  <c r="AM35" i="6"/>
  <c r="AJ35" i="6"/>
  <c r="AK35" i="6"/>
  <c r="AN37" i="7"/>
  <c r="AQ36" i="7"/>
  <c r="AM34" i="7"/>
  <c r="AI34" i="7"/>
  <c r="AJ34" i="7"/>
  <c r="AK34" i="7"/>
  <c r="BK33" i="7"/>
  <c r="AL33" i="7"/>
  <c r="AN33" i="7"/>
  <c r="BM32" i="7"/>
  <c r="AQ32" i="7"/>
  <c r="AJ36" i="8"/>
  <c r="AM36" i="8"/>
  <c r="AI36" i="8"/>
  <c r="AK36" i="8"/>
  <c r="AN35" i="8"/>
  <c r="AL35" i="8"/>
  <c r="BM34" i="8"/>
  <c r="AQ34" i="8"/>
  <c r="AI32" i="8"/>
  <c r="AM32" i="8"/>
  <c r="AJ32" i="8"/>
  <c r="AK32" i="8"/>
  <c r="BF16" i="9"/>
  <c r="AJ16" i="9"/>
  <c r="AM16" i="9"/>
  <c r="AI16" i="9"/>
  <c r="AK16" i="9"/>
  <c r="BO16" i="9"/>
  <c r="AQ18" i="9"/>
  <c r="AL19" i="9"/>
  <c r="AN19" i="9"/>
  <c r="AI20" i="9"/>
  <c r="AM20" i="9"/>
  <c r="AJ20" i="9"/>
  <c r="AK20" i="9"/>
  <c r="AI21" i="9"/>
  <c r="AM21" i="9"/>
  <c r="AJ21" i="9"/>
  <c r="AK21" i="9"/>
  <c r="BO21" i="9"/>
  <c r="BM23" i="9"/>
  <c r="AQ23" i="9"/>
  <c r="AL24" i="9"/>
  <c r="AN24" i="9"/>
  <c r="AI25" i="9"/>
  <c r="AM25" i="9"/>
  <c r="AJ25" i="9"/>
  <c r="AK25" i="9"/>
  <c r="BO25" i="9"/>
  <c r="BM27" i="9"/>
  <c r="AQ27" i="9"/>
  <c r="AL28" i="9"/>
  <c r="AN28" i="9"/>
  <c r="AI29" i="9"/>
  <c r="AM29" i="9"/>
  <c r="AJ29" i="9"/>
  <c r="AK29" i="9"/>
  <c r="BO29" i="9"/>
  <c r="AQ31" i="9"/>
  <c r="BK32" i="9"/>
  <c r="AL32" i="9"/>
  <c r="AN32" i="9"/>
  <c r="BF33" i="9"/>
  <c r="AI33" i="9"/>
  <c r="AM33" i="9"/>
  <c r="AJ33" i="9"/>
  <c r="AK33" i="9"/>
  <c r="BO33" i="9"/>
  <c r="BM35" i="9"/>
  <c r="AQ35" i="9"/>
  <c r="AL36" i="9"/>
  <c r="AN36" i="9"/>
  <c r="AI37" i="9"/>
  <c r="AM37" i="9"/>
  <c r="AJ37" i="9"/>
  <c r="AK37" i="9"/>
  <c r="BO37" i="9"/>
  <c r="BM39" i="9"/>
  <c r="AQ39" i="9"/>
  <c r="AL40" i="9"/>
  <c r="AN40" i="9"/>
  <c r="AQ17" i="10"/>
  <c r="BK18" i="10"/>
  <c r="AN18" i="10"/>
  <c r="AL18" i="10"/>
  <c r="BG19" i="10"/>
  <c r="AI19" i="10"/>
  <c r="AM19" i="10"/>
  <c r="AJ19" i="10"/>
  <c r="AK19" i="10"/>
  <c r="BO19" i="10"/>
  <c r="AQ21" i="10"/>
  <c r="BK22" i="10"/>
  <c r="AN22" i="10"/>
  <c r="AL22" i="10"/>
  <c r="BF23" i="10"/>
  <c r="AI23" i="10"/>
  <c r="AM23" i="10"/>
  <c r="AJ23" i="10"/>
  <c r="AK23" i="10"/>
  <c r="BO23" i="10"/>
  <c r="AQ25" i="10"/>
  <c r="BK26" i="10"/>
  <c r="AN26" i="10"/>
  <c r="AL26" i="10"/>
  <c r="BG27" i="10"/>
  <c r="AI27" i="10"/>
  <c r="AM27" i="10"/>
  <c r="AJ27" i="10"/>
  <c r="AK27" i="10"/>
  <c r="BO27" i="10"/>
  <c r="BM29" i="10"/>
  <c r="AQ29" i="10"/>
  <c r="BK30" i="10"/>
  <c r="AN30" i="10"/>
  <c r="AL30" i="10"/>
  <c r="BG31" i="10"/>
  <c r="AI31" i="10"/>
  <c r="AM31" i="10"/>
  <c r="AJ31" i="10"/>
  <c r="AK31" i="10"/>
  <c r="BO31" i="10"/>
  <c r="BM33" i="10"/>
  <c r="AQ33" i="10"/>
  <c r="AN34" i="10"/>
  <c r="AL34" i="10"/>
  <c r="AI35" i="10"/>
  <c r="AM35" i="10"/>
  <c r="AJ35" i="10"/>
  <c r="AK35" i="10"/>
  <c r="BO35" i="10"/>
  <c r="BM37" i="10"/>
  <c r="AQ37" i="10"/>
  <c r="AN38" i="10"/>
  <c r="AL38" i="10"/>
  <c r="AI39" i="10"/>
  <c r="AM39" i="10"/>
  <c r="AJ39" i="10"/>
  <c r="AK39" i="10"/>
  <c r="BO39" i="10"/>
  <c r="BK16" i="11"/>
  <c r="AN16" i="11"/>
  <c r="BF17" i="11"/>
  <c r="AM17" i="11"/>
  <c r="AI17" i="11"/>
  <c r="AJ17" i="11"/>
  <c r="AK17" i="11"/>
  <c r="BO17" i="11"/>
  <c r="AQ19" i="11"/>
  <c r="BK20" i="11"/>
  <c r="AL20" i="11"/>
  <c r="AN20" i="11"/>
  <c r="BF21" i="11"/>
  <c r="AI21" i="11"/>
  <c r="AM21" i="11"/>
  <c r="AJ21" i="11"/>
  <c r="AK21" i="11"/>
  <c r="BO21" i="11"/>
  <c r="AQ23" i="11"/>
  <c r="BK24" i="11"/>
  <c r="AL24" i="11"/>
  <c r="AN24" i="11"/>
  <c r="AI25" i="11"/>
  <c r="AM25" i="11"/>
  <c r="AJ25" i="11"/>
  <c r="AK25" i="11"/>
  <c r="BO25" i="11"/>
  <c r="AQ27" i="11"/>
  <c r="BK28" i="11"/>
  <c r="AL28" i="11"/>
  <c r="AN28" i="11"/>
  <c r="BI29" i="11"/>
  <c r="AI29" i="11"/>
  <c r="AM29" i="11"/>
  <c r="AJ29" i="11"/>
  <c r="AK29" i="11"/>
  <c r="BO29" i="11"/>
  <c r="AQ31" i="11"/>
  <c r="BK32" i="11"/>
  <c r="AL32" i="11"/>
  <c r="AN32" i="11"/>
  <c r="BI33" i="11"/>
  <c r="AI33" i="11"/>
  <c r="AM33" i="11"/>
  <c r="AJ33" i="11"/>
  <c r="AK33" i="11"/>
  <c r="BO33" i="11"/>
  <c r="BM35" i="11"/>
  <c r="AQ35" i="11"/>
  <c r="AL36" i="11"/>
  <c r="AN36" i="11"/>
  <c r="AI37" i="11"/>
  <c r="AM37" i="11"/>
  <c r="AJ37" i="11"/>
  <c r="AK37" i="11"/>
  <c r="AQ39" i="11"/>
  <c r="BJ40" i="11"/>
  <c r="AL40" i="11"/>
  <c r="AN40" i="11"/>
  <c r="AQ17" i="12"/>
  <c r="BK18" i="12"/>
  <c r="AN18" i="12"/>
  <c r="BF19" i="12"/>
  <c r="AI19" i="12"/>
  <c r="AM19" i="12"/>
  <c r="AJ19" i="12"/>
  <c r="AK19" i="12"/>
  <c r="BO19" i="12"/>
  <c r="AQ21" i="12"/>
  <c r="AL22" i="12"/>
  <c r="AN22" i="12"/>
  <c r="BF23" i="12"/>
  <c r="AI23" i="12"/>
  <c r="AM23" i="12"/>
  <c r="AJ23" i="12"/>
  <c r="AK23" i="12"/>
  <c r="BO23" i="12"/>
  <c r="AQ25" i="12"/>
  <c r="BJ26" i="12"/>
  <c r="AL26" i="12"/>
  <c r="AN26" i="12"/>
  <c r="BI27" i="12"/>
  <c r="AI27" i="12"/>
  <c r="AM27" i="12"/>
  <c r="AJ27" i="12"/>
  <c r="AK27" i="12"/>
  <c r="BO27" i="12"/>
  <c r="AQ29" i="12"/>
  <c r="BJ30" i="12"/>
  <c r="AL30" i="12"/>
  <c r="AN30" i="12"/>
  <c r="BI31" i="12"/>
  <c r="AI31" i="12"/>
  <c r="AM31" i="12"/>
  <c r="AJ31" i="12"/>
  <c r="AK31" i="12"/>
  <c r="BO31" i="12"/>
  <c r="AQ33" i="12"/>
  <c r="BK34" i="12"/>
  <c r="AN34" i="12"/>
  <c r="BF35" i="12"/>
  <c r="AI35" i="12"/>
  <c r="AM35" i="12"/>
  <c r="AJ35" i="12"/>
  <c r="AK35" i="12"/>
  <c r="BO35" i="12"/>
  <c r="AQ37" i="12"/>
  <c r="BK38" i="12"/>
  <c r="AL38" i="12"/>
  <c r="AN38" i="12"/>
  <c r="BF39" i="12"/>
  <c r="AI39" i="12"/>
  <c r="AM39" i="12"/>
  <c r="AJ39" i="12"/>
  <c r="AK39" i="12"/>
  <c r="BO39" i="12"/>
  <c r="BG26" i="4"/>
  <c r="AJ26" i="4"/>
  <c r="AI26" i="4"/>
  <c r="AM26" i="4"/>
  <c r="AK26" i="4"/>
  <c r="BO35" i="4"/>
  <c r="BM39" i="6"/>
  <c r="AQ39" i="6"/>
  <c r="BJ35" i="7"/>
  <c r="AN35" i="7"/>
  <c r="AL35" i="7"/>
  <c r="BM36" i="8"/>
  <c r="AQ36" i="8"/>
  <c r="BM32" i="8"/>
  <c r="AQ32" i="8"/>
  <c r="BM16" i="9"/>
  <c r="AQ16" i="9"/>
  <c r="BO23" i="9"/>
  <c r="AQ29" i="9"/>
  <c r="AI31" i="9"/>
  <c r="AM31" i="9"/>
  <c r="AJ31" i="9"/>
  <c r="AK31" i="9"/>
  <c r="AQ33" i="9"/>
  <c r="AI35" i="9"/>
  <c r="AM35" i="9"/>
  <c r="AJ35" i="9"/>
  <c r="AK35" i="9"/>
  <c r="AL38" i="9"/>
  <c r="AN38" i="9"/>
  <c r="AN24" i="10"/>
  <c r="AL24" i="10"/>
  <c r="BF25" i="10"/>
  <c r="AI25" i="10"/>
  <c r="AM25" i="10"/>
  <c r="AJ25" i="10"/>
  <c r="AK25" i="10"/>
  <c r="BF33" i="10"/>
  <c r="AI33" i="10"/>
  <c r="AM33" i="10"/>
  <c r="AJ33" i="10"/>
  <c r="AK33" i="10"/>
  <c r="AN36" i="10"/>
  <c r="AL36" i="10"/>
  <c r="BM39" i="10"/>
  <c r="AQ39" i="10"/>
  <c r="BK40" i="10"/>
  <c r="AN40" i="10"/>
  <c r="AL40" i="10"/>
  <c r="BI19" i="11"/>
  <c r="AI19" i="11"/>
  <c r="AM19" i="11"/>
  <c r="AJ19" i="11"/>
  <c r="AK19" i="11"/>
  <c r="AL34" i="11"/>
  <c r="AN34" i="11"/>
  <c r="AI35" i="11"/>
  <c r="AM35" i="11"/>
  <c r="AJ35" i="11"/>
  <c r="AK35" i="11"/>
  <c r="AQ37" i="11"/>
  <c r="AI39" i="11"/>
  <c r="AM39" i="11"/>
  <c r="AJ39" i="11"/>
  <c r="AK39" i="11"/>
  <c r="AQ19" i="12"/>
  <c r="AI21" i="12"/>
  <c r="AM21" i="12"/>
  <c r="AJ21" i="12"/>
  <c r="AK21" i="12"/>
  <c r="AQ23" i="12"/>
  <c r="AL24" i="12"/>
  <c r="AN24" i="12"/>
  <c r="AI25" i="12"/>
  <c r="AM25" i="12"/>
  <c r="AJ25" i="12"/>
  <c r="AK25" i="12"/>
  <c r="BK28" i="12"/>
  <c r="AL28" i="12"/>
  <c r="AN28" i="12"/>
  <c r="BO29" i="12"/>
  <c r="AN28" i="4"/>
  <c r="AL28" i="4"/>
  <c r="AJ37" i="4"/>
  <c r="AI37" i="4"/>
  <c r="AM37" i="4"/>
  <c r="AK37" i="4"/>
  <c r="BM36" i="4"/>
  <c r="AI40" i="6"/>
  <c r="AM40" i="6"/>
  <c r="AJ40" i="6"/>
  <c r="AK40" i="6"/>
  <c r="AN39" i="6"/>
  <c r="BO36" i="6"/>
  <c r="AL35" i="6"/>
  <c r="AN35" i="6"/>
  <c r="BO27" i="4"/>
  <c r="AJ27" i="4"/>
  <c r="AI27" i="4"/>
  <c r="AM27" i="4"/>
  <c r="AK27" i="4"/>
  <c r="BK26" i="4"/>
  <c r="AN26" i="4"/>
  <c r="AL26" i="4"/>
  <c r="BM37" i="4"/>
  <c r="AQ37" i="4"/>
  <c r="BO36" i="4"/>
  <c r="AJ36" i="4"/>
  <c r="AI36" i="4"/>
  <c r="AM36" i="4"/>
  <c r="AK36" i="4"/>
  <c r="BJ35" i="4"/>
  <c r="AN35" i="4"/>
  <c r="AL35" i="4"/>
  <c r="BM40" i="6"/>
  <c r="AQ40" i="6"/>
  <c r="AI38" i="6"/>
  <c r="AM38" i="6"/>
  <c r="AJ38" i="6"/>
  <c r="AK38" i="6"/>
  <c r="AN37" i="6"/>
  <c r="BM36" i="6"/>
  <c r="AQ36" i="6"/>
  <c r="BO37" i="7"/>
  <c r="AJ37" i="7"/>
  <c r="AM37" i="7"/>
  <c r="AI37" i="7"/>
  <c r="AK37" i="7"/>
  <c r="AN36" i="7"/>
  <c r="AQ35" i="7"/>
  <c r="BO33" i="7"/>
  <c r="AI33" i="7"/>
  <c r="AM33" i="7"/>
  <c r="AJ33" i="7"/>
  <c r="AK33" i="7"/>
  <c r="AL32" i="7"/>
  <c r="AN32" i="7"/>
  <c r="BM37" i="8"/>
  <c r="AQ37" i="8"/>
  <c r="AJ35" i="8"/>
  <c r="AI35" i="8"/>
  <c r="AM35" i="8"/>
  <c r="AK35" i="8"/>
  <c r="AN34" i="8"/>
  <c r="BM33" i="8"/>
  <c r="AQ33" i="8"/>
  <c r="AN16" i="9"/>
  <c r="BF17" i="9"/>
  <c r="AI17" i="9"/>
  <c r="AM17" i="9"/>
  <c r="AJ17" i="9"/>
  <c r="AK17" i="9"/>
  <c r="BO17" i="9"/>
  <c r="BM19" i="9"/>
  <c r="AQ19" i="9"/>
  <c r="BM20" i="9"/>
  <c r="AQ20" i="9"/>
  <c r="AL21" i="9"/>
  <c r="AN21" i="9"/>
  <c r="BG22" i="9"/>
  <c r="AI22" i="9"/>
  <c r="AM22" i="9"/>
  <c r="AJ22" i="9"/>
  <c r="AK22" i="9"/>
  <c r="BO22" i="9"/>
  <c r="BM24" i="9"/>
  <c r="AQ24" i="9"/>
  <c r="AL25" i="9"/>
  <c r="AN25" i="9"/>
  <c r="BG26" i="9"/>
  <c r="AI26" i="9"/>
  <c r="AM26" i="9"/>
  <c r="AJ26" i="9"/>
  <c r="AK26" i="9"/>
  <c r="BO26" i="9"/>
  <c r="BM28" i="9"/>
  <c r="AQ28" i="9"/>
  <c r="AL29" i="9"/>
  <c r="AN29" i="9"/>
  <c r="AI30" i="9"/>
  <c r="AM30" i="9"/>
  <c r="AJ30" i="9"/>
  <c r="AK30" i="9"/>
  <c r="AQ32" i="9"/>
  <c r="AL33" i="9"/>
  <c r="AN33" i="9"/>
  <c r="BG34" i="9"/>
  <c r="AI34" i="9"/>
  <c r="AM34" i="9"/>
  <c r="AJ34" i="9"/>
  <c r="AK34" i="9"/>
  <c r="BO34" i="9"/>
  <c r="BM36" i="9"/>
  <c r="AQ36" i="9"/>
  <c r="BK37" i="9"/>
  <c r="AL37" i="9"/>
  <c r="AN37" i="9"/>
  <c r="AI38" i="9"/>
  <c r="AM38" i="9"/>
  <c r="AJ38" i="9"/>
  <c r="AK38" i="9"/>
  <c r="BO38" i="9"/>
  <c r="BM40" i="9"/>
  <c r="AQ40" i="9"/>
  <c r="BG16" i="10"/>
  <c r="AJ16" i="10"/>
  <c r="AI16" i="10"/>
  <c r="AM16" i="10"/>
  <c r="AK16" i="10"/>
  <c r="BO16" i="10"/>
  <c r="AQ18" i="10"/>
  <c r="BK19" i="10"/>
  <c r="AN19" i="10"/>
  <c r="AL19" i="10"/>
  <c r="BI20" i="10"/>
  <c r="AI20" i="10"/>
  <c r="AM20" i="10"/>
  <c r="AJ20" i="10"/>
  <c r="AK20" i="10"/>
  <c r="BO20" i="10"/>
  <c r="AQ22" i="10"/>
  <c r="BJ23" i="10"/>
  <c r="AN23" i="10"/>
  <c r="AL23" i="10"/>
  <c r="BF24" i="10"/>
  <c r="AI24" i="10"/>
  <c r="AM24" i="10"/>
  <c r="AJ24" i="10"/>
  <c r="AK24" i="10"/>
  <c r="BO24" i="10"/>
  <c r="AQ26" i="10"/>
  <c r="BK27" i="10"/>
  <c r="AN27" i="10"/>
  <c r="AL27" i="10"/>
  <c r="BG28" i="10"/>
  <c r="AI28" i="10"/>
  <c r="AM28" i="10"/>
  <c r="AJ28" i="10"/>
  <c r="AK28" i="10"/>
  <c r="BO28" i="10"/>
  <c r="AQ30" i="10"/>
  <c r="BK31" i="10"/>
  <c r="AN31" i="10"/>
  <c r="AL31" i="10"/>
  <c r="BG32" i="10"/>
  <c r="AI32" i="10"/>
  <c r="AM32" i="10"/>
  <c r="AJ32" i="10"/>
  <c r="AK32" i="10"/>
  <c r="BO32" i="10"/>
  <c r="AQ34" i="10"/>
  <c r="AN35" i="10"/>
  <c r="AL35" i="10"/>
  <c r="AI36" i="10"/>
  <c r="AM36" i="10"/>
  <c r="AJ36" i="10"/>
  <c r="AK36" i="10"/>
  <c r="BO36" i="10"/>
  <c r="BM38" i="10"/>
  <c r="AQ38" i="10"/>
  <c r="AN39" i="10"/>
  <c r="AL39" i="10"/>
  <c r="AI40" i="10"/>
  <c r="AM40" i="10"/>
  <c r="AJ40" i="10"/>
  <c r="AK40" i="10"/>
  <c r="BO40" i="10"/>
  <c r="AB16" i="11"/>
  <c r="AQ16" i="11"/>
  <c r="BJ17" i="11"/>
  <c r="AN17" i="11"/>
  <c r="BF18" i="11"/>
  <c r="AI18" i="11"/>
  <c r="AM18" i="11"/>
  <c r="AJ18" i="11"/>
  <c r="AK18" i="11"/>
  <c r="BO18" i="11"/>
  <c r="AQ20" i="11"/>
  <c r="BJ21" i="11"/>
  <c r="AL21" i="11"/>
  <c r="AN21" i="11"/>
  <c r="BF22" i="11"/>
  <c r="AI22" i="11"/>
  <c r="AM22" i="11"/>
  <c r="AJ22" i="11"/>
  <c r="AK22" i="11"/>
  <c r="BO22" i="11"/>
  <c r="AQ24" i="11"/>
  <c r="BJ25" i="11"/>
  <c r="AL25" i="11"/>
  <c r="AN25" i="11"/>
  <c r="AI26" i="11"/>
  <c r="AM26" i="11"/>
  <c r="AJ26" i="11"/>
  <c r="AK26" i="11"/>
  <c r="BO26" i="11"/>
  <c r="AQ28" i="11"/>
  <c r="BJ29" i="11"/>
  <c r="AL29" i="11"/>
  <c r="AN29" i="11"/>
  <c r="BF30" i="11"/>
  <c r="AI30" i="11"/>
  <c r="AM30" i="11"/>
  <c r="AJ30" i="11"/>
  <c r="AK30" i="11"/>
  <c r="BO30" i="11"/>
  <c r="AQ32" i="11"/>
  <c r="AL33" i="11"/>
  <c r="AN33" i="11"/>
  <c r="BG34" i="11"/>
  <c r="AI34" i="11"/>
  <c r="AM34" i="11"/>
  <c r="AJ34" i="11"/>
  <c r="AK34" i="11"/>
  <c r="BO34" i="11"/>
  <c r="AQ36" i="11"/>
  <c r="BJ37" i="11"/>
  <c r="AL37" i="11"/>
  <c r="AN37" i="11"/>
  <c r="AI38" i="11"/>
  <c r="AM38" i="11"/>
  <c r="AJ38" i="11"/>
  <c r="AK38" i="11"/>
  <c r="BO38" i="11"/>
  <c r="AQ40" i="11"/>
  <c r="AM16" i="12"/>
  <c r="AJ16" i="12"/>
  <c r="AI16" i="12"/>
  <c r="AK16" i="12"/>
  <c r="BO16" i="12"/>
  <c r="AQ18" i="12"/>
  <c r="BJ19" i="12"/>
  <c r="AL19" i="12"/>
  <c r="AN19" i="12"/>
  <c r="BG20" i="12"/>
  <c r="AI20" i="12"/>
  <c r="AM20" i="12"/>
  <c r="AJ20" i="12"/>
  <c r="AK20" i="12"/>
  <c r="BO20" i="12"/>
  <c r="AQ22" i="12"/>
  <c r="BJ23" i="12"/>
  <c r="AL23" i="12"/>
  <c r="AN23" i="12"/>
  <c r="BF24" i="12"/>
  <c r="AI24" i="12"/>
  <c r="AJ24" i="12"/>
  <c r="AM24" i="12"/>
  <c r="AK24" i="12"/>
  <c r="BM26" i="12"/>
  <c r="AQ26" i="12"/>
  <c r="AL27" i="12"/>
  <c r="AN27" i="12"/>
  <c r="BG28" i="12"/>
  <c r="AI28" i="12"/>
  <c r="AM28" i="12"/>
  <c r="AJ28" i="12"/>
  <c r="AK28" i="12"/>
  <c r="BO28" i="12"/>
  <c r="BM30" i="12"/>
  <c r="AQ30" i="12"/>
  <c r="AL31" i="12"/>
  <c r="AN31" i="12"/>
  <c r="BG32" i="12"/>
  <c r="AI32" i="12"/>
  <c r="AM32" i="12"/>
  <c r="AJ32" i="12"/>
  <c r="AK32" i="12"/>
  <c r="BO32" i="12"/>
  <c r="AQ34" i="12"/>
  <c r="BJ35" i="12"/>
  <c r="AL35" i="12"/>
  <c r="AN35" i="12"/>
  <c r="BG36" i="12"/>
  <c r="AI36" i="12"/>
  <c r="AM36" i="12"/>
  <c r="AJ36" i="12"/>
  <c r="AK36" i="12"/>
  <c r="BO36" i="12"/>
  <c r="AQ38" i="12"/>
  <c r="BJ39" i="12"/>
  <c r="AL39" i="12"/>
  <c r="AN39" i="12"/>
  <c r="AI40" i="12"/>
  <c r="AM40" i="12"/>
  <c r="AJ40" i="12"/>
  <c r="AK40" i="12"/>
  <c r="BO40" i="12"/>
  <c r="AN37" i="4"/>
  <c r="AL37" i="4"/>
  <c r="AN36" i="6"/>
  <c r="BM34" i="7"/>
  <c r="AQ34" i="7"/>
  <c r="AN33" i="8"/>
  <c r="AL33" i="8"/>
  <c r="BO18" i="9"/>
  <c r="AQ21" i="9"/>
  <c r="BF23" i="9"/>
  <c r="AI23" i="9"/>
  <c r="AM23" i="9"/>
  <c r="AJ23" i="9"/>
  <c r="AK23" i="9"/>
  <c r="AQ25" i="9"/>
  <c r="BF27" i="9"/>
  <c r="AI27" i="9"/>
  <c r="AM27" i="9"/>
  <c r="AJ27" i="9"/>
  <c r="AK27" i="9"/>
  <c r="BK30" i="9"/>
  <c r="AL30" i="9"/>
  <c r="AN30" i="9"/>
  <c r="BM37" i="9"/>
  <c r="AQ37" i="9"/>
  <c r="AI39" i="9"/>
  <c r="AM39" i="9"/>
  <c r="AJ39" i="9"/>
  <c r="AK39" i="9"/>
  <c r="BG17" i="10"/>
  <c r="AM17" i="10"/>
  <c r="AI17" i="10"/>
  <c r="AJ17" i="10"/>
  <c r="AK17" i="10"/>
  <c r="AQ19" i="10"/>
  <c r="BF33" i="12"/>
  <c r="AI33" i="12"/>
  <c r="AM33" i="12"/>
  <c r="AJ33" i="12"/>
  <c r="AK33" i="12"/>
  <c r="BO33" i="12"/>
  <c r="AQ35" i="12"/>
  <c r="AN36" i="12"/>
  <c r="BI37" i="12"/>
  <c r="AI37" i="12"/>
  <c r="AM37" i="12"/>
  <c r="AJ37" i="12"/>
  <c r="AK37" i="12"/>
  <c r="BO37" i="12"/>
  <c r="AQ39" i="12"/>
  <c r="AN40" i="12"/>
  <c r="BK33" i="8"/>
  <c r="BJ32" i="8"/>
  <c r="BK37" i="8"/>
  <c r="BK32" i="7"/>
  <c r="BJ32" i="7"/>
  <c r="BK36" i="8"/>
  <c r="BJ36" i="8"/>
  <c r="BG38" i="6"/>
  <c r="BF35" i="8"/>
  <c r="BG35" i="7"/>
  <c r="BG34" i="7"/>
  <c r="BL35" i="8"/>
  <c r="N35" i="8"/>
  <c r="O35" i="8" s="1"/>
  <c r="BK28" i="4"/>
  <c r="BJ37" i="6"/>
  <c r="BF35" i="7"/>
  <c r="BF34" i="7"/>
  <c r="BI35" i="7"/>
  <c r="BI34" i="7"/>
  <c r="BF38" i="6"/>
  <c r="N32" i="7"/>
  <c r="AS32" i="7" s="1"/>
  <c r="BG33" i="8"/>
  <c r="N29" i="12"/>
  <c r="O29" i="12" s="1"/>
  <c r="M36" i="8"/>
  <c r="AS36" i="8" s="1"/>
  <c r="M30" i="9"/>
  <c r="AS30" i="9" s="1"/>
  <c r="BM24" i="10"/>
  <c r="N29" i="10"/>
  <c r="O29" i="10" s="1"/>
  <c r="M25" i="12"/>
  <c r="BN25" i="12" s="1"/>
  <c r="BK37" i="6"/>
  <c r="M37" i="6"/>
  <c r="AS37" i="6" s="1"/>
  <c r="BL34" i="7"/>
  <c r="M34" i="7"/>
  <c r="AS34" i="7" s="1"/>
  <c r="BG33" i="7"/>
  <c r="N32" i="8"/>
  <c r="BN32" i="8" s="1"/>
  <c r="N32" i="9"/>
  <c r="O32" i="9" s="1"/>
  <c r="N27" i="10"/>
  <c r="O27" i="10" s="1"/>
  <c r="M33" i="10"/>
  <c r="BN33" i="10" s="1"/>
  <c r="BJ37" i="10"/>
  <c r="N20" i="11"/>
  <c r="O20" i="11" s="1"/>
  <c r="BF23" i="11"/>
  <c r="N19" i="12"/>
  <c r="O19" i="12" s="1"/>
  <c r="BK35" i="4"/>
  <c r="BJ36" i="7"/>
  <c r="BF33" i="7"/>
  <c r="BO35" i="8"/>
  <c r="BI35" i="8"/>
  <c r="BG34" i="8"/>
  <c r="BJ25" i="10"/>
  <c r="BJ33" i="10"/>
  <c r="BJ26" i="4"/>
  <c r="BJ37" i="4"/>
  <c r="BG27" i="4"/>
  <c r="BF26" i="4"/>
  <c r="BG37" i="7"/>
  <c r="BL35" i="7"/>
  <c r="BG37" i="8"/>
  <c r="BM35" i="8"/>
  <c r="BG35" i="8"/>
  <c r="BF34" i="8"/>
  <c r="BF33" i="8"/>
  <c r="N20" i="10"/>
  <c r="BN20" i="10" s="1"/>
  <c r="N28" i="11"/>
  <c r="BN28" i="11" s="1"/>
  <c r="N15" i="12"/>
  <c r="O15" i="12" s="1"/>
  <c r="N18" i="12"/>
  <c r="BN18" i="12" s="1"/>
  <c r="N32" i="12"/>
  <c r="BN32" i="12" s="1"/>
  <c r="BO28" i="4"/>
  <c r="BI28" i="4"/>
  <c r="BI37" i="4"/>
  <c r="BK36" i="4"/>
  <c r="BL35" i="4"/>
  <c r="BG28" i="4"/>
  <c r="N28" i="4"/>
  <c r="O28" i="4" s="1"/>
  <c r="BL27" i="4"/>
  <c r="BG37" i="4"/>
  <c r="M36" i="4"/>
  <c r="AS36" i="4" s="1"/>
  <c r="BL28" i="4"/>
  <c r="BL37" i="4"/>
  <c r="BF37" i="4"/>
  <c r="BO40" i="6"/>
  <c r="BG40" i="6"/>
  <c r="BJ39" i="6"/>
  <c r="BL38" i="6"/>
  <c r="N38" i="6"/>
  <c r="BN38" i="6" s="1"/>
  <c r="BL37" i="6"/>
  <c r="BG37" i="6"/>
  <c r="BG36" i="6"/>
  <c r="BJ35" i="6"/>
  <c r="BM37" i="7"/>
  <c r="BM36" i="7"/>
  <c r="N36" i="7"/>
  <c r="O36" i="7" s="1"/>
  <c r="BO34" i="7"/>
  <c r="BJ20" i="9"/>
  <c r="BK23" i="9"/>
  <c r="M25" i="9"/>
  <c r="AS25" i="9" s="1"/>
  <c r="BM32" i="9"/>
  <c r="BK35" i="9"/>
  <c r="M19" i="10"/>
  <c r="AS19" i="10" s="1"/>
  <c r="BJ22" i="10"/>
  <c r="BJ24" i="10"/>
  <c r="BM25" i="10"/>
  <c r="N28" i="10"/>
  <c r="BN28" i="10" s="1"/>
  <c r="N31" i="10"/>
  <c r="BN31" i="10" s="1"/>
  <c r="BK33" i="10"/>
  <c r="BL35" i="10"/>
  <c r="N16" i="11"/>
  <c r="O16" i="11" s="1"/>
  <c r="N30" i="11"/>
  <c r="O30" i="11" s="1"/>
  <c r="BL31" i="11"/>
  <c r="BJ36" i="11"/>
  <c r="BL17" i="12"/>
  <c r="BJ24" i="12"/>
  <c r="BM25" i="12"/>
  <c r="BL28" i="12"/>
  <c r="BG29" i="12"/>
  <c r="BF30" i="12"/>
  <c r="BL35" i="12"/>
  <c r="BF40" i="6"/>
  <c r="BL40" i="6"/>
  <c r="BK38" i="6"/>
  <c r="BF37" i="6"/>
  <c r="BF36" i="6"/>
  <c r="BL36" i="6"/>
  <c r="BK36" i="7"/>
  <c r="N35" i="7"/>
  <c r="O35" i="7" s="1"/>
  <c r="M34" i="8"/>
  <c r="AS34" i="8" s="1"/>
  <c r="BL17" i="10"/>
  <c r="BJ28" i="10"/>
  <c r="BJ38" i="10"/>
  <c r="BF19" i="11"/>
  <c r="M25" i="11"/>
  <c r="AS25" i="11" s="1"/>
  <c r="AB38" i="11"/>
  <c r="BF39" i="11"/>
  <c r="AC19" i="12"/>
  <c r="BG23" i="12"/>
  <c r="BM24" i="12"/>
  <c r="N28" i="12"/>
  <c r="O28" i="12" s="1"/>
  <c r="BM28" i="12"/>
  <c r="BK29" i="12"/>
  <c r="BG30" i="12"/>
  <c r="BM31" i="12"/>
  <c r="M35" i="12"/>
  <c r="AS35" i="12" s="1"/>
  <c r="BL39" i="12"/>
  <c r="BK35" i="7"/>
  <c r="BM33" i="7"/>
  <c r="M21" i="9"/>
  <c r="AS21" i="9" s="1"/>
  <c r="BK24" i="9"/>
  <c r="BJ25" i="9"/>
  <c r="BJ39" i="9"/>
  <c r="N23" i="10"/>
  <c r="BN23" i="10" s="1"/>
  <c r="N26" i="10"/>
  <c r="O26" i="10" s="1"/>
  <c r="BJ27" i="10"/>
  <c r="M34" i="10"/>
  <c r="AS34" i="10" s="1"/>
  <c r="M35" i="10"/>
  <c r="AS35" i="10" s="1"/>
  <c r="BG22" i="11"/>
  <c r="N24" i="11"/>
  <c r="BN24" i="11" s="1"/>
  <c r="BF26" i="11"/>
  <c r="M34" i="11"/>
  <c r="AS34" i="11" s="1"/>
  <c r="N37" i="11"/>
  <c r="BN37" i="11" s="1"/>
  <c r="M23" i="12"/>
  <c r="AS23" i="12" s="1"/>
  <c r="BK23" i="12"/>
  <c r="N26" i="12"/>
  <c r="BN26" i="12" s="1"/>
  <c r="BF26" i="12"/>
  <c r="M27" i="12"/>
  <c r="AS27" i="12" s="1"/>
  <c r="BK39" i="6"/>
  <c r="BI37" i="6"/>
  <c r="BI36" i="6"/>
  <c r="BK35" i="6"/>
  <c r="BL16" i="9"/>
  <c r="AC18" i="9"/>
  <c r="M18" i="9"/>
  <c r="AS18" i="9" s="1"/>
  <c r="BK39" i="9"/>
  <c r="AC25" i="10"/>
  <c r="BL19" i="10"/>
  <c r="BJ26" i="10"/>
  <c r="BG18" i="11"/>
  <c r="AB24" i="11"/>
  <c r="BI24" i="11"/>
  <c r="BF32" i="11"/>
  <c r="BM37" i="11"/>
  <c r="AC25" i="12"/>
  <c r="AC20" i="12"/>
  <c r="BK25" i="12"/>
  <c r="M39" i="12"/>
  <c r="AS39" i="12" s="1"/>
  <c r="BM32" i="12"/>
  <c r="M38" i="12"/>
  <c r="AS38" i="12" s="1"/>
  <c r="BL38" i="12"/>
  <c r="BF40" i="12"/>
  <c r="M33" i="12"/>
  <c r="AS33" i="12" s="1"/>
  <c r="BM34" i="12"/>
  <c r="BG35" i="12"/>
  <c r="BF36" i="12"/>
  <c r="BM38" i="12"/>
  <c r="BG39" i="12"/>
  <c r="BG40" i="12"/>
  <c r="BL32" i="12"/>
  <c r="N34" i="12"/>
  <c r="O34" i="12" s="1"/>
  <c r="BK35" i="12"/>
  <c r="BM37" i="12"/>
  <c r="BK39" i="12"/>
  <c r="BF18" i="12"/>
  <c r="BI20" i="12"/>
  <c r="N21" i="12"/>
  <c r="O21" i="12" s="1"/>
  <c r="BK21" i="12"/>
  <c r="BL22" i="12"/>
  <c r="BF16" i="12"/>
  <c r="M17" i="12"/>
  <c r="AS17" i="12" s="1"/>
  <c r="BL18" i="12"/>
  <c r="BG19" i="12"/>
  <c r="BM20" i="12"/>
  <c r="BG16" i="12"/>
  <c r="BM18" i="12"/>
  <c r="BK19" i="12"/>
  <c r="N22" i="12"/>
  <c r="O22" i="12" s="1"/>
  <c r="BF22" i="12"/>
  <c r="BM17" i="12"/>
  <c r="AC16" i="12"/>
  <c r="AC21" i="12"/>
  <c r="BM23" i="12"/>
  <c r="BL25" i="12"/>
  <c r="BG25" i="12"/>
  <c r="BF25" i="12"/>
  <c r="AB37" i="12"/>
  <c r="AB33" i="12"/>
  <c r="AB40" i="12"/>
  <c r="AB36" i="12"/>
  <c r="AB39" i="12"/>
  <c r="AB38" i="12"/>
  <c r="AB31" i="12"/>
  <c r="AB27" i="12"/>
  <c r="AB30" i="12"/>
  <c r="AB29" i="12"/>
  <c r="AB34" i="12"/>
  <c r="AB32" i="12"/>
  <c r="AB28" i="12"/>
  <c r="AB25" i="12"/>
  <c r="AB26" i="12"/>
  <c r="AB24" i="12"/>
  <c r="AB35" i="12"/>
  <c r="AB23" i="12"/>
  <c r="M16" i="12"/>
  <c r="BK16" i="12"/>
  <c r="BF17" i="12"/>
  <c r="BJ17" i="12"/>
  <c r="AC18" i="12"/>
  <c r="BI18" i="12"/>
  <c r="AB19" i="12"/>
  <c r="BL19" i="12"/>
  <c r="M20" i="12"/>
  <c r="AS20" i="12" s="1"/>
  <c r="AB21" i="12"/>
  <c r="AB22" i="12"/>
  <c r="BI25" i="12"/>
  <c r="AC30" i="12"/>
  <c r="BJ16" i="12"/>
  <c r="BF21" i="12"/>
  <c r="N16" i="12"/>
  <c r="AB16" i="12"/>
  <c r="BL16" i="12"/>
  <c r="BG17" i="12"/>
  <c r="BO17" i="12"/>
  <c r="BJ18" i="12"/>
  <c r="BI19" i="12"/>
  <c r="BM19" i="12"/>
  <c r="AB20" i="12"/>
  <c r="BJ20" i="12"/>
  <c r="BG21" i="12"/>
  <c r="BL21" i="12"/>
  <c r="BK22" i="12"/>
  <c r="BJ22" i="12"/>
  <c r="AC38" i="12"/>
  <c r="AC37" i="12"/>
  <c r="AC34" i="12"/>
  <c r="AC32" i="12"/>
  <c r="AC28" i="12"/>
  <c r="AC31" i="12"/>
  <c r="AC24" i="12"/>
  <c r="AC27" i="12"/>
  <c r="AC17" i="12"/>
  <c r="BI17" i="12"/>
  <c r="AB18" i="12"/>
  <c r="BI21" i="12"/>
  <c r="BO21" i="12"/>
  <c r="AC23" i="12"/>
  <c r="BI16" i="12"/>
  <c r="AB17" i="12"/>
  <c r="BF20" i="12"/>
  <c r="BL20" i="12"/>
  <c r="BM21" i="12"/>
  <c r="AC22" i="12"/>
  <c r="BL24" i="12"/>
  <c r="BK24" i="12"/>
  <c r="N24" i="12"/>
  <c r="M24" i="12"/>
  <c r="BK27" i="12"/>
  <c r="BJ27" i="12"/>
  <c r="O27" i="12"/>
  <c r="AC36" i="12"/>
  <c r="BI22" i="12"/>
  <c r="BM22" i="12"/>
  <c r="BL23" i="12"/>
  <c r="BG24" i="12"/>
  <c r="BO24" i="12"/>
  <c r="BI23" i="12"/>
  <c r="BK26" i="12"/>
  <c r="AC29" i="12"/>
  <c r="BM29" i="12"/>
  <c r="AC33" i="12"/>
  <c r="BM33" i="12"/>
  <c r="BI24" i="12"/>
  <c r="AC26" i="12"/>
  <c r="BL26" i="12"/>
  <c r="BL27" i="12"/>
  <c r="BG27" i="12"/>
  <c r="BF27" i="12"/>
  <c r="BL30" i="12"/>
  <c r="BK30" i="12"/>
  <c r="N30" i="12"/>
  <c r="M30" i="12"/>
  <c r="BL31" i="12"/>
  <c r="BG31" i="12"/>
  <c r="BF31" i="12"/>
  <c r="BI28" i="12"/>
  <c r="BL29" i="12"/>
  <c r="BJ31" i="12"/>
  <c r="BI32" i="12"/>
  <c r="BI33" i="12"/>
  <c r="BI34" i="12"/>
  <c r="BK40" i="12"/>
  <c r="N40" i="12"/>
  <c r="M40" i="12"/>
  <c r="BJ40" i="12"/>
  <c r="BF28" i="12"/>
  <c r="BJ28" i="12"/>
  <c r="BI29" i="12"/>
  <c r="M31" i="12"/>
  <c r="AS31" i="12" s="1"/>
  <c r="BK31" i="12"/>
  <c r="BF32" i="12"/>
  <c r="BJ32" i="12"/>
  <c r="BL33" i="12"/>
  <c r="BG33" i="12"/>
  <c r="BG34" i="12"/>
  <c r="BF34" i="12"/>
  <c r="BL34" i="12"/>
  <c r="BL37" i="12"/>
  <c r="BG37" i="12"/>
  <c r="BF37" i="12"/>
  <c r="AC39" i="12"/>
  <c r="BM39" i="12"/>
  <c r="AC40" i="12"/>
  <c r="AD40" i="12" s="1"/>
  <c r="AE40" i="12" s="1"/>
  <c r="BI26" i="12"/>
  <c r="BI30" i="12"/>
  <c r="BK33" i="12"/>
  <c r="AC35" i="12"/>
  <c r="BM35" i="12"/>
  <c r="BK36" i="12"/>
  <c r="N36" i="12"/>
  <c r="M36" i="12"/>
  <c r="BJ36" i="12"/>
  <c r="BJ37" i="12"/>
  <c r="BI38" i="12"/>
  <c r="BJ34" i="12"/>
  <c r="BI35" i="12"/>
  <c r="BL36" i="12"/>
  <c r="M37" i="12"/>
  <c r="AS37" i="12" s="1"/>
  <c r="BK37" i="12"/>
  <c r="BF38" i="12"/>
  <c r="BJ38" i="12"/>
  <c r="BI39" i="12"/>
  <c r="BL40" i="12"/>
  <c r="BI36" i="12"/>
  <c r="BI40" i="12"/>
  <c r="BG32" i="11"/>
  <c r="BM33" i="11"/>
  <c r="BF35" i="11"/>
  <c r="BM36" i="11"/>
  <c r="BF38" i="11"/>
  <c r="BG39" i="11"/>
  <c r="BF34" i="11"/>
  <c r="M35" i="11"/>
  <c r="AS35" i="11" s="1"/>
  <c r="BG35" i="11"/>
  <c r="M38" i="11"/>
  <c r="AS38" i="11" s="1"/>
  <c r="BG38" i="11"/>
  <c r="BJ39" i="11"/>
  <c r="BL38" i="11"/>
  <c r="BK37" i="11"/>
  <c r="BK38" i="11"/>
  <c r="M39" i="11"/>
  <c r="AS39" i="11" s="1"/>
  <c r="BM40" i="11"/>
  <c r="BM24" i="11"/>
  <c r="BI25" i="11"/>
  <c r="M26" i="11"/>
  <c r="AS26" i="11" s="1"/>
  <c r="BG26" i="11"/>
  <c r="M29" i="11"/>
  <c r="AS29" i="11" s="1"/>
  <c r="M31" i="11"/>
  <c r="AS31" i="11" s="1"/>
  <c r="BM23" i="11"/>
  <c r="BK25" i="11"/>
  <c r="BL26" i="11"/>
  <c r="BK31" i="11"/>
  <c r="AC30" i="11"/>
  <c r="BM28" i="11"/>
  <c r="BM30" i="11"/>
  <c r="BG21" i="11"/>
  <c r="BK17" i="11"/>
  <c r="BK21" i="11"/>
  <c r="BG17" i="11"/>
  <c r="BM20" i="11"/>
  <c r="M17" i="11"/>
  <c r="BN17" i="11" s="1"/>
  <c r="BL17" i="11"/>
  <c r="BM19" i="11"/>
  <c r="M21" i="11"/>
  <c r="BN21" i="11" s="1"/>
  <c r="BL21" i="11"/>
  <c r="BM16" i="11"/>
  <c r="AC17" i="11"/>
  <c r="AB20" i="11"/>
  <c r="AC24" i="11"/>
  <c r="AC26" i="11"/>
  <c r="AC27" i="11"/>
  <c r="AB29" i="11"/>
  <c r="AB37" i="11"/>
  <c r="AC21" i="11"/>
  <c r="AC31" i="11"/>
  <c r="AC20" i="11"/>
  <c r="AC23" i="11"/>
  <c r="AC29" i="11"/>
  <c r="AC18" i="11"/>
  <c r="AC16" i="11"/>
  <c r="AC19" i="11"/>
  <c r="AC22" i="11"/>
  <c r="AC25" i="11"/>
  <c r="AC33" i="11"/>
  <c r="N15" i="11"/>
  <c r="M15" i="11"/>
  <c r="BK19" i="11"/>
  <c r="N23" i="11"/>
  <c r="M23" i="11"/>
  <c r="AB25" i="11"/>
  <c r="BL27" i="11"/>
  <c r="BI27" i="11"/>
  <c r="BG27" i="11"/>
  <c r="BJ33" i="11"/>
  <c r="BK33" i="11"/>
  <c r="BG16" i="11"/>
  <c r="BF16" i="11"/>
  <c r="BL16" i="11"/>
  <c r="M18" i="11"/>
  <c r="AS18" i="11" s="1"/>
  <c r="BJ19" i="11"/>
  <c r="BG20" i="11"/>
  <c r="BF20" i="11"/>
  <c r="BL20" i="11"/>
  <c r="M22" i="11"/>
  <c r="AS22" i="11" s="1"/>
  <c r="BG24" i="11"/>
  <c r="BF24" i="11"/>
  <c r="BL24" i="11"/>
  <c r="BJ27" i="11"/>
  <c r="AB17" i="11"/>
  <c r="N19" i="11"/>
  <c r="M19" i="11"/>
  <c r="AB21" i="11"/>
  <c r="BK23" i="11"/>
  <c r="BM26" i="11"/>
  <c r="BO27" i="11"/>
  <c r="N33" i="11"/>
  <c r="M33" i="11"/>
  <c r="N27" i="11"/>
  <c r="M27" i="11"/>
  <c r="BF27" i="11"/>
  <c r="BM17" i="11"/>
  <c r="BJ18" i="11"/>
  <c r="BL19" i="11"/>
  <c r="BG19" i="11"/>
  <c r="BM21" i="11"/>
  <c r="BJ22" i="11"/>
  <c r="BL23" i="11"/>
  <c r="BG23" i="11"/>
  <c r="BM25" i="11"/>
  <c r="BK27" i="11"/>
  <c r="BL29" i="11"/>
  <c r="BF29" i="11"/>
  <c r="BG29" i="11"/>
  <c r="BG37" i="11"/>
  <c r="BF37" i="11"/>
  <c r="BL37" i="11"/>
  <c r="BI37" i="11"/>
  <c r="BO37" i="11"/>
  <c r="BL40" i="11"/>
  <c r="BG40" i="11"/>
  <c r="BI40" i="11"/>
  <c r="BF40" i="11"/>
  <c r="BO40" i="11"/>
  <c r="AC40" i="11"/>
  <c r="AC37" i="11"/>
  <c r="AC36" i="11"/>
  <c r="BJ16" i="11"/>
  <c r="BI17" i="11"/>
  <c r="AB18" i="11"/>
  <c r="BL18" i="11"/>
  <c r="BJ20" i="11"/>
  <c r="BI21" i="11"/>
  <c r="AB22" i="11"/>
  <c r="BL22" i="11"/>
  <c r="BJ24" i="11"/>
  <c r="BF25" i="11"/>
  <c r="BG25" i="11"/>
  <c r="BL25" i="11"/>
  <c r="BM27" i="11"/>
  <c r="BG28" i="11"/>
  <c r="AB28" i="11"/>
  <c r="BJ28" i="11"/>
  <c r="BM29" i="11"/>
  <c r="BJ30" i="11"/>
  <c r="AC32" i="11"/>
  <c r="BM32" i="11"/>
  <c r="M32" i="11"/>
  <c r="AS32" i="11" s="1"/>
  <c r="BG30" i="11"/>
  <c r="BI30" i="11"/>
  <c r="BM31" i="11"/>
  <c r="BL32" i="11"/>
  <c r="BJ32" i="11"/>
  <c r="AB40" i="11"/>
  <c r="AB36" i="11"/>
  <c r="AB39" i="11"/>
  <c r="AB35" i="11"/>
  <c r="AB34" i="11"/>
  <c r="AB33" i="11"/>
  <c r="AB32" i="11"/>
  <c r="AB31" i="11"/>
  <c r="AB27" i="11"/>
  <c r="BI18" i="11"/>
  <c r="AB19" i="11"/>
  <c r="BI22" i="11"/>
  <c r="AB23" i="11"/>
  <c r="AB26" i="11"/>
  <c r="BK26" i="11"/>
  <c r="AC28" i="11"/>
  <c r="BF28" i="11"/>
  <c r="BL28" i="11"/>
  <c r="AB30" i="11"/>
  <c r="BL30" i="11"/>
  <c r="BF31" i="11"/>
  <c r="BI31" i="11"/>
  <c r="BG31" i="11"/>
  <c r="BO31" i="11"/>
  <c r="BJ34" i="11"/>
  <c r="BK34" i="11"/>
  <c r="BL34" i="11"/>
  <c r="BI26" i="11"/>
  <c r="BK29" i="11"/>
  <c r="AC34" i="11"/>
  <c r="BM34" i="11"/>
  <c r="BK35" i="11"/>
  <c r="BJ35" i="11"/>
  <c r="AC38" i="11"/>
  <c r="AD38" i="11" s="1"/>
  <c r="AE38" i="11" s="1"/>
  <c r="BM38" i="11"/>
  <c r="AC39" i="11"/>
  <c r="BM39" i="11"/>
  <c r="BF33" i="11"/>
  <c r="BL33" i="11"/>
  <c r="BG33" i="11"/>
  <c r="AC35" i="11"/>
  <c r="BL36" i="11"/>
  <c r="BG36" i="11"/>
  <c r="BK40" i="11"/>
  <c r="N40" i="11"/>
  <c r="M40" i="11"/>
  <c r="BI32" i="11"/>
  <c r="BK36" i="11"/>
  <c r="N36" i="11"/>
  <c r="M36" i="11"/>
  <c r="BF36" i="11"/>
  <c r="BI34" i="11"/>
  <c r="BL35" i="11"/>
  <c r="BI38" i="11"/>
  <c r="BL39" i="11"/>
  <c r="BI35" i="11"/>
  <c r="BI39" i="11"/>
  <c r="M32" i="10"/>
  <c r="AS32" i="10" s="1"/>
  <c r="BL32" i="10"/>
  <c r="BG36" i="10"/>
  <c r="BK37" i="10"/>
  <c r="BK38" i="10"/>
  <c r="BJ34" i="10"/>
  <c r="BG35" i="10"/>
  <c r="BJ40" i="10"/>
  <c r="BJ32" i="10"/>
  <c r="BI32" i="10"/>
  <c r="BK34" i="10"/>
  <c r="BM22" i="10"/>
  <c r="BM23" i="10"/>
  <c r="BL26" i="10"/>
  <c r="BL28" i="10"/>
  <c r="M30" i="10"/>
  <c r="AS30" i="10" s="1"/>
  <c r="BL30" i="10"/>
  <c r="BI31" i="10"/>
  <c r="BL16" i="10"/>
  <c r="M18" i="10"/>
  <c r="AS18" i="10" s="1"/>
  <c r="BL18" i="10"/>
  <c r="BM21" i="10"/>
  <c r="BJ31" i="10"/>
  <c r="BJ30" i="10"/>
  <c r="M16" i="10"/>
  <c r="AS16" i="10" s="1"/>
  <c r="BG20" i="10"/>
  <c r="BF26" i="10"/>
  <c r="BI27" i="10"/>
  <c r="BF28" i="10"/>
  <c r="BJ29" i="10"/>
  <c r="BI30" i="10"/>
  <c r="BL31" i="10"/>
  <c r="AC18" i="10"/>
  <c r="AC16" i="10"/>
  <c r="AC20" i="10"/>
  <c r="AC26" i="10"/>
  <c r="AC36" i="10"/>
  <c r="AC17" i="10"/>
  <c r="AC19" i="10"/>
  <c r="AB28" i="10"/>
  <c r="AB16" i="10"/>
  <c r="BI16" i="10"/>
  <c r="BM16" i="10"/>
  <c r="AB17" i="10"/>
  <c r="BI17" i="10"/>
  <c r="BM17" i="10"/>
  <c r="AB18" i="10"/>
  <c r="BI18" i="10"/>
  <c r="BM18" i="10"/>
  <c r="AB19" i="10"/>
  <c r="BI19" i="10"/>
  <c r="BM19" i="10"/>
  <c r="AB20" i="10"/>
  <c r="AC21" i="10"/>
  <c r="BG21" i="10"/>
  <c r="BL22" i="10"/>
  <c r="AB22" i="10"/>
  <c r="BF22" i="10"/>
  <c r="BI24" i="10"/>
  <c r="BL24" i="10"/>
  <c r="BG24" i="10"/>
  <c r="AC24" i="10"/>
  <c r="AC27" i="10"/>
  <c r="AC28" i="10"/>
  <c r="AD28" i="10" s="1"/>
  <c r="AE28" i="10" s="1"/>
  <c r="AC35" i="10"/>
  <c r="BO37" i="10"/>
  <c r="BF16" i="10"/>
  <c r="BJ16" i="10"/>
  <c r="BF17" i="10"/>
  <c r="BJ17" i="10"/>
  <c r="BF18" i="10"/>
  <c r="BJ18" i="10"/>
  <c r="BF19" i="10"/>
  <c r="BJ19" i="10"/>
  <c r="BL20" i="10"/>
  <c r="N21" i="10"/>
  <c r="AS21" i="10" s="1"/>
  <c r="AC22" i="10"/>
  <c r="BG22" i="10"/>
  <c r="BI23" i="10"/>
  <c r="BL23" i="10"/>
  <c r="BG23" i="10"/>
  <c r="BI25" i="10"/>
  <c r="BL25" i="10"/>
  <c r="BG25" i="10"/>
  <c r="AC29" i="10"/>
  <c r="BL36" i="10"/>
  <c r="AB40" i="10"/>
  <c r="AB39" i="10"/>
  <c r="AB38" i="10"/>
  <c r="AB37" i="10"/>
  <c r="AB36" i="10"/>
  <c r="AB35" i="10"/>
  <c r="AB34" i="10"/>
  <c r="AB33" i="10"/>
  <c r="AB32" i="10"/>
  <c r="AB31" i="10"/>
  <c r="AB30" i="10"/>
  <c r="AB25" i="10"/>
  <c r="AB24" i="10"/>
  <c r="AB29" i="10"/>
  <c r="AB27" i="10"/>
  <c r="BM20" i="10"/>
  <c r="BL21" i="10"/>
  <c r="AB21" i="10"/>
  <c r="BF21" i="10"/>
  <c r="BI37" i="10"/>
  <c r="BL37" i="10"/>
  <c r="BG37" i="10"/>
  <c r="BF37" i="10"/>
  <c r="AC39" i="10"/>
  <c r="AC37" i="10"/>
  <c r="AC38" i="10"/>
  <c r="M15" i="10"/>
  <c r="O15" i="10" s="1"/>
  <c r="BF20" i="10"/>
  <c r="BK20" i="10"/>
  <c r="BJ21" i="10"/>
  <c r="N22" i="10"/>
  <c r="O22" i="10" s="1"/>
  <c r="BI22" i="10"/>
  <c r="BK23" i="10"/>
  <c r="AC23" i="10"/>
  <c r="AD23" i="10" s="1"/>
  <c r="AE23" i="10" s="1"/>
  <c r="AB26" i="10"/>
  <c r="BJ36" i="10"/>
  <c r="BK36" i="10"/>
  <c r="N36" i="10"/>
  <c r="M36" i="10"/>
  <c r="AC40" i="10"/>
  <c r="BK24" i="10"/>
  <c r="BK25" i="10"/>
  <c r="BM26" i="10"/>
  <c r="BM28" i="10"/>
  <c r="BG29" i="10"/>
  <c r="BF29" i="10"/>
  <c r="BL29" i="10"/>
  <c r="AC34" i="10"/>
  <c r="BM34" i="10"/>
  <c r="BI39" i="10"/>
  <c r="BL39" i="10"/>
  <c r="BF39" i="10"/>
  <c r="M24" i="10"/>
  <c r="AS24" i="10" s="1"/>
  <c r="M25" i="10"/>
  <c r="AS25" i="10" s="1"/>
  <c r="BI26" i="10"/>
  <c r="BF27" i="10"/>
  <c r="BL27" i="10"/>
  <c r="BI28" i="10"/>
  <c r="AC30" i="10"/>
  <c r="BM30" i="10"/>
  <c r="AC31" i="10"/>
  <c r="BM31" i="10"/>
  <c r="AC32" i="10"/>
  <c r="BM32" i="10"/>
  <c r="AC33" i="10"/>
  <c r="BK35" i="10"/>
  <c r="BJ35" i="10"/>
  <c r="BK39" i="10"/>
  <c r="BJ39" i="10"/>
  <c r="N39" i="10"/>
  <c r="M39" i="10"/>
  <c r="BG39" i="10"/>
  <c r="BM27" i="10"/>
  <c r="BI29" i="10"/>
  <c r="BM35" i="10"/>
  <c r="BI36" i="10"/>
  <c r="BF36" i="10"/>
  <c r="BF30" i="10"/>
  <c r="BF31" i="10"/>
  <c r="BF32" i="10"/>
  <c r="BI33" i="10"/>
  <c r="BG33" i="10"/>
  <c r="BL33" i="10"/>
  <c r="BI34" i="10"/>
  <c r="BF34" i="10"/>
  <c r="BI38" i="10"/>
  <c r="BL38" i="10"/>
  <c r="BF38" i="10"/>
  <c r="BI40" i="10"/>
  <c r="BL40" i="10"/>
  <c r="BF40" i="10"/>
  <c r="BG34" i="10"/>
  <c r="BL34" i="10"/>
  <c r="BI35" i="10"/>
  <c r="BF35" i="10"/>
  <c r="M37" i="10"/>
  <c r="AS37" i="10" s="1"/>
  <c r="N38" i="10"/>
  <c r="M38" i="10"/>
  <c r="BG38" i="10"/>
  <c r="N40" i="10"/>
  <c r="M40" i="10"/>
  <c r="BG40" i="10"/>
  <c r="BK16" i="9"/>
  <c r="BO24" i="9"/>
  <c r="BF29" i="9"/>
  <c r="M31" i="9"/>
  <c r="AS31" i="9" s="1"/>
  <c r="BK20" i="9"/>
  <c r="BJ21" i="9"/>
  <c r="BJ28" i="9"/>
  <c r="M29" i="9"/>
  <c r="AS29" i="9" s="1"/>
  <c r="BL29" i="9"/>
  <c r="BJ30" i="9"/>
  <c r="BI32" i="9"/>
  <c r="M33" i="9"/>
  <c r="AS33" i="9" s="1"/>
  <c r="BJ33" i="9"/>
  <c r="BJ37" i="9"/>
  <c r="BG16" i="9"/>
  <c r="BL18" i="9"/>
  <c r="BJ24" i="9"/>
  <c r="BK27" i="9"/>
  <c r="BK28" i="9"/>
  <c r="BL32" i="9"/>
  <c r="BK33" i="9"/>
  <c r="M15" i="9"/>
  <c r="O15" i="9" s="1"/>
  <c r="AC40" i="9"/>
  <c r="AC38" i="9"/>
  <c r="AC36" i="9"/>
  <c r="AC34" i="9"/>
  <c r="AC35" i="9"/>
  <c r="AC37" i="9"/>
  <c r="AC27" i="9"/>
  <c r="AC23" i="9"/>
  <c r="AC39" i="9"/>
  <c r="BK17" i="9"/>
  <c r="AB40" i="9"/>
  <c r="AB39" i="9"/>
  <c r="AB38" i="9"/>
  <c r="AB37" i="9"/>
  <c r="AB36" i="9"/>
  <c r="AB35" i="9"/>
  <c r="AB34" i="9"/>
  <c r="AB31" i="9"/>
  <c r="AB30" i="9"/>
  <c r="AB28" i="9"/>
  <c r="AB27" i="9"/>
  <c r="AB26" i="9"/>
  <c r="AB25" i="9"/>
  <c r="AB24" i="9"/>
  <c r="AB23" i="9"/>
  <c r="AB22" i="9"/>
  <c r="AB21" i="9"/>
  <c r="AB20" i="9"/>
  <c r="AB19" i="9"/>
  <c r="AB18" i="9"/>
  <c r="AB32" i="9"/>
  <c r="AB33" i="9"/>
  <c r="AB17" i="9"/>
  <c r="AB16" i="9"/>
  <c r="AB29" i="9"/>
  <c r="AC17" i="9"/>
  <c r="M17" i="9"/>
  <c r="AS17" i="9" s="1"/>
  <c r="BJ17" i="9"/>
  <c r="BM18" i="9"/>
  <c r="BI19" i="9"/>
  <c r="BF19" i="9"/>
  <c r="AC28" i="9"/>
  <c r="AC30" i="9"/>
  <c r="AC31" i="9"/>
  <c r="BM31" i="9"/>
  <c r="BJ16" i="9"/>
  <c r="BJ19" i="9"/>
  <c r="N19" i="9"/>
  <c r="M19" i="9"/>
  <c r="AC19" i="9"/>
  <c r="BG19" i="9"/>
  <c r="BI20" i="9"/>
  <c r="BL20" i="9"/>
  <c r="BG20" i="9"/>
  <c r="BO20" i="9"/>
  <c r="BK22" i="9"/>
  <c r="BJ22" i="9"/>
  <c r="N22" i="9"/>
  <c r="M22" i="9"/>
  <c r="BL22" i="9"/>
  <c r="AC25" i="9"/>
  <c r="BM25" i="9"/>
  <c r="AC26" i="9"/>
  <c r="BI27" i="9"/>
  <c r="BL27" i="9"/>
  <c r="BG27" i="9"/>
  <c r="AC16" i="9"/>
  <c r="M16" i="9"/>
  <c r="AS16" i="9" s="1"/>
  <c r="BK19" i="9"/>
  <c r="BF20" i="9"/>
  <c r="AC24" i="9"/>
  <c r="BK18" i="9"/>
  <c r="BJ18" i="9"/>
  <c r="BL19" i="9"/>
  <c r="AC20" i="9"/>
  <c r="AC21" i="9"/>
  <c r="BM21" i="9"/>
  <c r="AC22" i="9"/>
  <c r="BI23" i="9"/>
  <c r="BL23" i="9"/>
  <c r="BG23" i="9"/>
  <c r="BK26" i="9"/>
  <c r="BJ26" i="9"/>
  <c r="N26" i="9"/>
  <c r="M26" i="9"/>
  <c r="BL26" i="9"/>
  <c r="AC29" i="9"/>
  <c r="BM29" i="9"/>
  <c r="BG30" i="9"/>
  <c r="BL30" i="9"/>
  <c r="BF30" i="9"/>
  <c r="BI30" i="9"/>
  <c r="BO30" i="9"/>
  <c r="BI24" i="9"/>
  <c r="BF24" i="9"/>
  <c r="BI28" i="9"/>
  <c r="BI16" i="9"/>
  <c r="BI21" i="9"/>
  <c r="BF21" i="9"/>
  <c r="BK21" i="9"/>
  <c r="M23" i="9"/>
  <c r="AS23" i="9" s="1"/>
  <c r="BG24" i="9"/>
  <c r="BL24" i="9"/>
  <c r="BI25" i="9"/>
  <c r="BF25" i="9"/>
  <c r="BK25" i="9"/>
  <c r="M27" i="9"/>
  <c r="AS27" i="9" s="1"/>
  <c r="BG28" i="9"/>
  <c r="BL28" i="9"/>
  <c r="BG29" i="9"/>
  <c r="BI29" i="9"/>
  <c r="BG31" i="9"/>
  <c r="BF31" i="9"/>
  <c r="BI31" i="9"/>
  <c r="BL31" i="9"/>
  <c r="AC32" i="9"/>
  <c r="BK34" i="9"/>
  <c r="BJ34" i="9"/>
  <c r="N34" i="9"/>
  <c r="M34" i="9"/>
  <c r="BF28" i="9"/>
  <c r="BI34" i="9"/>
  <c r="BL34" i="9"/>
  <c r="BF34" i="9"/>
  <c r="BI17" i="9"/>
  <c r="BG17" i="9"/>
  <c r="BL17" i="9"/>
  <c r="BI18" i="9"/>
  <c r="BF18" i="9"/>
  <c r="M20" i="9"/>
  <c r="AS20" i="9" s="1"/>
  <c r="BG21" i="9"/>
  <c r="BL21" i="9"/>
  <c r="BI22" i="9"/>
  <c r="BF22" i="9"/>
  <c r="BJ23" i="9"/>
  <c r="M24" i="9"/>
  <c r="AS24" i="9" s="1"/>
  <c r="BG25" i="9"/>
  <c r="BL25" i="9"/>
  <c r="BI26" i="9"/>
  <c r="BF26" i="9"/>
  <c r="BJ27" i="9"/>
  <c r="M28" i="9"/>
  <c r="AS28" i="9" s="1"/>
  <c r="BK29" i="9"/>
  <c r="BJ29" i="9"/>
  <c r="BM30" i="9"/>
  <c r="AC33" i="9"/>
  <c r="BM33" i="9"/>
  <c r="BK36" i="9"/>
  <c r="BJ36" i="9"/>
  <c r="N36" i="9"/>
  <c r="M36" i="9"/>
  <c r="BI40" i="9"/>
  <c r="BL40" i="9"/>
  <c r="BF40" i="9"/>
  <c r="BG40" i="9"/>
  <c r="BI38" i="9"/>
  <c r="BL38" i="9"/>
  <c r="BF38" i="9"/>
  <c r="BJ40" i="9"/>
  <c r="BK40" i="9"/>
  <c r="N40" i="9"/>
  <c r="M40" i="9"/>
  <c r="BI36" i="9"/>
  <c r="BL36" i="9"/>
  <c r="BF36" i="9"/>
  <c r="BK38" i="9"/>
  <c r="BJ38" i="9"/>
  <c r="N38" i="9"/>
  <c r="M38" i="9"/>
  <c r="BG38" i="9"/>
  <c r="BJ31" i="9"/>
  <c r="BF32" i="9"/>
  <c r="BJ32" i="9"/>
  <c r="BL33" i="9"/>
  <c r="BG33" i="9"/>
  <c r="BI35" i="9"/>
  <c r="BL35" i="9"/>
  <c r="BF35" i="9"/>
  <c r="BI37" i="9"/>
  <c r="BL37" i="9"/>
  <c r="BF37" i="9"/>
  <c r="BI39" i="9"/>
  <c r="BL39" i="9"/>
  <c r="BF39" i="9"/>
  <c r="BI33" i="9"/>
  <c r="N35" i="9"/>
  <c r="M35" i="9"/>
  <c r="BG35" i="9"/>
  <c r="N37" i="9"/>
  <c r="M37" i="9"/>
  <c r="BG37" i="9"/>
  <c r="N39" i="9"/>
  <c r="M39" i="9"/>
  <c r="BG39" i="9"/>
  <c r="BF36" i="8"/>
  <c r="BF32" i="8"/>
  <c r="BJ33" i="8"/>
  <c r="BI32" i="8"/>
  <c r="BJ37" i="8"/>
  <c r="BF37" i="8"/>
  <c r="BI37" i="8"/>
  <c r="N37" i="8"/>
  <c r="AS37" i="8" s="1"/>
  <c r="BL36" i="8"/>
  <c r="BJ34" i="8"/>
  <c r="BI33" i="8"/>
  <c r="N33" i="8"/>
  <c r="AS33" i="8" s="1"/>
  <c r="BL32" i="8"/>
  <c r="BI36" i="8"/>
  <c r="BL37" i="8"/>
  <c r="BO36" i="8"/>
  <c r="BG36" i="8"/>
  <c r="BJ35" i="8"/>
  <c r="BI34" i="8"/>
  <c r="BL33" i="8"/>
  <c r="BO32" i="8"/>
  <c r="BG32" i="8"/>
  <c r="BI36" i="7"/>
  <c r="BJ33" i="7"/>
  <c r="BI32" i="7"/>
  <c r="BI37" i="7"/>
  <c r="N37" i="7"/>
  <c r="AS37" i="7" s="1"/>
  <c r="BL36" i="7"/>
  <c r="BJ34" i="7"/>
  <c r="BI33" i="7"/>
  <c r="N33" i="7"/>
  <c r="AS33" i="7" s="1"/>
  <c r="BL32" i="7"/>
  <c r="BK37" i="7"/>
  <c r="BJ37" i="7"/>
  <c r="BL37" i="7"/>
  <c r="BO36" i="7"/>
  <c r="BG36" i="7"/>
  <c r="BL33" i="7"/>
  <c r="BO32" i="7"/>
  <c r="BG32" i="7"/>
  <c r="BN37" i="6"/>
  <c r="BK36" i="6"/>
  <c r="BJ40" i="6"/>
  <c r="BI39" i="6"/>
  <c r="N39" i="6"/>
  <c r="AS39" i="6" s="1"/>
  <c r="BJ36" i="6"/>
  <c r="BI35" i="6"/>
  <c r="N35" i="6"/>
  <c r="AS35" i="6" s="1"/>
  <c r="BI40" i="6"/>
  <c r="N40" i="6"/>
  <c r="AS40" i="6" s="1"/>
  <c r="BL39" i="6"/>
  <c r="BO38" i="6"/>
  <c r="N36" i="6"/>
  <c r="AS36" i="6" s="1"/>
  <c r="BL35" i="6"/>
  <c r="BO39" i="6"/>
  <c r="BG39" i="6"/>
  <c r="BO35" i="6"/>
  <c r="BG35" i="6"/>
  <c r="BI36" i="4"/>
  <c r="BJ28" i="4"/>
  <c r="BM26" i="4"/>
  <c r="BK37" i="4"/>
  <c r="M37" i="4"/>
  <c r="AS37" i="4" s="1"/>
  <c r="BL36" i="4"/>
  <c r="BG36" i="4"/>
  <c r="BF35" i="4"/>
  <c r="BF36" i="4"/>
  <c r="BI35" i="4"/>
  <c r="N35" i="4"/>
  <c r="AS35" i="4" s="1"/>
  <c r="BJ27" i="4"/>
  <c r="BI26" i="4"/>
  <c r="N26" i="4"/>
  <c r="AS26" i="4" s="1"/>
  <c r="N27" i="4"/>
  <c r="AS27" i="4" s="1"/>
  <c r="BL26" i="4"/>
  <c r="BO26" i="4"/>
  <c r="AP35" i="6"/>
  <c r="AP28" i="4"/>
  <c r="AL33" i="12"/>
  <c r="AL40" i="12"/>
  <c r="AL16" i="9"/>
  <c r="AL39" i="6"/>
  <c r="AR29" i="10"/>
  <c r="AR16" i="11"/>
  <c r="AR29" i="12"/>
  <c r="AR22" i="12"/>
  <c r="AL17" i="9"/>
  <c r="AR22" i="10"/>
  <c r="AL34" i="12"/>
  <c r="AL18" i="12"/>
  <c r="AL37" i="6"/>
  <c r="AR20" i="11"/>
  <c r="AR26" i="10"/>
  <c r="AR36" i="7"/>
  <c r="AR35" i="7"/>
  <c r="AL37" i="12"/>
  <c r="AR34" i="12"/>
  <c r="AR21" i="12"/>
  <c r="AL36" i="12"/>
  <c r="AL21" i="12"/>
  <c r="AL36" i="6"/>
  <c r="AR35" i="8"/>
  <c r="AR27" i="12"/>
  <c r="AR30" i="11"/>
  <c r="AR32" i="9"/>
  <c r="AL40" i="6"/>
  <c r="AR19" i="12"/>
  <c r="AR28" i="12"/>
  <c r="AR28" i="4"/>
  <c r="AR27" i="10"/>
  <c r="BH38" i="12"/>
  <c r="BP29" i="12"/>
  <c r="BH24" i="12"/>
  <c r="BP37" i="12"/>
  <c r="BE30" i="12"/>
  <c r="BH22" i="12"/>
  <c r="BE19" i="12"/>
  <c r="BQ16" i="12"/>
  <c r="BE29" i="11"/>
  <c r="BE16" i="11"/>
  <c r="BH16" i="11"/>
  <c r="BE38" i="10"/>
  <c r="BE28" i="10"/>
  <c r="BE38" i="12"/>
  <c r="BE26" i="12"/>
  <c r="BP31" i="12"/>
  <c r="BH30" i="12"/>
  <c r="BP34" i="12"/>
  <c r="BQ25" i="12"/>
  <c r="BQ22" i="12"/>
  <c r="BE16" i="12"/>
  <c r="BQ39" i="11"/>
  <c r="BH26" i="11"/>
  <c r="BP24" i="11"/>
  <c r="BE32" i="10"/>
  <c r="BH35" i="12"/>
  <c r="BP38" i="12"/>
  <c r="BH28" i="12"/>
  <c r="BH32" i="12"/>
  <c r="BQ38" i="11"/>
  <c r="BH28" i="11"/>
  <c r="BP21" i="11"/>
  <c r="BH35" i="10"/>
  <c r="BE30" i="10"/>
  <c r="BP25" i="12"/>
  <c r="BQ33" i="12"/>
  <c r="BH39" i="12"/>
  <c r="BE31" i="12"/>
  <c r="BH32" i="11"/>
  <c r="BE40" i="11"/>
  <c r="BQ18" i="11"/>
  <c r="BE23" i="11"/>
  <c r="BP30" i="10"/>
  <c r="BP27" i="10"/>
  <c r="BE36" i="12"/>
  <c r="BP21" i="12"/>
  <c r="BQ34" i="11"/>
  <c r="BQ30" i="11"/>
  <c r="BQ16" i="11"/>
  <c r="BP29" i="10"/>
  <c r="BH30" i="10"/>
  <c r="BE27" i="10"/>
  <c r="BQ32" i="10"/>
  <c r="BE34" i="12"/>
  <c r="BQ21" i="12"/>
  <c r="BQ32" i="11"/>
  <c r="BQ26" i="11"/>
  <c r="BE29" i="12"/>
  <c r="BE33" i="12"/>
  <c r="BP17" i="12"/>
  <c r="BE22" i="11"/>
  <c r="BE40" i="10"/>
  <c r="BE25" i="10"/>
  <c r="BQ30" i="10"/>
  <c r="BQ34" i="7"/>
  <c r="BE32" i="7"/>
  <c r="BE36" i="6"/>
  <c r="BE35" i="4"/>
  <c r="BQ28" i="4"/>
  <c r="BQ27" i="4"/>
  <c r="BE26" i="11"/>
  <c r="BP28" i="10"/>
  <c r="BP37" i="8"/>
  <c r="BP34" i="7"/>
  <c r="BH40" i="6"/>
  <c r="BQ37" i="4"/>
  <c r="BH34" i="11"/>
  <c r="BH21" i="11"/>
  <c r="BE33" i="10"/>
  <c r="BH34" i="10"/>
  <c r="BP20" i="10"/>
  <c r="BP35" i="8"/>
  <c r="BH36" i="6"/>
  <c r="BE26" i="10"/>
  <c r="BQ28" i="10"/>
  <c r="BE37" i="7"/>
  <c r="BP39" i="6"/>
  <c r="BE28" i="4"/>
  <c r="BP28" i="4"/>
  <c r="BE28" i="12"/>
  <c r="BQ29" i="12"/>
  <c r="BQ23" i="12"/>
  <c r="BQ36" i="12"/>
  <c r="BE23" i="12"/>
  <c r="BH20" i="12"/>
  <c r="BE21" i="12"/>
  <c r="BE20" i="12"/>
  <c r="BP38" i="11"/>
  <c r="BE35" i="11"/>
  <c r="BH33" i="11"/>
  <c r="BH24" i="11"/>
  <c r="BP25" i="11"/>
  <c r="BE34" i="10"/>
  <c r="BP37" i="10"/>
  <c r="BH19" i="10"/>
  <c r="BP18" i="12"/>
  <c r="BH18" i="12"/>
  <c r="BH38" i="11"/>
  <c r="BE30" i="11"/>
  <c r="BP39" i="12"/>
  <c r="BE17" i="12"/>
  <c r="BQ22" i="11"/>
  <c r="BE31" i="10"/>
  <c r="BP19" i="10"/>
  <c r="BP34" i="8"/>
  <c r="BP35" i="7"/>
  <c r="BQ37" i="6"/>
  <c r="BP26" i="4"/>
  <c r="BE26" i="4"/>
  <c r="BQ24" i="11"/>
  <c r="BE35" i="10"/>
  <c r="BQ29" i="10"/>
  <c r="BE35" i="8"/>
  <c r="BE37" i="8"/>
  <c r="BQ35" i="7"/>
  <c r="BQ36" i="6"/>
  <c r="BQ36" i="4"/>
  <c r="BH17" i="11"/>
  <c r="BP32" i="10"/>
  <c r="BE29" i="10"/>
  <c r="BE21" i="10"/>
  <c r="BQ35" i="8"/>
  <c r="BE34" i="8"/>
  <c r="BH38" i="6"/>
  <c r="BH36" i="4"/>
  <c r="BH31" i="10"/>
  <c r="BH17" i="10"/>
  <c r="BE36" i="8"/>
  <c r="BH35" i="7"/>
  <c r="BE37" i="6"/>
  <c r="BE35" i="6"/>
  <c r="BE40" i="6"/>
  <c r="BH28" i="4"/>
  <c r="BE27" i="4"/>
  <c r="BH19" i="12"/>
  <c r="BP36" i="12"/>
  <c r="BE40" i="12"/>
  <c r="BQ40" i="12"/>
  <c r="BH26" i="12"/>
  <c r="BE39" i="11"/>
  <c r="BQ20" i="11"/>
  <c r="BP20" i="11"/>
  <c r="BP34" i="10"/>
  <c r="BE39" i="10"/>
  <c r="BE24" i="10"/>
  <c r="BH16" i="10"/>
  <c r="BQ26" i="12"/>
  <c r="BQ34" i="12"/>
  <c r="BE25" i="12"/>
  <c r="BE36" i="11"/>
  <c r="BE24" i="11"/>
  <c r="BH20" i="11"/>
  <c r="BE37" i="12"/>
  <c r="BH34" i="12"/>
  <c r="BH18" i="10"/>
  <c r="BP32" i="8"/>
  <c r="BH34" i="7"/>
  <c r="BE39" i="6"/>
  <c r="BE37" i="4"/>
  <c r="BP32" i="12"/>
  <c r="BE37" i="11"/>
  <c r="BQ19" i="11"/>
  <c r="BP21" i="10"/>
  <c r="BH35" i="8"/>
  <c r="BE38" i="6"/>
  <c r="BQ35" i="4"/>
  <c r="BP30" i="11"/>
  <c r="BE25" i="11"/>
  <c r="BP26" i="10"/>
  <c r="BP22" i="10"/>
  <c r="BE33" i="8"/>
  <c r="BP36" i="7"/>
  <c r="BE34" i="7"/>
  <c r="BH37" i="6"/>
  <c r="BH35" i="4"/>
  <c r="BH37" i="4"/>
  <c r="BE27" i="11"/>
  <c r="BE37" i="10"/>
  <c r="BE22" i="10"/>
  <c r="BP32" i="7"/>
  <c r="BP38" i="6"/>
  <c r="BP36" i="4"/>
  <c r="BQ38" i="12"/>
  <c r="BQ24" i="12"/>
  <c r="BE31" i="11"/>
  <c r="BE20" i="11"/>
  <c r="BP17" i="11"/>
  <c r="BQ23" i="11"/>
  <c r="BH37" i="11"/>
  <c r="BP33" i="10"/>
  <c r="BH32" i="10"/>
  <c r="BP35" i="12"/>
  <c r="BE24" i="12"/>
  <c r="BP28" i="12"/>
  <c r="BQ35" i="11"/>
  <c r="BQ36" i="11"/>
  <c r="BE32" i="11"/>
  <c r="BE18" i="11"/>
  <c r="BQ30" i="12"/>
  <c r="BP19" i="12"/>
  <c r="BP37" i="11"/>
  <c r="BQ31" i="10"/>
  <c r="BE35" i="7"/>
  <c r="BE33" i="7"/>
  <c r="BP35" i="6"/>
  <c r="BQ38" i="6"/>
  <c r="BE36" i="4"/>
  <c r="BE19" i="11"/>
  <c r="BP16" i="10"/>
  <c r="BH34" i="8"/>
  <c r="BE36" i="7"/>
  <c r="BQ26" i="10"/>
  <c r="BP17" i="10"/>
  <c r="BE32" i="8"/>
  <c r="BP33" i="7"/>
  <c r="BH27" i="4"/>
  <c r="BH16" i="12"/>
  <c r="BP31" i="11"/>
  <c r="BP16" i="11"/>
  <c r="BP31" i="10"/>
  <c r="BP18" i="10"/>
  <c r="BP36" i="8"/>
  <c r="BP33" i="8"/>
  <c r="BP37" i="7"/>
  <c r="BP37" i="6"/>
  <c r="BP35" i="4"/>
  <c r="BP37" i="4"/>
  <c r="BP20" i="12"/>
  <c r="BQ28" i="12"/>
  <c r="BQ25" i="11"/>
  <c r="BP28" i="11"/>
  <c r="BP27" i="11"/>
  <c r="BQ23" i="10"/>
  <c r="BE19" i="10"/>
  <c r="BE32" i="12"/>
  <c r="BE21" i="11"/>
  <c r="BH36" i="11"/>
  <c r="BH29" i="11"/>
  <c r="BH40" i="10"/>
  <c r="BQ25" i="10"/>
  <c r="BQ17" i="10"/>
  <c r="BE27" i="12"/>
  <c r="BQ28" i="11"/>
  <c r="BE16" i="10"/>
  <c r="BH29" i="10"/>
  <c r="BQ35" i="10"/>
  <c r="BE36" i="10"/>
  <c r="BQ17" i="12"/>
  <c r="AG25" i="12"/>
  <c r="BH27" i="12"/>
  <c r="BE39" i="12"/>
  <c r="BQ18" i="12"/>
  <c r="BH39" i="11"/>
  <c r="BP26" i="11"/>
  <c r="BQ21" i="11"/>
  <c r="BE38" i="11"/>
  <c r="BQ40" i="11"/>
  <c r="BE17" i="10"/>
  <c r="BQ27" i="10"/>
  <c r="BQ37" i="10"/>
  <c r="BQ33" i="8"/>
  <c r="BH32" i="7"/>
  <c r="BQ35" i="6"/>
  <c r="BQ37" i="8"/>
  <c r="BQ33" i="7"/>
  <c r="BH35" i="6"/>
  <c r="BP27" i="4"/>
  <c r="BH40" i="12"/>
  <c r="BQ37" i="12"/>
  <c r="BP34" i="11"/>
  <c r="BH40" i="11"/>
  <c r="BE33" i="11"/>
  <c r="BP40" i="11"/>
  <c r="BP23" i="10"/>
  <c r="BH27" i="10"/>
  <c r="BQ19" i="10"/>
  <c r="BP24" i="10"/>
  <c r="BH29" i="12"/>
  <c r="BQ31" i="12"/>
  <c r="BQ32" i="12"/>
  <c r="BP27" i="12"/>
  <c r="BH33" i="12"/>
  <c r="BH31" i="12"/>
  <c r="BP22" i="12"/>
  <c r="BH22" i="11"/>
  <c r="BH19" i="11"/>
  <c r="BP35" i="11"/>
  <c r="BP19" i="11"/>
  <c r="BQ22" i="10"/>
  <c r="BH37" i="10"/>
  <c r="BQ16" i="10"/>
  <c r="BE23" i="10"/>
  <c r="BH23" i="10"/>
  <c r="AG29" i="12"/>
  <c r="AG23" i="12"/>
  <c r="BH35" i="11"/>
  <c r="BH25" i="11"/>
  <c r="BP25" i="10"/>
  <c r="BQ24" i="10"/>
  <c r="BH33" i="10"/>
  <c r="BP36" i="10"/>
  <c r="BH23" i="12"/>
  <c r="BE22" i="12"/>
  <c r="BP30" i="12"/>
  <c r="BP32" i="11"/>
  <c r="BH28" i="10"/>
  <c r="BH36" i="8"/>
  <c r="BH33" i="8"/>
  <c r="BH33" i="7"/>
  <c r="BH36" i="7"/>
  <c r="BP36" i="6"/>
  <c r="BQ34" i="8"/>
  <c r="BH32" i="8"/>
  <c r="BQ37" i="7"/>
  <c r="BQ36" i="8"/>
  <c r="BP36" i="11"/>
  <c r="BH23" i="11"/>
  <c r="BQ33" i="11"/>
  <c r="BH39" i="10"/>
  <c r="BH22" i="10"/>
  <c r="BQ40" i="10"/>
  <c r="BH21" i="10"/>
  <c r="BP38" i="10"/>
  <c r="BQ33" i="10"/>
  <c r="BQ39" i="12"/>
  <c r="BP26" i="12"/>
  <c r="BE35" i="12"/>
  <c r="AG31" i="12"/>
  <c r="BP18" i="11"/>
  <c r="BE28" i="11"/>
  <c r="BH31" i="11"/>
  <c r="BP22" i="11"/>
  <c r="BQ31" i="11"/>
  <c r="BH25" i="10"/>
  <c r="BH21" i="12"/>
  <c r="BQ35" i="12"/>
  <c r="AG28" i="12"/>
  <c r="BP24" i="12"/>
  <c r="BQ29" i="11"/>
  <c r="BQ38" i="10"/>
  <c r="BP39" i="10"/>
  <c r="BQ20" i="12"/>
  <c r="BP23" i="12"/>
  <c r="BP40" i="12"/>
  <c r="BH25" i="12"/>
  <c r="BE34" i="11"/>
  <c r="BQ37" i="11"/>
  <c r="BP29" i="11"/>
  <c r="BH38" i="10"/>
  <c r="BH24" i="10"/>
  <c r="BP35" i="10"/>
  <c r="BH26" i="4"/>
  <c r="BH39" i="6"/>
  <c r="BH37" i="8"/>
  <c r="BH37" i="7"/>
  <c r="BQ40" i="6"/>
  <c r="BQ27" i="12"/>
  <c r="BQ17" i="11"/>
  <c r="BP23" i="11"/>
  <c r="BH18" i="11"/>
  <c r="BE18" i="10"/>
  <c r="BQ21" i="10"/>
  <c r="BP40" i="10"/>
  <c r="BQ20" i="10"/>
  <c r="BE20" i="10"/>
  <c r="BH36" i="12"/>
  <c r="BE18" i="12"/>
  <c r="BQ19" i="12"/>
  <c r="BP16" i="12"/>
  <c r="BH27" i="11"/>
  <c r="BE17" i="11"/>
  <c r="BP33" i="11"/>
  <c r="BP39" i="11"/>
  <c r="BQ36" i="10"/>
  <c r="BH20" i="10"/>
  <c r="BQ34" i="10"/>
  <c r="BH17" i="12"/>
  <c r="BH26" i="10"/>
  <c r="BH36" i="10"/>
  <c r="BQ18" i="10"/>
  <c r="BP33" i="12"/>
  <c r="BH37" i="12"/>
  <c r="BQ27" i="11"/>
  <c r="BH30" i="11"/>
  <c r="BQ39" i="10"/>
  <c r="BP40" i="6"/>
  <c r="BQ36" i="7"/>
  <c r="BQ39" i="6"/>
  <c r="BQ32" i="8"/>
  <c r="BQ32" i="7"/>
  <c r="BQ26" i="4"/>
  <c r="BP28" i="9"/>
  <c r="BH32" i="9"/>
  <c r="BE31" i="9"/>
  <c r="BH30" i="9"/>
  <c r="BE21" i="9"/>
  <c r="BH25" i="9"/>
  <c r="BH26" i="9"/>
  <c r="BP24" i="9"/>
  <c r="BP27" i="9"/>
  <c r="BE35" i="9"/>
  <c r="BE24" i="9"/>
  <c r="BH21" i="9"/>
  <c r="BQ39" i="9"/>
  <c r="BP17" i="9"/>
  <c r="BH33" i="9"/>
  <c r="BQ37" i="9"/>
  <c r="BQ34" i="9"/>
  <c r="BH37" i="9"/>
  <c r="BP39" i="9"/>
  <c r="BP34" i="9"/>
  <c r="BQ40" i="9"/>
  <c r="BP36" i="9"/>
  <c r="BH36" i="9"/>
  <c r="BP37" i="9"/>
  <c r="BQ38" i="9"/>
  <c r="BE37" i="9"/>
  <c r="BE27" i="9"/>
  <c r="BP29" i="9"/>
  <c r="BE28" i="9"/>
  <c r="BE22" i="9"/>
  <c r="BH35" i="9"/>
  <c r="BH24" i="9"/>
  <c r="BH27" i="9"/>
  <c r="BQ28" i="9"/>
  <c r="BP18" i="9"/>
  <c r="BQ18" i="9"/>
  <c r="BP38" i="9"/>
  <c r="BH40" i="9"/>
  <c r="BE33" i="9"/>
  <c r="BE16" i="9"/>
  <c r="BE30" i="9"/>
  <c r="BH18" i="9"/>
  <c r="BH39" i="9"/>
  <c r="BP40" i="9"/>
  <c r="BE36" i="9"/>
  <c r="BE23" i="9"/>
  <c r="BP20" i="9"/>
  <c r="BE38" i="9"/>
  <c r="BP32" i="9"/>
  <c r="BE18" i="9"/>
  <c r="BP31" i="9"/>
  <c r="BP19" i="9"/>
  <c r="BH31" i="9"/>
  <c r="BE17" i="9"/>
  <c r="BQ25" i="9"/>
  <c r="BP16" i="9"/>
  <c r="BQ20" i="9"/>
  <c r="BQ29" i="9"/>
  <c r="BH29" i="9"/>
  <c r="BQ30" i="9"/>
  <c r="BH19" i="9"/>
  <c r="BQ23" i="9"/>
  <c r="BP26" i="9"/>
  <c r="BP21" i="9"/>
  <c r="BP35" i="9"/>
  <c r="BH34" i="9"/>
  <c r="BQ33" i="9"/>
  <c r="BP25" i="9"/>
  <c r="BQ36" i="9"/>
  <c r="BQ27" i="9"/>
  <c r="BE39" i="9"/>
  <c r="BE26" i="9"/>
  <c r="BE40" i="9"/>
  <c r="BP30" i="9"/>
  <c r="BE29" i="9"/>
  <c r="BQ32" i="9"/>
  <c r="BP23" i="9"/>
  <c r="BQ21" i="9"/>
  <c r="BP22" i="9"/>
  <c r="BH38" i="9"/>
  <c r="BQ24" i="9"/>
  <c r="BQ16" i="9"/>
  <c r="BQ26" i="9"/>
  <c r="BH23" i="9"/>
  <c r="BH20" i="9"/>
  <c r="BQ31" i="9"/>
  <c r="BE25" i="9"/>
  <c r="BP33" i="9"/>
  <c r="BE20" i="9"/>
  <c r="BE19" i="9"/>
  <c r="BH22" i="9"/>
  <c r="BH16" i="9"/>
  <c r="BH17" i="9"/>
  <c r="BE34" i="9"/>
  <c r="BE32" i="9"/>
  <c r="BQ35" i="9"/>
  <c r="BQ22" i="9"/>
  <c r="BQ19" i="9"/>
  <c r="BH28" i="9"/>
  <c r="BQ17" i="9"/>
  <c r="BC25" i="9" l="1"/>
  <c r="BC32" i="9"/>
  <c r="BC36" i="9"/>
  <c r="BC17" i="9"/>
  <c r="BC33" i="9"/>
  <c r="BC18" i="9"/>
  <c r="BC34" i="9"/>
  <c r="BC16" i="9"/>
  <c r="BC19" i="9"/>
  <c r="BC35" i="9"/>
  <c r="BC40" i="9"/>
  <c r="BC27" i="9"/>
  <c r="BC24" i="9"/>
  <c r="BC28" i="9"/>
  <c r="BC21" i="9"/>
  <c r="BC37" i="9"/>
  <c r="BC22" i="9"/>
  <c r="BC38" i="9"/>
  <c r="BC23" i="9"/>
  <c r="BC39" i="9"/>
  <c r="BC26" i="9"/>
  <c r="BC20" i="9"/>
  <c r="BC29" i="9"/>
  <c r="BC30" i="9"/>
  <c r="BC31" i="9"/>
  <c r="BC24" i="12"/>
  <c r="BC32" i="10"/>
  <c r="BC30" i="11"/>
  <c r="BC18" i="12"/>
  <c r="BC28" i="10"/>
  <c r="BC26" i="11"/>
  <c r="BC16" i="12"/>
  <c r="BC20" i="10"/>
  <c r="BC18" i="11"/>
  <c r="BC33" i="12"/>
  <c r="BC36" i="10"/>
  <c r="BC34" i="11"/>
  <c r="BC34" i="12"/>
  <c r="BC27" i="12"/>
  <c r="BC29" i="10"/>
  <c r="BC27" i="11"/>
  <c r="BC37" i="12"/>
  <c r="BC28" i="12"/>
  <c r="BC18" i="10"/>
  <c r="BC34" i="10"/>
  <c r="BC32" i="11"/>
  <c r="BC26" i="12"/>
  <c r="BC23" i="10"/>
  <c r="BC39" i="10"/>
  <c r="BC21" i="11"/>
  <c r="BC37" i="11"/>
  <c r="BC23" i="12"/>
  <c r="BC17" i="10"/>
  <c r="BC33" i="10"/>
  <c r="BC16" i="10"/>
  <c r="BC31" i="11"/>
  <c r="BC22" i="12"/>
  <c r="BC22" i="10"/>
  <c r="BC38" i="10"/>
  <c r="BC20" i="11"/>
  <c r="BC36" i="11"/>
  <c r="BC19" i="12"/>
  <c r="BC27" i="10"/>
  <c r="BC25" i="11"/>
  <c r="BC29" i="12"/>
  <c r="BC20" i="12"/>
  <c r="BC24" i="10"/>
  <c r="BC22" i="11"/>
  <c r="BC21" i="10"/>
  <c r="BC37" i="10"/>
  <c r="BC19" i="11"/>
  <c r="BC35" i="11"/>
  <c r="BC38" i="12"/>
  <c r="BC26" i="10"/>
  <c r="BC24" i="11"/>
  <c r="BC40" i="11"/>
  <c r="BC25" i="12"/>
  <c r="BC39" i="12"/>
  <c r="BC31" i="10"/>
  <c r="BC29" i="11"/>
  <c r="BC36" i="12"/>
  <c r="BC40" i="12"/>
  <c r="BC16" i="11"/>
  <c r="BC40" i="10"/>
  <c r="BC38" i="11"/>
  <c r="BC17" i="12"/>
  <c r="BC25" i="10"/>
  <c r="BC23" i="11"/>
  <c r="BC39" i="11"/>
  <c r="BC21" i="12"/>
  <c r="BC35" i="12"/>
  <c r="BC30" i="10"/>
  <c r="BC28" i="11"/>
  <c r="BC31" i="12"/>
  <c r="BC32" i="12"/>
  <c r="BC19" i="10"/>
  <c r="BC35" i="10"/>
  <c r="BC17" i="11"/>
  <c r="BC33" i="11"/>
  <c r="BC30" i="12"/>
  <c r="AU33" i="12"/>
  <c r="AU28" i="12"/>
  <c r="AU16" i="12"/>
  <c r="AU36" i="12"/>
  <c r="AU37" i="12"/>
  <c r="AU23" i="12"/>
  <c r="AU20" i="12"/>
  <c r="AU25" i="12"/>
  <c r="AU19" i="12"/>
  <c r="AU21" i="12"/>
  <c r="AU35" i="12"/>
  <c r="AU18" i="12"/>
  <c r="AU17" i="12"/>
  <c r="AU29" i="12"/>
  <c r="AU24" i="12"/>
  <c r="AU30" i="12"/>
  <c r="AU40" i="12"/>
  <c r="AU32" i="12"/>
  <c r="AU26" i="12"/>
  <c r="AU27" i="12"/>
  <c r="AU38" i="12"/>
  <c r="AU22" i="12"/>
  <c r="AU31" i="12"/>
  <c r="AU34" i="12"/>
  <c r="AU39" i="12"/>
  <c r="AU34" i="11"/>
  <c r="AU32" i="11"/>
  <c r="AU23" i="11"/>
  <c r="AU39" i="11"/>
  <c r="AU38" i="11"/>
  <c r="AU16" i="11"/>
  <c r="AU21" i="11"/>
  <c r="AU20" i="11"/>
  <c r="AU24" i="11"/>
  <c r="AU19" i="11"/>
  <c r="AU22" i="11"/>
  <c r="AU27" i="11"/>
  <c r="AU26" i="11"/>
  <c r="AU31" i="11"/>
  <c r="AU36" i="11"/>
  <c r="AU33" i="11"/>
  <c r="AU25" i="11"/>
  <c r="AU18" i="11"/>
  <c r="AU37" i="11"/>
  <c r="AU40" i="11"/>
  <c r="AU17" i="11"/>
  <c r="AU30" i="11"/>
  <c r="AU28" i="11"/>
  <c r="AU29" i="11"/>
  <c r="AU35" i="11"/>
  <c r="AU30" i="10"/>
  <c r="AU17" i="10"/>
  <c r="AU40" i="10"/>
  <c r="AU36" i="10"/>
  <c r="AU28" i="10"/>
  <c r="AU35" i="10"/>
  <c r="AU32" i="10"/>
  <c r="AU16" i="10"/>
  <c r="AU19" i="10"/>
  <c r="AU23" i="10"/>
  <c r="AU22" i="10"/>
  <c r="AU21" i="10"/>
  <c r="AU39" i="10"/>
  <c r="AU27" i="10"/>
  <c r="AU18" i="10"/>
  <c r="AU34" i="10"/>
  <c r="AU29" i="10"/>
  <c r="AU20" i="10"/>
  <c r="AU24" i="10"/>
  <c r="AU33" i="10"/>
  <c r="AU37" i="10"/>
  <c r="AU26" i="10"/>
  <c r="AU25" i="10"/>
  <c r="AU31" i="10"/>
  <c r="AU38" i="10"/>
  <c r="AU21" i="9"/>
  <c r="AU18" i="9"/>
  <c r="AU29" i="9"/>
  <c r="AU37" i="9"/>
  <c r="AU17" i="9"/>
  <c r="AU38" i="9"/>
  <c r="AU28" i="9"/>
  <c r="AU33" i="9"/>
  <c r="AU20" i="9"/>
  <c r="AU30" i="9"/>
  <c r="AU31" i="9"/>
  <c r="AU36" i="9"/>
  <c r="AU23" i="9"/>
  <c r="AU40" i="9"/>
  <c r="AU39" i="9"/>
  <c r="AU19" i="9"/>
  <c r="AU25" i="9"/>
  <c r="AU26" i="9"/>
  <c r="AU34" i="9"/>
  <c r="AU27" i="9"/>
  <c r="AU32" i="9"/>
  <c r="AU24" i="9"/>
  <c r="AU16" i="9"/>
  <c r="AU35" i="9"/>
  <c r="AU22" i="9"/>
  <c r="AY21" i="9"/>
  <c r="AY18" i="9"/>
  <c r="AY29" i="9"/>
  <c r="AY37" i="9"/>
  <c r="AY17" i="9"/>
  <c r="AY38" i="9"/>
  <c r="AY28" i="9"/>
  <c r="AY33" i="9"/>
  <c r="AY20" i="9"/>
  <c r="AY30" i="9"/>
  <c r="AY31" i="9"/>
  <c r="AY36" i="9"/>
  <c r="AY23" i="9"/>
  <c r="AY40" i="9"/>
  <c r="AY39" i="9"/>
  <c r="AY19" i="9"/>
  <c r="AY25" i="9"/>
  <c r="AY26" i="9"/>
  <c r="AY34" i="9"/>
  <c r="AY27" i="9"/>
  <c r="AY32" i="9"/>
  <c r="AY24" i="9"/>
  <c r="AY35" i="9"/>
  <c r="AY22" i="9"/>
  <c r="AW29" i="9"/>
  <c r="AX31" i="9"/>
  <c r="AX25" i="9"/>
  <c r="AW20" i="9"/>
  <c r="AW36" i="9"/>
  <c r="AX33" i="9"/>
  <c r="AZ20" i="9"/>
  <c r="AZ27" i="9"/>
  <c r="AZ21" i="9"/>
  <c r="AW19" i="9"/>
  <c r="AX30" i="9"/>
  <c r="AZ18" i="9"/>
  <c r="AX22" i="9"/>
  <c r="AX29" i="9"/>
  <c r="AW21" i="9"/>
  <c r="AZ19" i="9"/>
  <c r="AZ34" i="9"/>
  <c r="AW28" i="9"/>
  <c r="AX28" i="9"/>
  <c r="AX35" i="9"/>
  <c r="AZ32" i="9"/>
  <c r="AW35" i="9"/>
  <c r="AW26" i="9"/>
  <c r="AZ23" i="9"/>
  <c r="AZ35" i="9"/>
  <c r="AZ22" i="9"/>
  <c r="AZ31" i="9"/>
  <c r="AZ36" i="9"/>
  <c r="AW37" i="9"/>
  <c r="AZ25" i="9"/>
  <c r="AZ30" i="9"/>
  <c r="AZ33" i="9"/>
  <c r="AW27" i="9"/>
  <c r="AX24" i="9"/>
  <c r="AX32" i="9"/>
  <c r="AW18" i="9"/>
  <c r="AW34" i="9"/>
  <c r="AX27" i="9"/>
  <c r="AZ17" i="9"/>
  <c r="AZ26" i="9"/>
  <c r="AZ38" i="9"/>
  <c r="AZ28" i="9"/>
  <c r="AZ40" i="9"/>
  <c r="AZ24" i="9"/>
  <c r="AZ39" i="9"/>
  <c r="AW23" i="9"/>
  <c r="AW31" i="9"/>
  <c r="AW39" i="9"/>
  <c r="AX36" i="9"/>
  <c r="AX21" i="9"/>
  <c r="AX37" i="9"/>
  <c r="AZ29" i="9"/>
  <c r="AZ37" i="9"/>
  <c r="AW22" i="9"/>
  <c r="AW30" i="9"/>
  <c r="AW38" i="9"/>
  <c r="AX34" i="9"/>
  <c r="AX19" i="9"/>
  <c r="AX39" i="9"/>
  <c r="AW17" i="9"/>
  <c r="AW25" i="9"/>
  <c r="AW33" i="9"/>
  <c r="AX20" i="9"/>
  <c r="AX26" i="9"/>
  <c r="AX17" i="9"/>
  <c r="AX38" i="9"/>
  <c r="AW24" i="9"/>
  <c r="AW32" i="9"/>
  <c r="AW40" i="9"/>
  <c r="AX18" i="9"/>
  <c r="AX23" i="9"/>
  <c r="AX40" i="9"/>
  <c r="AY16" i="9"/>
  <c r="AX16" i="9"/>
  <c r="AW16" i="9"/>
  <c r="AZ16" i="9"/>
  <c r="AY30" i="10"/>
  <c r="AY17" i="10"/>
  <c r="AY40" i="10"/>
  <c r="AY36" i="10"/>
  <c r="AY28" i="10"/>
  <c r="AY35" i="10"/>
  <c r="AY32" i="10"/>
  <c r="AY19" i="10"/>
  <c r="AY23" i="10"/>
  <c r="AY22" i="10"/>
  <c r="AY21" i="10"/>
  <c r="AY39" i="10"/>
  <c r="AY27" i="10"/>
  <c r="AY18" i="10"/>
  <c r="AY34" i="10"/>
  <c r="AY29" i="10"/>
  <c r="AY20" i="10"/>
  <c r="AY24" i="10"/>
  <c r="AY33" i="10"/>
  <c r="AY37" i="10"/>
  <c r="AY26" i="10"/>
  <c r="AY25" i="10"/>
  <c r="AY31" i="10"/>
  <c r="AY38" i="10"/>
  <c r="AZ23" i="10"/>
  <c r="AZ33" i="10"/>
  <c r="AW30" i="10"/>
  <c r="AZ32" i="10"/>
  <c r="AX25" i="10"/>
  <c r="AW21" i="10"/>
  <c r="AW37" i="10"/>
  <c r="AZ18" i="10"/>
  <c r="AX39" i="10"/>
  <c r="AZ26" i="10"/>
  <c r="AZ24" i="10"/>
  <c r="AW36" i="10"/>
  <c r="AW39" i="10"/>
  <c r="AX37" i="10"/>
  <c r="AW27" i="10"/>
  <c r="AX36" i="10"/>
  <c r="AZ38" i="10"/>
  <c r="AW25" i="10"/>
  <c r="AX17" i="10"/>
  <c r="AX26" i="10"/>
  <c r="AX24" i="10"/>
  <c r="AX38" i="10"/>
  <c r="AZ36" i="10"/>
  <c r="AX22" i="10"/>
  <c r="AZ20" i="10"/>
  <c r="AZ28" i="10"/>
  <c r="AW38" i="10"/>
  <c r="AZ19" i="10"/>
  <c r="AZ31" i="10"/>
  <c r="AZ27" i="10"/>
  <c r="AW28" i="10"/>
  <c r="AZ29" i="10"/>
  <c r="AW31" i="10"/>
  <c r="AX23" i="10"/>
  <c r="AX40" i="10"/>
  <c r="AZ17" i="10"/>
  <c r="AW22" i="10"/>
  <c r="AX35" i="10"/>
  <c r="AZ22" i="10"/>
  <c r="AZ40" i="10"/>
  <c r="AZ30" i="10"/>
  <c r="AZ34" i="10"/>
  <c r="AW24" i="10"/>
  <c r="AW32" i="10"/>
  <c r="AW40" i="10"/>
  <c r="AZ37" i="10"/>
  <c r="AW19" i="10"/>
  <c r="AW35" i="10"/>
  <c r="AX19" i="10"/>
  <c r="AX29" i="10"/>
  <c r="AX30" i="10"/>
  <c r="AW23" i="10"/>
  <c r="AZ21" i="10"/>
  <c r="AW18" i="10"/>
  <c r="AX18" i="10"/>
  <c r="AX27" i="10"/>
  <c r="AX28" i="10"/>
  <c r="AZ35" i="10"/>
  <c r="AW26" i="10"/>
  <c r="AW34" i="10"/>
  <c r="AZ25" i="10"/>
  <c r="AZ39" i="10"/>
  <c r="AW29" i="10"/>
  <c r="AX21" i="10"/>
  <c r="AX33" i="10"/>
  <c r="AX34" i="10"/>
  <c r="AW17" i="10"/>
  <c r="AW33" i="10"/>
  <c r="AW20" i="10"/>
  <c r="AX20" i="10"/>
  <c r="AX31" i="10"/>
  <c r="AX32" i="10"/>
  <c r="AY16" i="10"/>
  <c r="AW16" i="10"/>
  <c r="AZ16" i="10"/>
  <c r="AX16" i="10"/>
  <c r="AY34" i="11"/>
  <c r="AY32" i="11"/>
  <c r="AY23" i="11"/>
  <c r="AY39" i="11"/>
  <c r="AY38" i="11"/>
  <c r="AY21" i="11"/>
  <c r="AY20" i="11"/>
  <c r="AY24" i="11"/>
  <c r="AY19" i="11"/>
  <c r="AY22" i="11"/>
  <c r="AY27" i="11"/>
  <c r="AY26" i="11"/>
  <c r="AY31" i="11"/>
  <c r="AY36" i="11"/>
  <c r="AY33" i="11"/>
  <c r="AY25" i="11"/>
  <c r="AY18" i="11"/>
  <c r="AY37" i="11"/>
  <c r="AY40" i="11"/>
  <c r="AY17" i="11"/>
  <c r="AY30" i="11"/>
  <c r="AY28" i="11"/>
  <c r="AY29" i="11"/>
  <c r="AY35" i="11"/>
  <c r="AZ40" i="11"/>
  <c r="AZ25" i="11"/>
  <c r="AX29" i="11"/>
  <c r="AW31" i="11"/>
  <c r="AX35" i="11"/>
  <c r="AX22" i="11"/>
  <c r="AW19" i="11"/>
  <c r="AW35" i="11"/>
  <c r="AX32" i="11"/>
  <c r="AW22" i="11"/>
  <c r="AW38" i="11"/>
  <c r="AX20" i="11"/>
  <c r="AZ20" i="11"/>
  <c r="AZ26" i="11"/>
  <c r="AZ17" i="11"/>
  <c r="AZ24" i="11"/>
  <c r="AZ34" i="11"/>
  <c r="AX23" i="11"/>
  <c r="AW28" i="11"/>
  <c r="AZ31" i="11"/>
  <c r="AW23" i="11"/>
  <c r="AW39" i="11"/>
  <c r="AX24" i="11"/>
  <c r="AW30" i="11"/>
  <c r="AX33" i="11"/>
  <c r="AX18" i="11"/>
  <c r="AZ23" i="11"/>
  <c r="AW18" i="11"/>
  <c r="AW37" i="11"/>
  <c r="AX38" i="11"/>
  <c r="AZ30" i="11"/>
  <c r="AZ33" i="11"/>
  <c r="AZ27" i="11"/>
  <c r="AZ22" i="11"/>
  <c r="AW20" i="11"/>
  <c r="AZ36" i="11"/>
  <c r="AZ38" i="11"/>
  <c r="AZ21" i="11"/>
  <c r="AW26" i="11"/>
  <c r="AW29" i="11"/>
  <c r="AX40" i="11"/>
  <c r="AW33" i="11"/>
  <c r="AW36" i="11"/>
  <c r="AX34" i="11"/>
  <c r="AZ18" i="11"/>
  <c r="AZ39" i="11"/>
  <c r="AZ19" i="11"/>
  <c r="AZ28" i="11"/>
  <c r="AW17" i="11"/>
  <c r="AW25" i="11"/>
  <c r="AX17" i="11"/>
  <c r="AX39" i="11"/>
  <c r="AZ32" i="11"/>
  <c r="AW21" i="11"/>
  <c r="AX31" i="11"/>
  <c r="AX30" i="11"/>
  <c r="AW24" i="11"/>
  <c r="AW32" i="11"/>
  <c r="AW40" i="11"/>
  <c r="AX37" i="11"/>
  <c r="AX26" i="11"/>
  <c r="AX28" i="11"/>
  <c r="AZ29" i="11"/>
  <c r="AZ37" i="11"/>
  <c r="AW27" i="11"/>
  <c r="AX25" i="11"/>
  <c r="AX36" i="11"/>
  <c r="AZ35" i="11"/>
  <c r="AW34" i="11"/>
  <c r="AX21" i="11"/>
  <c r="AX19" i="11"/>
  <c r="AX27" i="11"/>
  <c r="AY16" i="11"/>
  <c r="AZ16" i="11"/>
  <c r="AW16" i="11"/>
  <c r="AX16" i="11"/>
  <c r="AY33" i="12"/>
  <c r="AY28" i="12"/>
  <c r="AY36" i="12"/>
  <c r="AY37" i="12"/>
  <c r="AY23" i="12"/>
  <c r="AY20" i="12"/>
  <c r="AY25" i="12"/>
  <c r="AY19" i="12"/>
  <c r="AY21" i="12"/>
  <c r="AY35" i="12"/>
  <c r="AY18" i="12"/>
  <c r="AY17" i="12"/>
  <c r="AY29" i="12"/>
  <c r="AY24" i="12"/>
  <c r="AY30" i="12"/>
  <c r="AY40" i="12"/>
  <c r="AY32" i="12"/>
  <c r="AY26" i="12"/>
  <c r="AY27" i="12"/>
  <c r="AY38" i="12"/>
  <c r="AY22" i="12"/>
  <c r="AY31" i="12"/>
  <c r="AY34" i="12"/>
  <c r="AY39" i="12"/>
  <c r="AZ35" i="12"/>
  <c r="AZ19" i="12"/>
  <c r="AX32" i="12"/>
  <c r="AW21" i="12"/>
  <c r="AX28" i="12"/>
  <c r="AX20" i="12"/>
  <c r="AW26" i="12"/>
  <c r="AW20" i="12"/>
  <c r="AX37" i="12"/>
  <c r="AW18" i="12"/>
  <c r="AX34" i="12"/>
  <c r="AW32" i="12"/>
  <c r="AZ39" i="12"/>
  <c r="AX36" i="12"/>
  <c r="AW35" i="12"/>
  <c r="AX24" i="12"/>
  <c r="AZ34" i="12"/>
  <c r="AW29" i="12"/>
  <c r="AZ28" i="12"/>
  <c r="AX39" i="12"/>
  <c r="AW38" i="12"/>
  <c r="AZ37" i="12"/>
  <c r="AX40" i="12"/>
  <c r="AW34" i="12"/>
  <c r="AZ31" i="12"/>
  <c r="AX38" i="12"/>
  <c r="AZ32" i="12"/>
  <c r="AZ36" i="12"/>
  <c r="AX33" i="12"/>
  <c r="AX35" i="12"/>
  <c r="AW31" i="12"/>
  <c r="AW23" i="12"/>
  <c r="AZ33" i="12"/>
  <c r="AZ21" i="12"/>
  <c r="AZ22" i="12"/>
  <c r="AZ30" i="12"/>
  <c r="AZ24" i="12"/>
  <c r="AZ23" i="12"/>
  <c r="AX21" i="12"/>
  <c r="AX22" i="12"/>
  <c r="AX23" i="12"/>
  <c r="AZ18" i="12"/>
  <c r="AW17" i="12"/>
  <c r="AW27" i="12"/>
  <c r="AZ29" i="12"/>
  <c r="AW37" i="12"/>
  <c r="AW28" i="12"/>
  <c r="AZ17" i="12"/>
  <c r="AX17" i="12"/>
  <c r="AX18" i="12"/>
  <c r="AX19" i="12"/>
  <c r="AZ40" i="12"/>
  <c r="AW19" i="12"/>
  <c r="AW36" i="12"/>
  <c r="AW40" i="12"/>
  <c r="AZ27" i="12"/>
  <c r="AX29" i="12"/>
  <c r="AX30" i="12"/>
  <c r="AX31" i="12"/>
  <c r="AZ25" i="12"/>
  <c r="AW33" i="12"/>
  <c r="AW24" i="12"/>
  <c r="AW22" i="12"/>
  <c r="AZ26" i="12"/>
  <c r="AX25" i="12"/>
  <c r="AX26" i="12"/>
  <c r="AX27" i="12"/>
  <c r="AZ20" i="12"/>
  <c r="AW25" i="12"/>
  <c r="AW39" i="12"/>
  <c r="AZ38" i="12"/>
  <c r="AW30" i="12"/>
  <c r="AZ16" i="12"/>
  <c r="AY16" i="12"/>
  <c r="AX16" i="12"/>
  <c r="AW16" i="12"/>
  <c r="BN32" i="7"/>
  <c r="AS36" i="9"/>
  <c r="BN19" i="12"/>
  <c r="AS27" i="11"/>
  <c r="AS23" i="11"/>
  <c r="AS37" i="9"/>
  <c r="AS40" i="9"/>
  <c r="AF18" i="9"/>
  <c r="AS39" i="10"/>
  <c r="AS36" i="10"/>
  <c r="AF16" i="10"/>
  <c r="AS39" i="9"/>
  <c r="AS38" i="9"/>
  <c r="AS38" i="10"/>
  <c r="AF21" i="10"/>
  <c r="AS40" i="11"/>
  <c r="AS24" i="12"/>
  <c r="AD25" i="12"/>
  <c r="AE25" i="12" s="1"/>
  <c r="O36" i="4"/>
  <c r="AS34" i="9"/>
  <c r="AS26" i="9"/>
  <c r="AS19" i="9"/>
  <c r="AS40" i="10"/>
  <c r="AF36" i="10"/>
  <c r="AS36" i="11"/>
  <c r="BN34" i="11"/>
  <c r="BN29" i="11"/>
  <c r="AS33" i="11"/>
  <c r="AF16" i="11"/>
  <c r="AS40" i="12"/>
  <c r="AS30" i="12"/>
  <c r="AS34" i="12"/>
  <c r="AF35" i="10"/>
  <c r="AS35" i="9"/>
  <c r="AS22" i="9"/>
  <c r="AD34" i="10"/>
  <c r="AE34" i="10" s="1"/>
  <c r="AS19" i="11"/>
  <c r="AS36" i="12"/>
  <c r="AS16" i="12"/>
  <c r="AS32" i="9"/>
  <c r="AF40" i="9"/>
  <c r="AS25" i="12"/>
  <c r="AS29" i="10"/>
  <c r="AS26" i="12"/>
  <c r="AS26" i="10"/>
  <c r="AS35" i="8"/>
  <c r="AS28" i="12"/>
  <c r="AS20" i="10"/>
  <c r="AS35" i="7"/>
  <c r="AS27" i="10"/>
  <c r="AS29" i="12"/>
  <c r="AS33" i="10"/>
  <c r="AS32" i="8"/>
  <c r="AS28" i="4"/>
  <c r="AS18" i="12"/>
  <c r="AS32" i="12"/>
  <c r="AS30" i="11"/>
  <c r="AS22" i="12"/>
  <c r="AS37" i="11"/>
  <c r="AS17" i="11"/>
  <c r="AS31" i="10"/>
  <c r="AS28" i="11"/>
  <c r="AS22" i="10"/>
  <c r="AS21" i="12"/>
  <c r="AS38" i="6"/>
  <c r="AS28" i="10"/>
  <c r="AS36" i="7"/>
  <c r="AS20" i="11"/>
  <c r="AS19" i="12"/>
  <c r="AS21" i="11"/>
  <c r="AS23" i="10"/>
  <c r="AS24" i="11"/>
  <c r="AS16" i="11"/>
  <c r="BA29" i="9"/>
  <c r="BB31" i="9"/>
  <c r="BB25" i="9"/>
  <c r="BA20" i="9"/>
  <c r="BA36" i="9"/>
  <c r="BB33" i="9"/>
  <c r="BA19" i="9"/>
  <c r="BB30" i="9"/>
  <c r="BB22" i="9"/>
  <c r="BB29" i="9"/>
  <c r="BA21" i="9"/>
  <c r="BA28" i="9"/>
  <c r="BB28" i="9"/>
  <c r="BB35" i="9"/>
  <c r="BA35" i="9"/>
  <c r="BA26" i="9"/>
  <c r="BA37" i="9"/>
  <c r="BA27" i="9"/>
  <c r="BB24" i="9"/>
  <c r="BB32" i="9"/>
  <c r="BA18" i="9"/>
  <c r="BA34" i="9"/>
  <c r="BB27" i="9"/>
  <c r="BA23" i="9"/>
  <c r="BA31" i="9"/>
  <c r="BA39" i="9"/>
  <c r="BB36" i="9"/>
  <c r="BB21" i="9"/>
  <c r="BB37" i="9"/>
  <c r="BA22" i="9"/>
  <c r="BA30" i="9"/>
  <c r="BA38" i="9"/>
  <c r="BB34" i="9"/>
  <c r="BB19" i="9"/>
  <c r="BB39" i="9"/>
  <c r="BA17" i="9"/>
  <c r="BA25" i="9"/>
  <c r="BA33" i="9"/>
  <c r="BB20" i="9"/>
  <c r="BB26" i="9"/>
  <c r="BB17" i="9"/>
  <c r="BB38" i="9"/>
  <c r="BA24" i="9"/>
  <c r="BA32" i="9"/>
  <c r="BA40" i="9"/>
  <c r="BB18" i="9"/>
  <c r="BB23" i="9"/>
  <c r="BB40" i="9"/>
  <c r="BB16" i="9"/>
  <c r="BA16" i="9"/>
  <c r="BA30" i="10"/>
  <c r="BB25" i="10"/>
  <c r="BA21" i="10"/>
  <c r="BA37" i="10"/>
  <c r="BB39" i="10"/>
  <c r="BA36" i="10"/>
  <c r="BA39" i="10"/>
  <c r="BB37" i="10"/>
  <c r="BA27" i="10"/>
  <c r="BB36" i="10"/>
  <c r="BA25" i="10"/>
  <c r="BB17" i="10"/>
  <c r="BB26" i="10"/>
  <c r="BB24" i="10"/>
  <c r="BB38" i="10"/>
  <c r="BB22" i="10"/>
  <c r="BA38" i="10"/>
  <c r="BA28" i="10"/>
  <c r="BA31" i="10"/>
  <c r="BB23" i="10"/>
  <c r="BB40" i="10"/>
  <c r="BA22" i="10"/>
  <c r="BB35" i="10"/>
  <c r="BA24" i="10"/>
  <c r="BA32" i="10"/>
  <c r="BA40" i="10"/>
  <c r="BA19" i="10"/>
  <c r="BA35" i="10"/>
  <c r="BB19" i="10"/>
  <c r="BB29" i="10"/>
  <c r="BB30" i="10"/>
  <c r="BA23" i="10"/>
  <c r="BA18" i="10"/>
  <c r="BB18" i="10"/>
  <c r="BB27" i="10"/>
  <c r="BB28" i="10"/>
  <c r="BA26" i="10"/>
  <c r="BA34" i="10"/>
  <c r="BA29" i="10"/>
  <c r="BB21" i="10"/>
  <c r="BB33" i="10"/>
  <c r="BB34" i="10"/>
  <c r="BA17" i="10"/>
  <c r="BA33" i="10"/>
  <c r="BA20" i="10"/>
  <c r="BB20" i="10"/>
  <c r="BB31" i="10"/>
  <c r="BB32" i="10"/>
  <c r="BA16" i="10"/>
  <c r="BB16" i="10"/>
  <c r="BN29" i="10"/>
  <c r="BB29" i="11"/>
  <c r="BA31" i="11"/>
  <c r="BB35" i="11"/>
  <c r="BB22" i="11"/>
  <c r="BA19" i="11"/>
  <c r="BA35" i="11"/>
  <c r="BB32" i="11"/>
  <c r="BA22" i="11"/>
  <c r="BA38" i="11"/>
  <c r="BB20" i="11"/>
  <c r="BB23" i="11"/>
  <c r="BA28" i="11"/>
  <c r="BA23" i="11"/>
  <c r="BA39" i="11"/>
  <c r="BB24" i="11"/>
  <c r="BA30" i="11"/>
  <c r="BB33" i="11"/>
  <c r="BB18" i="11"/>
  <c r="BA18" i="11"/>
  <c r="BA37" i="11"/>
  <c r="BB38" i="11"/>
  <c r="BA20" i="11"/>
  <c r="BA26" i="11"/>
  <c r="BA29" i="11"/>
  <c r="BB40" i="11"/>
  <c r="BA33" i="11"/>
  <c r="BA36" i="11"/>
  <c r="BB34" i="11"/>
  <c r="BA17" i="11"/>
  <c r="BA25" i="11"/>
  <c r="BB17" i="11"/>
  <c r="BB39" i="11"/>
  <c r="BA21" i="11"/>
  <c r="BB31" i="11"/>
  <c r="BB30" i="11"/>
  <c r="BA24" i="11"/>
  <c r="BA32" i="11"/>
  <c r="BA40" i="11"/>
  <c r="BB37" i="11"/>
  <c r="BB26" i="11"/>
  <c r="BB28" i="11"/>
  <c r="BA27" i="11"/>
  <c r="BB25" i="11"/>
  <c r="BB36" i="11"/>
  <c r="BA34" i="11"/>
  <c r="BB21" i="11"/>
  <c r="BB19" i="11"/>
  <c r="BB27" i="11"/>
  <c r="BA16" i="11"/>
  <c r="BB16" i="11"/>
  <c r="O28" i="11"/>
  <c r="BB32" i="12"/>
  <c r="BA21" i="12"/>
  <c r="BB28" i="12"/>
  <c r="BB20" i="12"/>
  <c r="BA26" i="12"/>
  <c r="BA20" i="12"/>
  <c r="BB37" i="12"/>
  <c r="BA18" i="12"/>
  <c r="BB34" i="12"/>
  <c r="BA32" i="12"/>
  <c r="BB36" i="12"/>
  <c r="BA35" i="12"/>
  <c r="BB24" i="12"/>
  <c r="BA29" i="12"/>
  <c r="BB39" i="12"/>
  <c r="BA38" i="12"/>
  <c r="BB40" i="12"/>
  <c r="BA34" i="12"/>
  <c r="BB38" i="12"/>
  <c r="BB33" i="12"/>
  <c r="BB35" i="12"/>
  <c r="BA31" i="12"/>
  <c r="BA23" i="12"/>
  <c r="BB21" i="12"/>
  <c r="BB22" i="12"/>
  <c r="BB23" i="12"/>
  <c r="BA17" i="12"/>
  <c r="BA27" i="12"/>
  <c r="BA37" i="12"/>
  <c r="BA28" i="12"/>
  <c r="BB17" i="12"/>
  <c r="BB18" i="12"/>
  <c r="BB19" i="12"/>
  <c r="BA19" i="12"/>
  <c r="BA36" i="12"/>
  <c r="BA40" i="12"/>
  <c r="BB29" i="12"/>
  <c r="BB30" i="12"/>
  <c r="BB31" i="12"/>
  <c r="BA33" i="12"/>
  <c r="BA24" i="12"/>
  <c r="BA22" i="12"/>
  <c r="BB25" i="12"/>
  <c r="BB26" i="12"/>
  <c r="BB27" i="12"/>
  <c r="BA25" i="12"/>
  <c r="BA39" i="12"/>
  <c r="BA30" i="12"/>
  <c r="BA16" i="12"/>
  <c r="BB16" i="12"/>
  <c r="BN29" i="12"/>
  <c r="O30" i="9"/>
  <c r="O32" i="7"/>
  <c r="O23" i="9"/>
  <c r="BN17" i="9"/>
  <c r="O33" i="9"/>
  <c r="O29" i="9"/>
  <c r="BN31" i="9"/>
  <c r="BN18" i="11"/>
  <c r="O17" i="11"/>
  <c r="BN26" i="11"/>
  <c r="O39" i="11"/>
  <c r="BN35" i="11"/>
  <c r="BN31" i="12"/>
  <c r="BN20" i="12"/>
  <c r="BN17" i="12"/>
  <c r="BN34" i="10"/>
  <c r="BN36" i="4"/>
  <c r="BN34" i="7"/>
  <c r="O25" i="12"/>
  <c r="O36" i="8"/>
  <c r="O20" i="9"/>
  <c r="O32" i="11"/>
  <c r="BN22" i="11"/>
  <c r="O37" i="12"/>
  <c r="O34" i="11"/>
  <c r="BN35" i="10"/>
  <c r="O21" i="9"/>
  <c r="BN35" i="12"/>
  <c r="BN34" i="8"/>
  <c r="O24" i="9"/>
  <c r="O16" i="9"/>
  <c r="O25" i="10"/>
  <c r="BN16" i="10"/>
  <c r="O32" i="10"/>
  <c r="O21" i="11"/>
  <c r="O31" i="11"/>
  <c r="O38" i="12"/>
  <c r="O39" i="12"/>
  <c r="BN27" i="12"/>
  <c r="BN23" i="12"/>
  <c r="O25" i="9"/>
  <c r="O28" i="9"/>
  <c r="BN37" i="4"/>
  <c r="O27" i="9"/>
  <c r="O37" i="10"/>
  <c r="O24" i="10"/>
  <c r="O18" i="10"/>
  <c r="O30" i="10"/>
  <c r="O29" i="11"/>
  <c r="BN38" i="11"/>
  <c r="O33" i="12"/>
  <c r="BN18" i="9"/>
  <c r="BN25" i="11"/>
  <c r="O19" i="10"/>
  <c r="O33" i="10"/>
  <c r="AF35" i="9"/>
  <c r="AF39" i="9"/>
  <c r="O37" i="6"/>
  <c r="O32" i="8"/>
  <c r="O34" i="8"/>
  <c r="BN35" i="8"/>
  <c r="AD30" i="12"/>
  <c r="AE30" i="12" s="1"/>
  <c r="BN32" i="9"/>
  <c r="BN20" i="11"/>
  <c r="O24" i="11"/>
  <c r="BN34" i="12"/>
  <c r="BN21" i="12"/>
  <c r="O26" i="12"/>
  <c r="BN30" i="9"/>
  <c r="BN36" i="7"/>
  <c r="BN39" i="12"/>
  <c r="O18" i="12"/>
  <c r="BN22" i="12"/>
  <c r="O37" i="4"/>
  <c r="AF37" i="11"/>
  <c r="BJ38" i="6"/>
  <c r="BK32" i="8"/>
  <c r="BI27" i="4"/>
  <c r="BG35" i="4"/>
  <c r="BM35" i="7"/>
  <c r="BK34" i="7"/>
  <c r="BL34" i="8"/>
  <c r="BF27" i="4"/>
  <c r="BI38" i="6"/>
  <c r="BF37" i="7"/>
  <c r="BK35" i="8"/>
  <c r="BK34" i="8"/>
  <c r="M17" i="10"/>
  <c r="AS17" i="10" s="1"/>
  <c r="BN28" i="4"/>
  <c r="O34" i="7"/>
  <c r="O34" i="10"/>
  <c r="BN19" i="10"/>
  <c r="O28" i="10"/>
  <c r="BN30" i="11"/>
  <c r="AD17" i="10"/>
  <c r="AE17" i="10" s="1"/>
  <c r="AF27" i="11"/>
  <c r="AF25" i="11"/>
  <c r="AF21" i="12"/>
  <c r="AF19" i="12"/>
  <c r="BN36" i="8"/>
  <c r="AD37" i="11"/>
  <c r="AE37" i="11" s="1"/>
  <c r="O38" i="6"/>
  <c r="AF32" i="11"/>
  <c r="O26" i="11"/>
  <c r="AD36" i="12"/>
  <c r="AE36" i="12" s="1"/>
  <c r="AD27" i="12"/>
  <c r="AE27" i="12" s="1"/>
  <c r="BN21" i="9"/>
  <c r="O20" i="10"/>
  <c r="BN27" i="10"/>
  <c r="BN25" i="9"/>
  <c r="AF25" i="10"/>
  <c r="BN26" i="10"/>
  <c r="AF31" i="11"/>
  <c r="AD16" i="11"/>
  <c r="AE16" i="11" s="1"/>
  <c r="BN16" i="11"/>
  <c r="O32" i="12"/>
  <c r="O25" i="11"/>
  <c r="BN35" i="7"/>
  <c r="BN29" i="9"/>
  <c r="O18" i="9"/>
  <c r="O35" i="10"/>
  <c r="O23" i="10"/>
  <c r="BN32" i="10"/>
  <c r="AD34" i="11"/>
  <c r="AE34" i="11" s="1"/>
  <c r="BN28" i="12"/>
  <c r="O23" i="12"/>
  <c r="AD31" i="12"/>
  <c r="AE31" i="12" s="1"/>
  <c r="AF28" i="12"/>
  <c r="AF17" i="12"/>
  <c r="AD40" i="10"/>
  <c r="AE40" i="10" s="1"/>
  <c r="AD29" i="9"/>
  <c r="AE29" i="9" s="1"/>
  <c r="AD24" i="9"/>
  <c r="AE24" i="9" s="1"/>
  <c r="AF23" i="9"/>
  <c r="AF34" i="9"/>
  <c r="AF38" i="9"/>
  <c r="AD36" i="9"/>
  <c r="AE36" i="9" s="1"/>
  <c r="BN30" i="10"/>
  <c r="O31" i="10"/>
  <c r="AF21" i="11"/>
  <c r="AF24" i="11"/>
  <c r="O37" i="11"/>
  <c r="AD19" i="12"/>
  <c r="AE19" i="12" s="1"/>
  <c r="AF18" i="12"/>
  <c r="AF20" i="10"/>
  <c r="AD29" i="11"/>
  <c r="AE29" i="11" s="1"/>
  <c r="O35" i="12"/>
  <c r="AF19" i="10"/>
  <c r="O17" i="9"/>
  <c r="AD18" i="9"/>
  <c r="AE18" i="9" s="1"/>
  <c r="AD35" i="9"/>
  <c r="AE35" i="9" s="1"/>
  <c r="AD38" i="10"/>
  <c r="AE38" i="10" s="1"/>
  <c r="O17" i="12"/>
  <c r="BN39" i="11"/>
  <c r="O38" i="11"/>
  <c r="BN33" i="11"/>
  <c r="O31" i="9"/>
  <c r="BN33" i="9"/>
  <c r="BN31" i="11"/>
  <c r="O18" i="11"/>
  <c r="BN38" i="12"/>
  <c r="O35" i="11"/>
  <c r="BN16" i="9"/>
  <c r="BN18" i="10"/>
  <c r="O16" i="10"/>
  <c r="BN32" i="11"/>
  <c r="O31" i="12"/>
  <c r="AD32" i="12"/>
  <c r="AE32" i="12" s="1"/>
  <c r="AD34" i="12"/>
  <c r="AE34" i="12" s="1"/>
  <c r="BN33" i="12"/>
  <c r="AD37" i="12"/>
  <c r="AE37" i="12" s="1"/>
  <c r="AD33" i="12"/>
  <c r="AE33" i="12" s="1"/>
  <c r="AD17" i="12"/>
  <c r="AE17" i="12" s="1"/>
  <c r="AD21" i="12"/>
  <c r="AE21" i="12" s="1"/>
  <c r="AF39" i="12"/>
  <c r="AF22" i="12"/>
  <c r="AF23" i="12"/>
  <c r="AD18" i="12"/>
  <c r="AE18" i="12" s="1"/>
  <c r="AD35" i="12"/>
  <c r="AE35" i="12" s="1"/>
  <c r="AF29" i="12"/>
  <c r="AF31" i="12"/>
  <c r="AF16" i="12"/>
  <c r="AD16" i="12"/>
  <c r="AE16" i="12" s="1"/>
  <c r="O16" i="12"/>
  <c r="BN16" i="12"/>
  <c r="AF24" i="12"/>
  <c r="AD23" i="12"/>
  <c r="AE23" i="12" s="1"/>
  <c r="AF32" i="12"/>
  <c r="AF33" i="12"/>
  <c r="AD22" i="12"/>
  <c r="AE22" i="12" s="1"/>
  <c r="AD39" i="12"/>
  <c r="AE39" i="12" s="1"/>
  <c r="AD24" i="12"/>
  <c r="AE24" i="12" s="1"/>
  <c r="AF26" i="12"/>
  <c r="AF25" i="12"/>
  <c r="AF34" i="12"/>
  <c r="AD28" i="12"/>
  <c r="AE28" i="12" s="1"/>
  <c r="AF38" i="12"/>
  <c r="AF36" i="12"/>
  <c r="O20" i="12"/>
  <c r="O24" i="12"/>
  <c r="BN24" i="12"/>
  <c r="AD29" i="12"/>
  <c r="AE29" i="12" s="1"/>
  <c r="AF40" i="12"/>
  <c r="O40" i="12"/>
  <c r="BN40" i="12"/>
  <c r="O30" i="12"/>
  <c r="BN30" i="12"/>
  <c r="BN37" i="12"/>
  <c r="O36" i="12"/>
  <c r="BN36" i="12"/>
  <c r="AF20" i="12"/>
  <c r="AD20" i="12"/>
  <c r="AE20" i="12" s="1"/>
  <c r="AF35" i="12"/>
  <c r="AD26" i="12"/>
  <c r="AE26" i="12" s="1"/>
  <c r="AF30" i="12"/>
  <c r="AF27" i="12"/>
  <c r="AD38" i="12"/>
  <c r="AE38" i="12" s="1"/>
  <c r="AF37" i="12"/>
  <c r="AF39" i="11"/>
  <c r="AD24" i="11"/>
  <c r="AE24" i="11" s="1"/>
  <c r="AF17" i="11"/>
  <c r="AF20" i="11"/>
  <c r="AD25" i="11"/>
  <c r="AE25" i="11" s="1"/>
  <c r="AD21" i="11"/>
  <c r="AE21" i="11" s="1"/>
  <c r="AD27" i="11"/>
  <c r="AE27" i="11" s="1"/>
  <c r="AF38" i="11"/>
  <c r="AD31" i="11"/>
  <c r="AE31" i="11" s="1"/>
  <c r="AF40" i="11"/>
  <c r="AD20" i="11"/>
  <c r="AE20" i="11" s="1"/>
  <c r="AF29" i="11"/>
  <c r="BN27" i="11"/>
  <c r="O27" i="11"/>
  <c r="O22" i="11"/>
  <c r="O40" i="11"/>
  <c r="BN40" i="11"/>
  <c r="AF19" i="11"/>
  <c r="AD19" i="11"/>
  <c r="AE19" i="11" s="1"/>
  <c r="AF33" i="11"/>
  <c r="AD33" i="11"/>
  <c r="AE33" i="11" s="1"/>
  <c r="AF22" i="11"/>
  <c r="AD22" i="11"/>
  <c r="AE22" i="11" s="1"/>
  <c r="AF30" i="11"/>
  <c r="AD30" i="11"/>
  <c r="AE30" i="11" s="1"/>
  <c r="AD17" i="11"/>
  <c r="AE17" i="11" s="1"/>
  <c r="AD32" i="11"/>
  <c r="AE32" i="11" s="1"/>
  <c r="AF34" i="11"/>
  <c r="AF35" i="11"/>
  <c r="AF36" i="11"/>
  <c r="AF18" i="11"/>
  <c r="AD18" i="11"/>
  <c r="AE18" i="11" s="1"/>
  <c r="O33" i="11"/>
  <c r="O19" i="11"/>
  <c r="BN19" i="11"/>
  <c r="AD40" i="11"/>
  <c r="AE40" i="11" s="1"/>
  <c r="O23" i="11"/>
  <c r="BN23" i="11"/>
  <c r="BN36" i="11"/>
  <c r="O36" i="11"/>
  <c r="AD28" i="11"/>
  <c r="AE28" i="11" s="1"/>
  <c r="AF28" i="11"/>
  <c r="AF26" i="11"/>
  <c r="AD26" i="11"/>
  <c r="AE26" i="11" s="1"/>
  <c r="AF23" i="11"/>
  <c r="AD23" i="11"/>
  <c r="AE23" i="11" s="1"/>
  <c r="AD36" i="11"/>
  <c r="AE36" i="11" s="1"/>
  <c r="AD35" i="11"/>
  <c r="AE35" i="11" s="1"/>
  <c r="AD39" i="11"/>
  <c r="AE39" i="11" s="1"/>
  <c r="O15" i="11"/>
  <c r="AD33" i="10"/>
  <c r="AE33" i="10" s="1"/>
  <c r="AD22" i="10"/>
  <c r="AE22" i="10" s="1"/>
  <c r="BN24" i="10"/>
  <c r="AD30" i="10"/>
  <c r="AE30" i="10" s="1"/>
  <c r="AF18" i="10"/>
  <c r="AF26" i="10"/>
  <c r="AD37" i="10"/>
  <c r="AE37" i="10" s="1"/>
  <c r="AD26" i="10"/>
  <c r="AE26" i="10" s="1"/>
  <c r="AD19" i="10"/>
  <c r="AE19" i="10" s="1"/>
  <c r="AD16" i="10"/>
  <c r="AE16" i="10" s="1"/>
  <c r="AF29" i="10"/>
  <c r="AD31" i="10"/>
  <c r="AE31" i="10" s="1"/>
  <c r="AD29" i="10"/>
  <c r="AE29" i="10" s="1"/>
  <c r="AF39" i="10"/>
  <c r="AD25" i="10"/>
  <c r="AE25" i="10" s="1"/>
  <c r="AF24" i="10"/>
  <c r="AF40" i="10"/>
  <c r="AF17" i="10"/>
  <c r="AF32" i="10"/>
  <c r="BN40" i="10"/>
  <c r="O40" i="10"/>
  <c r="O36" i="10"/>
  <c r="BN36" i="10"/>
  <c r="AD20" i="10"/>
  <c r="AE20" i="10" s="1"/>
  <c r="AD18" i="10"/>
  <c r="AE18" i="10" s="1"/>
  <c r="AD24" i="10"/>
  <c r="AE24" i="10" s="1"/>
  <c r="AF27" i="10"/>
  <c r="AF33" i="10"/>
  <c r="AD27" i="10"/>
  <c r="AE27" i="10" s="1"/>
  <c r="AD39" i="10"/>
  <c r="AE39" i="10" s="1"/>
  <c r="AF37" i="10"/>
  <c r="AF28" i="10"/>
  <c r="AF23" i="10"/>
  <c r="BN38" i="10"/>
  <c r="O38" i="10"/>
  <c r="BN37" i="10"/>
  <c r="O39" i="10"/>
  <c r="BN39" i="10"/>
  <c r="AF30" i="10"/>
  <c r="AD35" i="10"/>
  <c r="AE35" i="10" s="1"/>
  <c r="AD32" i="10"/>
  <c r="AE32" i="10" s="1"/>
  <c r="AF34" i="10"/>
  <c r="AF38" i="10"/>
  <c r="AD21" i="10"/>
  <c r="AE21" i="10" s="1"/>
  <c r="AF31" i="10"/>
  <c r="AD36" i="10"/>
  <c r="AE36" i="10" s="1"/>
  <c r="O21" i="10"/>
  <c r="BN21" i="10"/>
  <c r="AF22" i="10"/>
  <c r="BN25" i="10"/>
  <c r="BN22" i="10"/>
  <c r="BN23" i="9"/>
  <c r="AD33" i="9"/>
  <c r="AE33" i="9" s="1"/>
  <c r="AD27" i="9"/>
  <c r="AE27" i="9" s="1"/>
  <c r="BN20" i="9"/>
  <c r="AD20" i="9"/>
  <c r="AE20" i="9" s="1"/>
  <c r="AD39" i="9"/>
  <c r="AE39" i="9" s="1"/>
  <c r="AD23" i="9"/>
  <c r="AE23" i="9" s="1"/>
  <c r="AF25" i="9"/>
  <c r="AF30" i="9"/>
  <c r="AD37" i="9"/>
  <c r="AE37" i="9" s="1"/>
  <c r="AF22" i="9"/>
  <c r="AD26" i="9"/>
  <c r="AE26" i="9" s="1"/>
  <c r="AD28" i="9"/>
  <c r="AE28" i="9" s="1"/>
  <c r="AD17" i="9"/>
  <c r="AE17" i="9" s="1"/>
  <c r="AF19" i="9"/>
  <c r="AF21" i="9"/>
  <c r="BN39" i="9"/>
  <c r="O39" i="9"/>
  <c r="O36" i="9"/>
  <c r="BN36" i="9"/>
  <c r="O34" i="9"/>
  <c r="BN34" i="9"/>
  <c r="BN28" i="9"/>
  <c r="AF16" i="9"/>
  <c r="AD16" i="9"/>
  <c r="AE16" i="9" s="1"/>
  <c r="AF31" i="9"/>
  <c r="AD34" i="9"/>
  <c r="AE34" i="9" s="1"/>
  <c r="BN22" i="9"/>
  <c r="O22" i="9"/>
  <c r="AF17" i="9"/>
  <c r="AF33" i="9"/>
  <c r="AF27" i="9"/>
  <c r="AD31" i="9"/>
  <c r="AE31" i="9" s="1"/>
  <c r="AF36" i="9"/>
  <c r="BN26" i="9"/>
  <c r="O26" i="9"/>
  <c r="O38" i="9"/>
  <c r="BN38" i="9"/>
  <c r="BN40" i="9"/>
  <c r="O40" i="9"/>
  <c r="AD21" i="9"/>
  <c r="AE21" i="9" s="1"/>
  <c r="O19" i="9"/>
  <c r="BN19" i="9"/>
  <c r="AF26" i="9"/>
  <c r="AD30" i="9"/>
  <c r="AE30" i="9" s="1"/>
  <c r="BN35" i="9"/>
  <c r="O35" i="9"/>
  <c r="BN37" i="9"/>
  <c r="O37" i="9"/>
  <c r="BN27" i="9"/>
  <c r="AD25" i="9"/>
  <c r="AE25" i="9" s="1"/>
  <c r="BN24" i="9"/>
  <c r="AF29" i="9"/>
  <c r="AD19" i="9"/>
  <c r="AE19" i="9" s="1"/>
  <c r="AD22" i="9"/>
  <c r="AE22" i="9" s="1"/>
  <c r="AF32" i="9"/>
  <c r="AF20" i="9"/>
  <c r="AF24" i="9"/>
  <c r="AF28" i="9"/>
  <c r="AD40" i="9"/>
  <c r="AE40" i="9" s="1"/>
  <c r="AD32" i="9"/>
  <c r="AE32" i="9" s="1"/>
  <c r="AD38" i="9"/>
  <c r="AE38" i="9" s="1"/>
  <c r="AF37" i="9"/>
  <c r="O37" i="8"/>
  <c r="BN37" i="8"/>
  <c r="O33" i="8"/>
  <c r="BN33" i="8"/>
  <c r="O37" i="7"/>
  <c r="BN37" i="7"/>
  <c r="O33" i="7"/>
  <c r="BN33" i="7"/>
  <c r="O35" i="6"/>
  <c r="BN35" i="6"/>
  <c r="O39" i="6"/>
  <c r="BN39" i="6"/>
  <c r="O36" i="6"/>
  <c r="BN36" i="6"/>
  <c r="BN40" i="6"/>
  <c r="O40" i="6"/>
  <c r="O35" i="4"/>
  <c r="BN35" i="4"/>
  <c r="BN26" i="4"/>
  <c r="O26" i="4"/>
  <c r="O27" i="4"/>
  <c r="BN27" i="4"/>
  <c r="AG27" i="11"/>
  <c r="AG24" i="11"/>
  <c r="AG25" i="11"/>
  <c r="AG31" i="11"/>
  <c r="AG35" i="10"/>
  <c r="AG36" i="10"/>
  <c r="AG16" i="10"/>
  <c r="AG21" i="10"/>
  <c r="AG18" i="9"/>
  <c r="AR36" i="4"/>
  <c r="AG16" i="11"/>
  <c r="AR36" i="8"/>
  <c r="AR27" i="9"/>
  <c r="AR18" i="12"/>
  <c r="AR33" i="11"/>
  <c r="AR26" i="9"/>
  <c r="AR35" i="6"/>
  <c r="AR39" i="9"/>
  <c r="AR37" i="12"/>
  <c r="AR30" i="10"/>
  <c r="AR34" i="10"/>
  <c r="AR23" i="11"/>
  <c r="AR40" i="9"/>
  <c r="AR36" i="6"/>
  <c r="AR19" i="9"/>
  <c r="AR26" i="4"/>
  <c r="AR25" i="10"/>
  <c r="AR34" i="8"/>
  <c r="AR18" i="11"/>
  <c r="AR38" i="10"/>
  <c r="AR37" i="8"/>
  <c r="AR35" i="4"/>
  <c r="AR33" i="8"/>
  <c r="AR31" i="11"/>
  <c r="AR26" i="12"/>
  <c r="AR36" i="12"/>
  <c r="AR21" i="10"/>
  <c r="AR37" i="7"/>
  <c r="AR27" i="4"/>
  <c r="AG40" i="9"/>
  <c r="AR28" i="11"/>
  <c r="AR20" i="9"/>
  <c r="AR37" i="10"/>
  <c r="AR20" i="10"/>
  <c r="AR17" i="12"/>
  <c r="AR27" i="11"/>
  <c r="AR38" i="9"/>
  <c r="AR29" i="9"/>
  <c r="AR39" i="12"/>
  <c r="AR37" i="6"/>
  <c r="AR35" i="10"/>
  <c r="AR22" i="11"/>
  <c r="AR23" i="9"/>
  <c r="AR16" i="9"/>
  <c r="AR33" i="10"/>
  <c r="AR23" i="10"/>
  <c r="AR38" i="11"/>
  <c r="AR40" i="12"/>
  <c r="AR36" i="9"/>
  <c r="AR26" i="11"/>
  <c r="AR30" i="12"/>
  <c r="AR32" i="10"/>
  <c r="AR25" i="11"/>
  <c r="AR33" i="7"/>
  <c r="AR33" i="12"/>
  <c r="AR35" i="12"/>
  <c r="AR36" i="10"/>
  <c r="AR30" i="9"/>
  <c r="AR34" i="11"/>
  <c r="AR29" i="11"/>
  <c r="AR32" i="12"/>
  <c r="AR31" i="9"/>
  <c r="AR19" i="11"/>
  <c r="AR37" i="9"/>
  <c r="AR32" i="11"/>
  <c r="AR28" i="9"/>
  <c r="AR37" i="4"/>
  <c r="AR37" i="11"/>
  <c r="AR40" i="10"/>
  <c r="AR39" i="11"/>
  <c r="AR21" i="11"/>
  <c r="AR32" i="8"/>
  <c r="AR23" i="12"/>
  <c r="AR31" i="12"/>
  <c r="AR40" i="11"/>
  <c r="AR35" i="9"/>
  <c r="AR33" i="9"/>
  <c r="AR38" i="12"/>
  <c r="AR24" i="11"/>
  <c r="AR18" i="9"/>
  <c r="AR16" i="10"/>
  <c r="AR34" i="9"/>
  <c r="AR39" i="6"/>
  <c r="AR24" i="9"/>
  <c r="AR24" i="10"/>
  <c r="AR28" i="10"/>
  <c r="AR35" i="11"/>
  <c r="AR39" i="10"/>
  <c r="AR25" i="12"/>
  <c r="AR18" i="10"/>
  <c r="AR34" i="7"/>
  <c r="AR31" i="10"/>
  <c r="AR16" i="12"/>
  <c r="AR36" i="11"/>
  <c r="AR40" i="6"/>
  <c r="AR17" i="11"/>
  <c r="AR25" i="9"/>
  <c r="AR17" i="9"/>
  <c r="AR22" i="9"/>
  <c r="AR32" i="7"/>
  <c r="AR19" i="10"/>
  <c r="AR20" i="12"/>
  <c r="AR21" i="9"/>
  <c r="AR38" i="6"/>
  <c r="AR24" i="12"/>
  <c r="AG35" i="9"/>
  <c r="AG39" i="9"/>
  <c r="AG27" i="12"/>
  <c r="AG36" i="11"/>
  <c r="AG27" i="10"/>
  <c r="AG37" i="12"/>
  <c r="AG34" i="10"/>
  <c r="AG20" i="11"/>
  <c r="AG32" i="12"/>
  <c r="AG35" i="11"/>
  <c r="AG17" i="10"/>
  <c r="AG28" i="11"/>
  <c r="AG26" i="10"/>
  <c r="AG20" i="10"/>
  <c r="AG18" i="10"/>
  <c r="AG38" i="12"/>
  <c r="AG23" i="11"/>
  <c r="AG19" i="11"/>
  <c r="AG25" i="10"/>
  <c r="AG40" i="11"/>
  <c r="AG34" i="11"/>
  <c r="AG34" i="12"/>
  <c r="AG22" i="12"/>
  <c r="AG38" i="11"/>
  <c r="AG26" i="11"/>
  <c r="AG38" i="10"/>
  <c r="AG26" i="12"/>
  <c r="AG21" i="12"/>
  <c r="AG22" i="11"/>
  <c r="AG37" i="11"/>
  <c r="AG17" i="12"/>
  <c r="AG39" i="12"/>
  <c r="AG33" i="12"/>
  <c r="AG37" i="10"/>
  <c r="AG29" i="10"/>
  <c r="AG24" i="12"/>
  <c r="AG28" i="10"/>
  <c r="AG16" i="12"/>
  <c r="AG31" i="10"/>
  <c r="AG40" i="12"/>
  <c r="AG30" i="11"/>
  <c r="AG32" i="10"/>
  <c r="AG18" i="12"/>
  <c r="AG36" i="12"/>
  <c r="AG29" i="11"/>
  <c r="AG39" i="10"/>
  <c r="AG17" i="11"/>
  <c r="AG21" i="11"/>
  <c r="AG24" i="10"/>
  <c r="AG32" i="11"/>
  <c r="AG19" i="10"/>
  <c r="AG35" i="12"/>
  <c r="AG23" i="10"/>
  <c r="AG20" i="12"/>
  <c r="AG33" i="10"/>
  <c r="AG39" i="11"/>
  <c r="AG30" i="10"/>
  <c r="AG18" i="11"/>
  <c r="AG19" i="12"/>
  <c r="AG40" i="10"/>
  <c r="AG22" i="10"/>
  <c r="AG30" i="12"/>
  <c r="AG33" i="11"/>
  <c r="AG36" i="9"/>
  <c r="AG20" i="9"/>
  <c r="AG27" i="9"/>
  <c r="AG26" i="9"/>
  <c r="AG17" i="9"/>
  <c r="AG23" i="9"/>
  <c r="AG16" i="9"/>
  <c r="AG25" i="9"/>
  <c r="AG38" i="9"/>
  <c r="AG31" i="9"/>
  <c r="AG37" i="9"/>
  <c r="AG21" i="9"/>
  <c r="AG30" i="9"/>
  <c r="AG33" i="9"/>
  <c r="AG34" i="9"/>
  <c r="AG32" i="9"/>
  <c r="AG28" i="9"/>
  <c r="AG19" i="9"/>
  <c r="AG24" i="9"/>
  <c r="AG29" i="9"/>
  <c r="AG22" i="9"/>
  <c r="B22" i="11" l="1"/>
  <c r="B32" i="9"/>
  <c r="B23" i="9"/>
  <c r="B17" i="9"/>
  <c r="B18" i="12"/>
  <c r="B35" i="9"/>
  <c r="B27" i="9"/>
  <c r="B19" i="9"/>
  <c r="B36" i="9"/>
  <c r="B33" i="9"/>
  <c r="B37" i="9"/>
  <c r="B22" i="9"/>
  <c r="B25" i="9"/>
  <c r="B20" i="9"/>
  <c r="B21" i="9"/>
  <c r="B23" i="11"/>
  <c r="B16" i="9"/>
  <c r="B34" i="9"/>
  <c r="B39" i="9"/>
  <c r="B31" i="9"/>
  <c r="B28" i="9"/>
  <c r="B29" i="9"/>
  <c r="B24" i="9"/>
  <c r="B26" i="9"/>
  <c r="B40" i="9"/>
  <c r="B30" i="9"/>
  <c r="B38" i="9"/>
  <c r="B18" i="9"/>
  <c r="B26" i="10"/>
  <c r="B27" i="10"/>
  <c r="B35" i="10"/>
  <c r="B37" i="10"/>
  <c r="B19" i="10"/>
  <c r="B30" i="10"/>
  <c r="B31" i="10"/>
  <c r="B33" i="10"/>
  <c r="B34" i="10"/>
  <c r="B21" i="10"/>
  <c r="B16" i="10"/>
  <c r="B36" i="10"/>
  <c r="B20" i="10"/>
  <c r="B23" i="10"/>
  <c r="B38" i="10"/>
  <c r="B29" i="10"/>
  <c r="B39" i="10"/>
  <c r="B28" i="10"/>
  <c r="B25" i="10"/>
  <c r="B24" i="10"/>
  <c r="B18" i="10"/>
  <c r="B22" i="10"/>
  <c r="B32" i="10"/>
  <c r="B40" i="10"/>
  <c r="B28" i="11"/>
  <c r="B37" i="11"/>
  <c r="B36" i="11"/>
  <c r="B21" i="11"/>
  <c r="B30" i="11"/>
  <c r="B18" i="11"/>
  <c r="B31" i="11"/>
  <c r="B19" i="11"/>
  <c r="B16" i="11"/>
  <c r="B32" i="11"/>
  <c r="B35" i="11"/>
  <c r="B17" i="11"/>
  <c r="B25" i="11"/>
  <c r="B26" i="11"/>
  <c r="B24" i="11"/>
  <c r="B38" i="11"/>
  <c r="B34" i="11"/>
  <c r="B29" i="11"/>
  <c r="B40" i="11"/>
  <c r="B33" i="11"/>
  <c r="B27" i="11"/>
  <c r="B20" i="11"/>
  <c r="B39" i="11"/>
  <c r="B35" i="12"/>
  <c r="B20" i="12"/>
  <c r="B16" i="12"/>
  <c r="B34" i="12"/>
  <c r="B36" i="12"/>
  <c r="B22" i="12"/>
  <c r="B32" i="12"/>
  <c r="B21" i="12"/>
  <c r="B39" i="12"/>
  <c r="B38" i="12"/>
  <c r="B40" i="12"/>
  <c r="B17" i="12"/>
  <c r="B19" i="12"/>
  <c r="B37" i="12"/>
  <c r="B33" i="12"/>
  <c r="BN17" i="10"/>
  <c r="O17" i="10"/>
  <c r="L40" i="8"/>
  <c r="K40" i="8"/>
  <c r="AT40" i="8" s="1"/>
  <c r="J40" i="8"/>
  <c r="I40" i="8"/>
  <c r="H40" i="8"/>
  <c r="AO40" i="8" s="1"/>
  <c r="G40" i="8"/>
  <c r="F40" i="8"/>
  <c r="E40" i="8"/>
  <c r="D40" i="8"/>
  <c r="L39" i="8"/>
  <c r="K39" i="8"/>
  <c r="AT39" i="8" s="1"/>
  <c r="J39" i="8"/>
  <c r="I39" i="8"/>
  <c r="H39" i="8"/>
  <c r="AO39" i="8" s="1"/>
  <c r="G39" i="8"/>
  <c r="F39" i="8"/>
  <c r="E39" i="8"/>
  <c r="D39" i="8"/>
  <c r="L38" i="8"/>
  <c r="K38" i="8"/>
  <c r="AT38" i="8" s="1"/>
  <c r="J38" i="8"/>
  <c r="I38" i="8"/>
  <c r="H38" i="8"/>
  <c r="AO38" i="8" s="1"/>
  <c r="G38" i="8"/>
  <c r="F38" i="8"/>
  <c r="E38" i="8"/>
  <c r="D38" i="8"/>
  <c r="L31" i="8"/>
  <c r="K31" i="8"/>
  <c r="AT31" i="8" s="1"/>
  <c r="J31" i="8"/>
  <c r="I31" i="8"/>
  <c r="H31" i="8"/>
  <c r="AO31" i="8" s="1"/>
  <c r="G31" i="8"/>
  <c r="F31" i="8"/>
  <c r="E31" i="8"/>
  <c r="D31" i="8"/>
  <c r="L30" i="8"/>
  <c r="K30" i="8"/>
  <c r="AT30" i="8" s="1"/>
  <c r="J30" i="8"/>
  <c r="I30" i="8"/>
  <c r="H30" i="8"/>
  <c r="AO30" i="8" s="1"/>
  <c r="G30" i="8"/>
  <c r="F30" i="8"/>
  <c r="E30" i="8"/>
  <c r="D30" i="8"/>
  <c r="L29" i="8"/>
  <c r="K29" i="8"/>
  <c r="AT29" i="8" s="1"/>
  <c r="J29" i="8"/>
  <c r="I29" i="8"/>
  <c r="H29" i="8"/>
  <c r="AO29" i="8" s="1"/>
  <c r="G29" i="8"/>
  <c r="F29" i="8"/>
  <c r="E29" i="8"/>
  <c r="D29" i="8"/>
  <c r="L28" i="8"/>
  <c r="K28" i="8"/>
  <c r="AT28" i="8" s="1"/>
  <c r="J28" i="8"/>
  <c r="I28" i="8"/>
  <c r="H28" i="8"/>
  <c r="AO28" i="8" s="1"/>
  <c r="G28" i="8"/>
  <c r="F28" i="8"/>
  <c r="E28" i="8"/>
  <c r="D28" i="8"/>
  <c r="L27" i="8"/>
  <c r="K27" i="8"/>
  <c r="AT27" i="8" s="1"/>
  <c r="J27" i="8"/>
  <c r="I27" i="8"/>
  <c r="H27" i="8"/>
  <c r="AO27" i="8" s="1"/>
  <c r="G27" i="8"/>
  <c r="F27" i="8"/>
  <c r="E27" i="8"/>
  <c r="D27" i="8"/>
  <c r="L26" i="8"/>
  <c r="K26" i="8"/>
  <c r="AT26" i="8" s="1"/>
  <c r="J26" i="8"/>
  <c r="I26" i="8"/>
  <c r="H26" i="8"/>
  <c r="AO26" i="8" s="1"/>
  <c r="G26" i="8"/>
  <c r="F26" i="8"/>
  <c r="E26" i="8"/>
  <c r="D26" i="8"/>
  <c r="L25" i="8"/>
  <c r="K25" i="8"/>
  <c r="AT25" i="8" s="1"/>
  <c r="J25" i="8"/>
  <c r="I25" i="8"/>
  <c r="H25" i="8"/>
  <c r="AO25" i="8" s="1"/>
  <c r="G25" i="8"/>
  <c r="F25" i="8"/>
  <c r="E25" i="8"/>
  <c r="D25" i="8"/>
  <c r="L24" i="8"/>
  <c r="K24" i="8"/>
  <c r="AT24" i="8" s="1"/>
  <c r="J24" i="8"/>
  <c r="I24" i="8"/>
  <c r="H24" i="8"/>
  <c r="AO24" i="8" s="1"/>
  <c r="G24" i="8"/>
  <c r="F24" i="8"/>
  <c r="E24" i="8"/>
  <c r="D24" i="8"/>
  <c r="L23" i="8"/>
  <c r="K23" i="8"/>
  <c r="AT23" i="8" s="1"/>
  <c r="J23" i="8"/>
  <c r="I23" i="8"/>
  <c r="H23" i="8"/>
  <c r="AO23" i="8" s="1"/>
  <c r="G23" i="8"/>
  <c r="F23" i="8"/>
  <c r="E23" i="8"/>
  <c r="D23" i="8"/>
  <c r="L22" i="8"/>
  <c r="K22" i="8"/>
  <c r="AT22" i="8" s="1"/>
  <c r="J22" i="8"/>
  <c r="I22" i="8"/>
  <c r="H22" i="8"/>
  <c r="AO22" i="8" s="1"/>
  <c r="G22" i="8"/>
  <c r="F22" i="8"/>
  <c r="E22" i="8"/>
  <c r="D22" i="8"/>
  <c r="L21" i="8"/>
  <c r="K21" i="8"/>
  <c r="AT21" i="8" s="1"/>
  <c r="J21" i="8"/>
  <c r="I21" i="8"/>
  <c r="H21" i="8"/>
  <c r="AO21" i="8" s="1"/>
  <c r="G21" i="8"/>
  <c r="F21" i="8"/>
  <c r="E21" i="8"/>
  <c r="D21" i="8"/>
  <c r="L20" i="8"/>
  <c r="K20" i="8"/>
  <c r="AT20" i="8" s="1"/>
  <c r="J20" i="8"/>
  <c r="I20" i="8"/>
  <c r="H20" i="8"/>
  <c r="AO20" i="8" s="1"/>
  <c r="G20" i="8"/>
  <c r="F20" i="8"/>
  <c r="E20" i="8"/>
  <c r="D20" i="8"/>
  <c r="L19" i="8"/>
  <c r="K19" i="8"/>
  <c r="AT19" i="8" s="1"/>
  <c r="J19" i="8"/>
  <c r="I19" i="8"/>
  <c r="H19" i="8"/>
  <c r="AO19" i="8" s="1"/>
  <c r="G19" i="8"/>
  <c r="F19" i="8"/>
  <c r="E19" i="8"/>
  <c r="D19" i="8"/>
  <c r="L18" i="8"/>
  <c r="K18" i="8"/>
  <c r="AT18" i="8" s="1"/>
  <c r="J18" i="8"/>
  <c r="I18" i="8"/>
  <c r="H18" i="8"/>
  <c r="AO18" i="8" s="1"/>
  <c r="G18" i="8"/>
  <c r="F18" i="8"/>
  <c r="E18" i="8"/>
  <c r="D18" i="8"/>
  <c r="L17" i="8"/>
  <c r="K17" i="8"/>
  <c r="AT17" i="8" s="1"/>
  <c r="J17" i="8"/>
  <c r="I17" i="8"/>
  <c r="H17" i="8"/>
  <c r="AO17" i="8" s="1"/>
  <c r="G17" i="8"/>
  <c r="F17" i="8"/>
  <c r="E17" i="8"/>
  <c r="D17" i="8"/>
  <c r="L16" i="8"/>
  <c r="K16" i="8"/>
  <c r="AT16" i="8" s="1"/>
  <c r="J16" i="8"/>
  <c r="I16" i="8"/>
  <c r="H16" i="8"/>
  <c r="AO16" i="8" s="1"/>
  <c r="G16" i="8"/>
  <c r="F16" i="8"/>
  <c r="E16" i="8"/>
  <c r="D16" i="8"/>
  <c r="L15" i="8"/>
  <c r="K15" i="8"/>
  <c r="J15" i="8"/>
  <c r="I15" i="8"/>
  <c r="H15" i="8"/>
  <c r="G15" i="8"/>
  <c r="F15" i="8"/>
  <c r="E15" i="8"/>
  <c r="D15" i="8"/>
  <c r="L40" i="7"/>
  <c r="K40" i="7"/>
  <c r="AT40" i="7" s="1"/>
  <c r="J40" i="7"/>
  <c r="I40" i="7"/>
  <c r="H40" i="7"/>
  <c r="AO40" i="7" s="1"/>
  <c r="G40" i="7"/>
  <c r="F40" i="7"/>
  <c r="E40" i="7"/>
  <c r="D40" i="7"/>
  <c r="L39" i="7"/>
  <c r="K39" i="7"/>
  <c r="AT39" i="7" s="1"/>
  <c r="J39" i="7"/>
  <c r="I39" i="7"/>
  <c r="H39" i="7"/>
  <c r="AO39" i="7" s="1"/>
  <c r="G39" i="7"/>
  <c r="F39" i="7"/>
  <c r="E39" i="7"/>
  <c r="D39" i="7"/>
  <c r="L38" i="7"/>
  <c r="K38" i="7"/>
  <c r="AT38" i="7" s="1"/>
  <c r="J38" i="7"/>
  <c r="I38" i="7"/>
  <c r="H38" i="7"/>
  <c r="AO38" i="7" s="1"/>
  <c r="G38" i="7"/>
  <c r="F38" i="7"/>
  <c r="E38" i="7"/>
  <c r="D38" i="7"/>
  <c r="L31" i="7"/>
  <c r="K31" i="7"/>
  <c r="AT31" i="7" s="1"/>
  <c r="J31" i="7"/>
  <c r="I31" i="7"/>
  <c r="H31" i="7"/>
  <c r="AO31" i="7" s="1"/>
  <c r="G31" i="7"/>
  <c r="F31" i="7"/>
  <c r="E31" i="7"/>
  <c r="D31" i="7"/>
  <c r="L30" i="7"/>
  <c r="K30" i="7"/>
  <c r="AT30" i="7" s="1"/>
  <c r="J30" i="7"/>
  <c r="I30" i="7"/>
  <c r="H30" i="7"/>
  <c r="AO30" i="7" s="1"/>
  <c r="G30" i="7"/>
  <c r="F30" i="7"/>
  <c r="E30" i="7"/>
  <c r="D30" i="7"/>
  <c r="L29" i="7"/>
  <c r="K29" i="7"/>
  <c r="AT29" i="7" s="1"/>
  <c r="J29" i="7"/>
  <c r="I29" i="7"/>
  <c r="H29" i="7"/>
  <c r="AO29" i="7" s="1"/>
  <c r="G29" i="7"/>
  <c r="F29" i="7"/>
  <c r="E29" i="7"/>
  <c r="D29" i="7"/>
  <c r="L28" i="7"/>
  <c r="K28" i="7"/>
  <c r="AT28" i="7" s="1"/>
  <c r="J28" i="7"/>
  <c r="I28" i="7"/>
  <c r="H28" i="7"/>
  <c r="AO28" i="7" s="1"/>
  <c r="G28" i="7"/>
  <c r="F28" i="7"/>
  <c r="E28" i="7"/>
  <c r="D28" i="7"/>
  <c r="L27" i="7"/>
  <c r="K27" i="7"/>
  <c r="AT27" i="7" s="1"/>
  <c r="J27" i="7"/>
  <c r="I27" i="7"/>
  <c r="H27" i="7"/>
  <c r="AO27" i="7" s="1"/>
  <c r="G27" i="7"/>
  <c r="F27" i="7"/>
  <c r="E27" i="7"/>
  <c r="D27" i="7"/>
  <c r="L26" i="7"/>
  <c r="K26" i="7"/>
  <c r="AT26" i="7" s="1"/>
  <c r="J26" i="7"/>
  <c r="I26" i="7"/>
  <c r="H26" i="7"/>
  <c r="AO26" i="7" s="1"/>
  <c r="G26" i="7"/>
  <c r="F26" i="7"/>
  <c r="E26" i="7"/>
  <c r="D26" i="7"/>
  <c r="L25" i="7"/>
  <c r="K25" i="7"/>
  <c r="AT25" i="7" s="1"/>
  <c r="J25" i="7"/>
  <c r="I25" i="7"/>
  <c r="H25" i="7"/>
  <c r="AO25" i="7" s="1"/>
  <c r="G25" i="7"/>
  <c r="F25" i="7"/>
  <c r="E25" i="7"/>
  <c r="D25" i="7"/>
  <c r="L24" i="7"/>
  <c r="K24" i="7"/>
  <c r="AT24" i="7" s="1"/>
  <c r="J24" i="7"/>
  <c r="I24" i="7"/>
  <c r="H24" i="7"/>
  <c r="AO24" i="7" s="1"/>
  <c r="G24" i="7"/>
  <c r="F24" i="7"/>
  <c r="E24" i="7"/>
  <c r="D24" i="7"/>
  <c r="L23" i="7"/>
  <c r="K23" i="7"/>
  <c r="AT23" i="7" s="1"/>
  <c r="J23" i="7"/>
  <c r="I23" i="7"/>
  <c r="H23" i="7"/>
  <c r="AO23" i="7" s="1"/>
  <c r="G23" i="7"/>
  <c r="F23" i="7"/>
  <c r="E23" i="7"/>
  <c r="D23" i="7"/>
  <c r="L22" i="7"/>
  <c r="K22" i="7"/>
  <c r="AT22" i="7" s="1"/>
  <c r="J22" i="7"/>
  <c r="I22" i="7"/>
  <c r="H22" i="7"/>
  <c r="AO22" i="7" s="1"/>
  <c r="G22" i="7"/>
  <c r="F22" i="7"/>
  <c r="E22" i="7"/>
  <c r="D22" i="7"/>
  <c r="L21" i="7"/>
  <c r="K21" i="7"/>
  <c r="AT21" i="7" s="1"/>
  <c r="J21" i="7"/>
  <c r="I21" i="7"/>
  <c r="H21" i="7"/>
  <c r="AO21" i="7" s="1"/>
  <c r="G21" i="7"/>
  <c r="F21" i="7"/>
  <c r="E21" i="7"/>
  <c r="D21" i="7"/>
  <c r="L20" i="7"/>
  <c r="K20" i="7"/>
  <c r="AT20" i="7" s="1"/>
  <c r="J20" i="7"/>
  <c r="I20" i="7"/>
  <c r="H20" i="7"/>
  <c r="AO20" i="7" s="1"/>
  <c r="G20" i="7"/>
  <c r="F20" i="7"/>
  <c r="E20" i="7"/>
  <c r="D20" i="7"/>
  <c r="L19" i="7"/>
  <c r="K19" i="7"/>
  <c r="AT19" i="7" s="1"/>
  <c r="J19" i="7"/>
  <c r="I19" i="7"/>
  <c r="H19" i="7"/>
  <c r="AO19" i="7" s="1"/>
  <c r="G19" i="7"/>
  <c r="F19" i="7"/>
  <c r="E19" i="7"/>
  <c r="D19" i="7"/>
  <c r="L18" i="7"/>
  <c r="K18" i="7"/>
  <c r="AT18" i="7" s="1"/>
  <c r="J18" i="7"/>
  <c r="I18" i="7"/>
  <c r="H18" i="7"/>
  <c r="AO18" i="7" s="1"/>
  <c r="G18" i="7"/>
  <c r="F18" i="7"/>
  <c r="E18" i="7"/>
  <c r="D18" i="7"/>
  <c r="L17" i="7"/>
  <c r="K17" i="7"/>
  <c r="AT17" i="7" s="1"/>
  <c r="J17" i="7"/>
  <c r="I17" i="7"/>
  <c r="H17" i="7"/>
  <c r="AO17" i="7" s="1"/>
  <c r="G17" i="7"/>
  <c r="F17" i="7"/>
  <c r="E17" i="7"/>
  <c r="D17" i="7"/>
  <c r="L16" i="7"/>
  <c r="K16" i="7"/>
  <c r="AT16" i="7" s="1"/>
  <c r="J16" i="7"/>
  <c r="I16" i="7"/>
  <c r="H16" i="7"/>
  <c r="AO16" i="7" s="1"/>
  <c r="G16" i="7"/>
  <c r="F16" i="7"/>
  <c r="E16" i="7"/>
  <c r="D16" i="7"/>
  <c r="L15" i="7"/>
  <c r="K15" i="7"/>
  <c r="J15" i="7"/>
  <c r="I15" i="7"/>
  <c r="H15" i="7"/>
  <c r="G15" i="7"/>
  <c r="F15" i="7"/>
  <c r="AB23" i="7" s="1"/>
  <c r="E15" i="7"/>
  <c r="D15" i="7"/>
  <c r="L34" i="6"/>
  <c r="K34" i="6"/>
  <c r="AT34" i="6" s="1"/>
  <c r="J34" i="6"/>
  <c r="I34" i="6"/>
  <c r="H34" i="6"/>
  <c r="AO34" i="6" s="1"/>
  <c r="G34" i="6"/>
  <c r="F34" i="6"/>
  <c r="E34" i="6"/>
  <c r="D34" i="6"/>
  <c r="L33" i="6"/>
  <c r="K33" i="6"/>
  <c r="AT33" i="6" s="1"/>
  <c r="J33" i="6"/>
  <c r="I33" i="6"/>
  <c r="H33" i="6"/>
  <c r="AO33" i="6" s="1"/>
  <c r="G33" i="6"/>
  <c r="F33" i="6"/>
  <c r="E33" i="6"/>
  <c r="D33" i="6"/>
  <c r="L32" i="6"/>
  <c r="K32" i="6"/>
  <c r="AT32" i="6" s="1"/>
  <c r="J32" i="6"/>
  <c r="I32" i="6"/>
  <c r="H32" i="6"/>
  <c r="AO32" i="6" s="1"/>
  <c r="G32" i="6"/>
  <c r="F32" i="6"/>
  <c r="E32" i="6"/>
  <c r="D32" i="6"/>
  <c r="L31" i="6"/>
  <c r="K31" i="6"/>
  <c r="AT31" i="6" s="1"/>
  <c r="J31" i="6"/>
  <c r="I31" i="6"/>
  <c r="H31" i="6"/>
  <c r="AO31" i="6" s="1"/>
  <c r="G31" i="6"/>
  <c r="F31" i="6"/>
  <c r="E31" i="6"/>
  <c r="D31" i="6"/>
  <c r="L30" i="6"/>
  <c r="K30" i="6"/>
  <c r="AT30" i="6" s="1"/>
  <c r="J30" i="6"/>
  <c r="I30" i="6"/>
  <c r="H30" i="6"/>
  <c r="AO30" i="6" s="1"/>
  <c r="G30" i="6"/>
  <c r="F30" i="6"/>
  <c r="E30" i="6"/>
  <c r="D30" i="6"/>
  <c r="L29" i="6"/>
  <c r="K29" i="6"/>
  <c r="AT29" i="6" s="1"/>
  <c r="J29" i="6"/>
  <c r="I29" i="6"/>
  <c r="H29" i="6"/>
  <c r="AO29" i="6" s="1"/>
  <c r="G29" i="6"/>
  <c r="F29" i="6"/>
  <c r="E29" i="6"/>
  <c r="D29" i="6"/>
  <c r="L28" i="6"/>
  <c r="K28" i="6"/>
  <c r="AT28" i="6" s="1"/>
  <c r="J28" i="6"/>
  <c r="I28" i="6"/>
  <c r="H28" i="6"/>
  <c r="AO28" i="6" s="1"/>
  <c r="G28" i="6"/>
  <c r="F28" i="6"/>
  <c r="E28" i="6"/>
  <c r="D28" i="6"/>
  <c r="L27" i="6"/>
  <c r="K27" i="6"/>
  <c r="AT27" i="6" s="1"/>
  <c r="J27" i="6"/>
  <c r="I27" i="6"/>
  <c r="H27" i="6"/>
  <c r="AO27" i="6" s="1"/>
  <c r="G27" i="6"/>
  <c r="F27" i="6"/>
  <c r="E27" i="6"/>
  <c r="D27" i="6"/>
  <c r="L26" i="6"/>
  <c r="K26" i="6"/>
  <c r="AT26" i="6" s="1"/>
  <c r="J26" i="6"/>
  <c r="I26" i="6"/>
  <c r="H26" i="6"/>
  <c r="AO26" i="6" s="1"/>
  <c r="G26" i="6"/>
  <c r="F26" i="6"/>
  <c r="E26" i="6"/>
  <c r="D26" i="6"/>
  <c r="L25" i="6"/>
  <c r="K25" i="6"/>
  <c r="AT25" i="6" s="1"/>
  <c r="J25" i="6"/>
  <c r="I25" i="6"/>
  <c r="H25" i="6"/>
  <c r="AO25" i="6" s="1"/>
  <c r="G25" i="6"/>
  <c r="F25" i="6"/>
  <c r="E25" i="6"/>
  <c r="D25" i="6"/>
  <c r="L24" i="6"/>
  <c r="K24" i="6"/>
  <c r="AT24" i="6" s="1"/>
  <c r="J24" i="6"/>
  <c r="I24" i="6"/>
  <c r="H24" i="6"/>
  <c r="AO24" i="6" s="1"/>
  <c r="G24" i="6"/>
  <c r="F24" i="6"/>
  <c r="E24" i="6"/>
  <c r="D24" i="6"/>
  <c r="L23" i="6"/>
  <c r="K23" i="6"/>
  <c r="AT23" i="6" s="1"/>
  <c r="J23" i="6"/>
  <c r="I23" i="6"/>
  <c r="H23" i="6"/>
  <c r="AO23" i="6" s="1"/>
  <c r="G23" i="6"/>
  <c r="F23" i="6"/>
  <c r="E23" i="6"/>
  <c r="D23" i="6"/>
  <c r="L22" i="6"/>
  <c r="K22" i="6"/>
  <c r="AT22" i="6" s="1"/>
  <c r="J22" i="6"/>
  <c r="I22" i="6"/>
  <c r="H22" i="6"/>
  <c r="AO22" i="6" s="1"/>
  <c r="G22" i="6"/>
  <c r="F22" i="6"/>
  <c r="E22" i="6"/>
  <c r="D22" i="6"/>
  <c r="L21" i="6"/>
  <c r="K21" i="6"/>
  <c r="AT21" i="6" s="1"/>
  <c r="J21" i="6"/>
  <c r="I21" i="6"/>
  <c r="H21" i="6"/>
  <c r="AO21" i="6" s="1"/>
  <c r="G21" i="6"/>
  <c r="F21" i="6"/>
  <c r="E21" i="6"/>
  <c r="D21" i="6"/>
  <c r="L20" i="6"/>
  <c r="K20" i="6"/>
  <c r="AT20" i="6" s="1"/>
  <c r="J20" i="6"/>
  <c r="I20" i="6"/>
  <c r="H20" i="6"/>
  <c r="AO20" i="6" s="1"/>
  <c r="G20" i="6"/>
  <c r="F20" i="6"/>
  <c r="E20" i="6"/>
  <c r="D20" i="6"/>
  <c r="L19" i="6"/>
  <c r="K19" i="6"/>
  <c r="AT19" i="6" s="1"/>
  <c r="J19" i="6"/>
  <c r="I19" i="6"/>
  <c r="H19" i="6"/>
  <c r="AO19" i="6" s="1"/>
  <c r="G19" i="6"/>
  <c r="F19" i="6"/>
  <c r="E19" i="6"/>
  <c r="D19" i="6"/>
  <c r="L18" i="6"/>
  <c r="K18" i="6"/>
  <c r="AT18" i="6" s="1"/>
  <c r="J18" i="6"/>
  <c r="I18" i="6"/>
  <c r="H18" i="6"/>
  <c r="AO18" i="6" s="1"/>
  <c r="G18" i="6"/>
  <c r="F18" i="6"/>
  <c r="E18" i="6"/>
  <c r="D18" i="6"/>
  <c r="L17" i="6"/>
  <c r="K17" i="6"/>
  <c r="AT17" i="6" s="1"/>
  <c r="J17" i="6"/>
  <c r="I17" i="6"/>
  <c r="H17" i="6"/>
  <c r="AO17" i="6" s="1"/>
  <c r="G17" i="6"/>
  <c r="F17" i="6"/>
  <c r="E17" i="6"/>
  <c r="D17" i="6"/>
  <c r="L16" i="6"/>
  <c r="K16" i="6"/>
  <c r="AT16" i="6" s="1"/>
  <c r="J16" i="6"/>
  <c r="I16" i="6"/>
  <c r="H16" i="6"/>
  <c r="AO16" i="6" s="1"/>
  <c r="G16" i="6"/>
  <c r="F16" i="6"/>
  <c r="E16" i="6"/>
  <c r="D16" i="6"/>
  <c r="L15" i="6"/>
  <c r="K15" i="6"/>
  <c r="J15" i="6"/>
  <c r="I15" i="6"/>
  <c r="H15" i="6"/>
  <c r="G15" i="6"/>
  <c r="F15" i="6"/>
  <c r="E15" i="6"/>
  <c r="D15" i="6"/>
  <c r="Y39" i="8"/>
  <c r="V39" i="8"/>
  <c r="Y29" i="8"/>
  <c r="V29" i="8"/>
  <c r="Y25" i="8"/>
  <c r="V25" i="8"/>
  <c r="Y21" i="8"/>
  <c r="V21" i="8"/>
  <c r="Y17" i="8"/>
  <c r="V17" i="8"/>
  <c r="Y39" i="7"/>
  <c r="V39" i="7"/>
  <c r="Y29" i="7"/>
  <c r="V29" i="7"/>
  <c r="Y25" i="7"/>
  <c r="V25" i="7"/>
  <c r="Y21" i="7"/>
  <c r="V21" i="7"/>
  <c r="Y17" i="7"/>
  <c r="V17" i="7"/>
  <c r="Y33" i="6"/>
  <c r="V33" i="6"/>
  <c r="Y29" i="6"/>
  <c r="V29" i="6"/>
  <c r="Y25" i="6"/>
  <c r="V25" i="6"/>
  <c r="Y21" i="6"/>
  <c r="V21" i="6"/>
  <c r="Y17" i="6"/>
  <c r="V17" i="6"/>
  <c r="Y18" i="6"/>
  <c r="V18" i="6"/>
  <c r="Y38" i="8"/>
  <c r="V38" i="8"/>
  <c r="Y28" i="8"/>
  <c r="V28" i="8"/>
  <c r="Y24" i="8"/>
  <c r="V24" i="8"/>
  <c r="Y20" i="8"/>
  <c r="V20" i="8"/>
  <c r="Y16" i="8"/>
  <c r="V16" i="8"/>
  <c r="Y38" i="7"/>
  <c r="V38" i="7"/>
  <c r="Y28" i="7"/>
  <c r="V28" i="7"/>
  <c r="Y24" i="7"/>
  <c r="V24" i="7"/>
  <c r="Y20" i="7"/>
  <c r="V20" i="7"/>
  <c r="Y16" i="7"/>
  <c r="V16" i="7"/>
  <c r="Y32" i="6"/>
  <c r="V32" i="6"/>
  <c r="Y28" i="6"/>
  <c r="V28" i="6"/>
  <c r="Y24" i="6"/>
  <c r="V24" i="6"/>
  <c r="Y20" i="6"/>
  <c r="V20" i="6"/>
  <c r="Y16" i="6"/>
  <c r="V16" i="6"/>
  <c r="Y40" i="8"/>
  <c r="V40" i="8"/>
  <c r="Y30" i="8"/>
  <c r="V30" i="8"/>
  <c r="Y22" i="8"/>
  <c r="V22" i="8"/>
  <c r="Y40" i="7"/>
  <c r="V40" i="7"/>
  <c r="Y30" i="7"/>
  <c r="V30" i="7"/>
  <c r="Y26" i="7"/>
  <c r="V26" i="7"/>
  <c r="Y22" i="7"/>
  <c r="V22" i="7"/>
  <c r="Y18" i="7"/>
  <c r="V18" i="7"/>
  <c r="Y34" i="6"/>
  <c r="V34" i="6"/>
  <c r="Y30" i="6"/>
  <c r="V30" i="6"/>
  <c r="Y26" i="6"/>
  <c r="V26" i="6"/>
  <c r="Y22" i="6"/>
  <c r="V22" i="6"/>
  <c r="Y31" i="8"/>
  <c r="V31" i="8"/>
  <c r="Y27" i="8"/>
  <c r="V27" i="8"/>
  <c r="Y23" i="8"/>
  <c r="V23" i="8"/>
  <c r="Y19" i="8"/>
  <c r="V19" i="8"/>
  <c r="V37" i="8"/>
  <c r="Y37" i="8"/>
  <c r="V33" i="8"/>
  <c r="Y33" i="8"/>
  <c r="V36" i="8"/>
  <c r="Y36" i="8"/>
  <c r="V32" i="8"/>
  <c r="Y32" i="8"/>
  <c r="V35" i="8"/>
  <c r="Y35" i="8"/>
  <c r="V34" i="8"/>
  <c r="Y34" i="8"/>
  <c r="P16" i="8"/>
  <c r="P20" i="8"/>
  <c r="P23" i="8"/>
  <c r="P18" i="8"/>
  <c r="P22" i="8"/>
  <c r="P19" i="8"/>
  <c r="P17" i="8"/>
  <c r="P21" i="8"/>
  <c r="P24" i="8"/>
  <c r="P26" i="8"/>
  <c r="P30" i="8"/>
  <c r="P32" i="8"/>
  <c r="P35" i="8"/>
  <c r="P37" i="8"/>
  <c r="P39" i="8"/>
  <c r="P40" i="8"/>
  <c r="P25" i="8"/>
  <c r="P28" i="8"/>
  <c r="P33" i="8"/>
  <c r="P15" i="8"/>
  <c r="Q15" i="8" s="1"/>
  <c r="P27" i="8"/>
  <c r="P29" i="8"/>
  <c r="P31" i="8"/>
  <c r="P34" i="8"/>
  <c r="P36" i="8"/>
  <c r="P38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Y31" i="7"/>
  <c r="V31" i="7"/>
  <c r="Y27" i="7"/>
  <c r="V27" i="7"/>
  <c r="Y23" i="7"/>
  <c r="V23" i="7"/>
  <c r="Y19" i="7"/>
  <c r="V19" i="7"/>
  <c r="V35" i="7"/>
  <c r="Y35" i="7"/>
  <c r="V34" i="7"/>
  <c r="Y34" i="7"/>
  <c r="V37" i="7"/>
  <c r="Y37" i="7"/>
  <c r="V33" i="7"/>
  <c r="Y33" i="7"/>
  <c r="V36" i="7"/>
  <c r="Y36" i="7"/>
  <c r="V32" i="7"/>
  <c r="Y32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15" i="7"/>
  <c r="Q15" i="7" s="1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Y31" i="6"/>
  <c r="V31" i="6"/>
  <c r="Y27" i="6"/>
  <c r="V27" i="6"/>
  <c r="Y23" i="6"/>
  <c r="V23" i="6"/>
  <c r="Y19" i="6"/>
  <c r="V19" i="6"/>
  <c r="V40" i="6"/>
  <c r="Y40" i="6"/>
  <c r="V36" i="6"/>
  <c r="Y36" i="6"/>
  <c r="V39" i="6"/>
  <c r="Y39" i="6"/>
  <c r="V38" i="6"/>
  <c r="Y38" i="6"/>
  <c r="V35" i="6"/>
  <c r="Y35" i="6"/>
  <c r="V37" i="6"/>
  <c r="Y37" i="6"/>
  <c r="P16" i="6"/>
  <c r="P20" i="6"/>
  <c r="P19" i="6"/>
  <c r="P18" i="6"/>
  <c r="P22" i="6"/>
  <c r="P17" i="6"/>
  <c r="P21" i="6"/>
  <c r="P25" i="6"/>
  <c r="P29" i="6"/>
  <c r="P34" i="6"/>
  <c r="P36" i="6"/>
  <c r="P39" i="6"/>
  <c r="P23" i="6"/>
  <c r="P26" i="6"/>
  <c r="P27" i="6"/>
  <c r="P30" i="6"/>
  <c r="P32" i="6"/>
  <c r="P40" i="6"/>
  <c r="P15" i="6"/>
  <c r="Q15" i="6" s="1"/>
  <c r="P24" i="6"/>
  <c r="P28" i="6"/>
  <c r="P31" i="6"/>
  <c r="P33" i="6"/>
  <c r="P35" i="6"/>
  <c r="P37" i="6"/>
  <c r="P38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Y26" i="8"/>
  <c r="V26" i="8"/>
  <c r="Y18" i="8"/>
  <c r="V18" i="8"/>
  <c r="Z39" i="8"/>
  <c r="AA39" i="8"/>
  <c r="W39" i="8"/>
  <c r="X39" i="8"/>
  <c r="AA29" i="8"/>
  <c r="Z29" i="8"/>
  <c r="W29" i="8"/>
  <c r="X29" i="8"/>
  <c r="AA25" i="8"/>
  <c r="Z25" i="8"/>
  <c r="W25" i="8"/>
  <c r="X25" i="8"/>
  <c r="AA21" i="8"/>
  <c r="Z21" i="8"/>
  <c r="W21" i="8"/>
  <c r="X21" i="8"/>
  <c r="AA17" i="8"/>
  <c r="Z17" i="8"/>
  <c r="W17" i="8"/>
  <c r="X17" i="8"/>
  <c r="Z39" i="7"/>
  <c r="AA39" i="7"/>
  <c r="W39" i="7"/>
  <c r="X39" i="7"/>
  <c r="Z29" i="7"/>
  <c r="AA29" i="7"/>
  <c r="W29" i="7"/>
  <c r="X29" i="7"/>
  <c r="Z25" i="7"/>
  <c r="AA25" i="7"/>
  <c r="W25" i="7"/>
  <c r="X25" i="7"/>
  <c r="Z21" i="7"/>
  <c r="AA21" i="7"/>
  <c r="W21" i="7"/>
  <c r="X21" i="7"/>
  <c r="Z17" i="7"/>
  <c r="AA17" i="7"/>
  <c r="W17" i="7"/>
  <c r="X17" i="7"/>
  <c r="Z33" i="6"/>
  <c r="AA33" i="6"/>
  <c r="W33" i="6"/>
  <c r="X33" i="6"/>
  <c r="Z29" i="6"/>
  <c r="AA29" i="6"/>
  <c r="W29" i="6"/>
  <c r="X29" i="6"/>
  <c r="Z25" i="6"/>
  <c r="AA25" i="6"/>
  <c r="X25" i="6"/>
  <c r="W25" i="6"/>
  <c r="Z21" i="6"/>
  <c r="AA21" i="6"/>
  <c r="W21" i="6"/>
  <c r="X21" i="6"/>
  <c r="Z17" i="6"/>
  <c r="AA17" i="6"/>
  <c r="W17" i="6"/>
  <c r="X17" i="6"/>
  <c r="Z18" i="6"/>
  <c r="AA18" i="6"/>
  <c r="W18" i="6"/>
  <c r="X18" i="6"/>
  <c r="Z38" i="8"/>
  <c r="AA38" i="8"/>
  <c r="X38" i="8"/>
  <c r="W38" i="8"/>
  <c r="Z28" i="8"/>
  <c r="AA28" i="8"/>
  <c r="X28" i="8"/>
  <c r="W28" i="8"/>
  <c r="Z24" i="8"/>
  <c r="AA24" i="8"/>
  <c r="X24" i="8"/>
  <c r="W24" i="8"/>
  <c r="Z20" i="8"/>
  <c r="AA20" i="8"/>
  <c r="X20" i="8"/>
  <c r="W20" i="8"/>
  <c r="Z16" i="8"/>
  <c r="AA16" i="8"/>
  <c r="X16" i="8"/>
  <c r="W16" i="8"/>
  <c r="AA38" i="7"/>
  <c r="Z38" i="7"/>
  <c r="X38" i="7"/>
  <c r="W38" i="7"/>
  <c r="Z28" i="7"/>
  <c r="AA28" i="7"/>
  <c r="X28" i="7"/>
  <c r="W28" i="7"/>
  <c r="AA24" i="7"/>
  <c r="Z24" i="7"/>
  <c r="X24" i="7"/>
  <c r="W24" i="7"/>
  <c r="AA20" i="7"/>
  <c r="Z20" i="7"/>
  <c r="X20" i="7"/>
  <c r="W20" i="7"/>
  <c r="AA16" i="7"/>
  <c r="Z16" i="7"/>
  <c r="X16" i="7"/>
  <c r="W16" i="7"/>
  <c r="Z32" i="6"/>
  <c r="AA32" i="6"/>
  <c r="W32" i="6"/>
  <c r="X32" i="6"/>
  <c r="Z28" i="6"/>
  <c r="AA28" i="6"/>
  <c r="W28" i="6"/>
  <c r="X28" i="6"/>
  <c r="Z24" i="6"/>
  <c r="AA24" i="6"/>
  <c r="W24" i="6"/>
  <c r="X24" i="6"/>
  <c r="Z20" i="6"/>
  <c r="AA20" i="6"/>
  <c r="W20" i="6"/>
  <c r="X20" i="6"/>
  <c r="Z16" i="6"/>
  <c r="AA16" i="6"/>
  <c r="W16" i="6"/>
  <c r="X16" i="6"/>
  <c r="Z40" i="8"/>
  <c r="AA40" i="8"/>
  <c r="X40" i="8"/>
  <c r="W40" i="8"/>
  <c r="Z30" i="8"/>
  <c r="AA30" i="8"/>
  <c r="X30" i="8"/>
  <c r="W30" i="8"/>
  <c r="Z22" i="8"/>
  <c r="AA22" i="8"/>
  <c r="X22" i="8"/>
  <c r="W22" i="8"/>
  <c r="Z40" i="7"/>
  <c r="AA40" i="7"/>
  <c r="X40" i="7"/>
  <c r="W40" i="7"/>
  <c r="AA30" i="7"/>
  <c r="Z30" i="7"/>
  <c r="X30" i="7"/>
  <c r="W30" i="7"/>
  <c r="AA26" i="7"/>
  <c r="Z26" i="7"/>
  <c r="X26" i="7"/>
  <c r="W26" i="7"/>
  <c r="Z22" i="7"/>
  <c r="AA22" i="7"/>
  <c r="X22" i="7"/>
  <c r="W22" i="7"/>
  <c r="Z18" i="7"/>
  <c r="AA18" i="7"/>
  <c r="X18" i="7"/>
  <c r="W18" i="7"/>
  <c r="Z34" i="6"/>
  <c r="AA34" i="6"/>
  <c r="W34" i="6"/>
  <c r="X34" i="6"/>
  <c r="Z30" i="6"/>
  <c r="AA30" i="6"/>
  <c r="W30" i="6"/>
  <c r="X30" i="6"/>
  <c r="Z26" i="6"/>
  <c r="AA26" i="6"/>
  <c r="W26" i="6"/>
  <c r="X26" i="6"/>
  <c r="Z22" i="6"/>
  <c r="AA22" i="6"/>
  <c r="W22" i="6"/>
  <c r="X22" i="6"/>
  <c r="Z31" i="8"/>
  <c r="AA31" i="8"/>
  <c r="W31" i="8"/>
  <c r="X31" i="8"/>
  <c r="Z27" i="8"/>
  <c r="AA27" i="8"/>
  <c r="W27" i="8"/>
  <c r="X27" i="8"/>
  <c r="Z23" i="8"/>
  <c r="AA23" i="8"/>
  <c r="W23" i="8"/>
  <c r="X23" i="8"/>
  <c r="Z19" i="8"/>
  <c r="AA19" i="8"/>
  <c r="W19" i="8"/>
  <c r="X19" i="8"/>
  <c r="W37" i="8"/>
  <c r="X37" i="8"/>
  <c r="AA37" i="8"/>
  <c r="Z37" i="8"/>
  <c r="W33" i="8"/>
  <c r="X33" i="8"/>
  <c r="AA33" i="8"/>
  <c r="Z33" i="8"/>
  <c r="X36" i="8"/>
  <c r="W36" i="8"/>
  <c r="Z36" i="8"/>
  <c r="AA36" i="8"/>
  <c r="X32" i="8"/>
  <c r="W32" i="8"/>
  <c r="Z32" i="8"/>
  <c r="AA32" i="8"/>
  <c r="W35" i="8"/>
  <c r="X35" i="8"/>
  <c r="Z35" i="8"/>
  <c r="AA35" i="8"/>
  <c r="X34" i="8"/>
  <c r="W34" i="8"/>
  <c r="Z34" i="8"/>
  <c r="AA34" i="8"/>
  <c r="Q16" i="8"/>
  <c r="R16" i="8"/>
  <c r="Q20" i="8"/>
  <c r="R20" i="8"/>
  <c r="Q23" i="8"/>
  <c r="R23" i="8"/>
  <c r="R18" i="8"/>
  <c r="Q18" i="8"/>
  <c r="Q22" i="8"/>
  <c r="R22" i="8"/>
  <c r="R19" i="8"/>
  <c r="Q19" i="8"/>
  <c r="Q17" i="8"/>
  <c r="R17" i="8"/>
  <c r="Q21" i="8"/>
  <c r="R21" i="8"/>
  <c r="Q24" i="8"/>
  <c r="R24" i="8"/>
  <c r="Q26" i="8"/>
  <c r="R26" i="8"/>
  <c r="Q30" i="8"/>
  <c r="R30" i="8"/>
  <c r="R32" i="8"/>
  <c r="Q32" i="8"/>
  <c r="Q35" i="8"/>
  <c r="R35" i="8"/>
  <c r="R37" i="8"/>
  <c r="Q37" i="8"/>
  <c r="Q39" i="8"/>
  <c r="R39" i="8"/>
  <c r="R40" i="8"/>
  <c r="Q40" i="8"/>
  <c r="R25" i="8"/>
  <c r="Q25" i="8"/>
  <c r="Q28" i="8"/>
  <c r="R28" i="8"/>
  <c r="Q33" i="8"/>
  <c r="R33" i="8"/>
  <c r="R27" i="8"/>
  <c r="Q27" i="8"/>
  <c r="Q29" i="8"/>
  <c r="R29" i="8"/>
  <c r="R31" i="8"/>
  <c r="Q31" i="8"/>
  <c r="Q34" i="8"/>
  <c r="R34" i="8"/>
  <c r="R36" i="8"/>
  <c r="Q36" i="8"/>
  <c r="Q38" i="8"/>
  <c r="R38" i="8"/>
  <c r="U16" i="8"/>
  <c r="T16" i="8"/>
  <c r="T17" i="8"/>
  <c r="U17" i="8"/>
  <c r="U18" i="8"/>
  <c r="T18" i="8"/>
  <c r="T19" i="8"/>
  <c r="U19" i="8"/>
  <c r="U20" i="8"/>
  <c r="T20" i="8"/>
  <c r="T21" i="8"/>
  <c r="U21" i="8"/>
  <c r="U22" i="8"/>
  <c r="T22" i="8"/>
  <c r="T23" i="8"/>
  <c r="U23" i="8"/>
  <c r="T24" i="8"/>
  <c r="U24" i="8"/>
  <c r="U25" i="8"/>
  <c r="T25" i="8"/>
  <c r="T26" i="8"/>
  <c r="U26" i="8"/>
  <c r="T27" i="8"/>
  <c r="U27" i="8"/>
  <c r="U28" i="8"/>
  <c r="T28" i="8"/>
  <c r="U29" i="8"/>
  <c r="T29" i="8"/>
  <c r="U30" i="8"/>
  <c r="T30" i="8"/>
  <c r="U31" i="8"/>
  <c r="T31" i="8"/>
  <c r="T32" i="8"/>
  <c r="U32" i="8"/>
  <c r="T33" i="8"/>
  <c r="U33" i="8"/>
  <c r="T34" i="8"/>
  <c r="U34" i="8"/>
  <c r="U35" i="8"/>
  <c r="T35" i="8"/>
  <c r="T36" i="8"/>
  <c r="U36" i="8"/>
  <c r="T37" i="8"/>
  <c r="U37" i="8"/>
  <c r="T38" i="8"/>
  <c r="U38" i="8"/>
  <c r="U39" i="8"/>
  <c r="T39" i="8"/>
  <c r="T40" i="8"/>
  <c r="U40" i="8"/>
  <c r="Z31" i="7"/>
  <c r="AA31" i="7"/>
  <c r="W31" i="7"/>
  <c r="X31" i="7"/>
  <c r="Z27" i="7"/>
  <c r="AA27" i="7"/>
  <c r="W27" i="7"/>
  <c r="X27" i="7"/>
  <c r="Z23" i="7"/>
  <c r="AA23" i="7"/>
  <c r="W23" i="7"/>
  <c r="X23" i="7"/>
  <c r="Z19" i="7"/>
  <c r="AA19" i="7"/>
  <c r="W19" i="7"/>
  <c r="X19" i="7"/>
  <c r="W35" i="7"/>
  <c r="X35" i="7"/>
  <c r="Z35" i="7"/>
  <c r="AA35" i="7"/>
  <c r="X34" i="7"/>
  <c r="W34" i="7"/>
  <c r="Z34" i="7"/>
  <c r="AA34" i="7"/>
  <c r="W37" i="7"/>
  <c r="X37" i="7"/>
  <c r="Z37" i="7"/>
  <c r="AA37" i="7"/>
  <c r="W33" i="7"/>
  <c r="X33" i="7"/>
  <c r="Z33" i="7"/>
  <c r="AA33" i="7"/>
  <c r="X36" i="7"/>
  <c r="W36" i="7"/>
  <c r="AA36" i="7"/>
  <c r="Z36" i="7"/>
  <c r="X32" i="7"/>
  <c r="W32" i="7"/>
  <c r="AA32" i="7"/>
  <c r="Z32" i="7"/>
  <c r="Q16" i="7"/>
  <c r="R16" i="7"/>
  <c r="Q17" i="7"/>
  <c r="R17" i="7"/>
  <c r="Q18" i="7"/>
  <c r="R18" i="7"/>
  <c r="R19" i="7"/>
  <c r="Q19" i="7"/>
  <c r="Q20" i="7"/>
  <c r="R20" i="7"/>
  <c r="R21" i="7"/>
  <c r="Q21" i="7"/>
  <c r="Q22" i="7"/>
  <c r="R22" i="7"/>
  <c r="Q23" i="7"/>
  <c r="R23" i="7"/>
  <c r="Q24" i="7"/>
  <c r="R24" i="7"/>
  <c r="R25" i="7"/>
  <c r="Q25" i="7"/>
  <c r="Q26" i="7"/>
  <c r="R26" i="7"/>
  <c r="R27" i="7"/>
  <c r="Q27" i="7"/>
  <c r="Q28" i="7"/>
  <c r="R28" i="7"/>
  <c r="Q29" i="7"/>
  <c r="R29" i="7"/>
  <c r="Q30" i="7"/>
  <c r="R30" i="7"/>
  <c r="R31" i="7"/>
  <c r="Q31" i="7"/>
  <c r="Q32" i="7"/>
  <c r="R32" i="7"/>
  <c r="R33" i="7"/>
  <c r="Q33" i="7"/>
  <c r="Q34" i="7"/>
  <c r="R34" i="7"/>
  <c r="Q35" i="7"/>
  <c r="R35" i="7"/>
  <c r="Q36" i="7"/>
  <c r="R36" i="7"/>
  <c r="R37" i="7"/>
  <c r="Q37" i="7"/>
  <c r="Q38" i="7"/>
  <c r="R38" i="7"/>
  <c r="R39" i="7"/>
  <c r="Q39" i="7"/>
  <c r="Q40" i="7"/>
  <c r="R40" i="7"/>
  <c r="U16" i="7"/>
  <c r="T16" i="7"/>
  <c r="T17" i="7"/>
  <c r="U17" i="7"/>
  <c r="U18" i="7"/>
  <c r="T18" i="7"/>
  <c r="T19" i="7"/>
  <c r="U19" i="7"/>
  <c r="U20" i="7"/>
  <c r="T20" i="7"/>
  <c r="T21" i="7"/>
  <c r="U21" i="7"/>
  <c r="U22" i="7"/>
  <c r="T22" i="7"/>
  <c r="T23" i="7"/>
  <c r="U23" i="7"/>
  <c r="U24" i="7"/>
  <c r="T24" i="7"/>
  <c r="T25" i="7"/>
  <c r="U25" i="7"/>
  <c r="U26" i="7"/>
  <c r="T26" i="7"/>
  <c r="T27" i="7"/>
  <c r="U27" i="7"/>
  <c r="U28" i="7"/>
  <c r="T28" i="7"/>
  <c r="T29" i="7"/>
  <c r="U29" i="7"/>
  <c r="U30" i="7"/>
  <c r="T30" i="7"/>
  <c r="T31" i="7"/>
  <c r="U31" i="7"/>
  <c r="U32" i="7"/>
  <c r="T32" i="7"/>
  <c r="T33" i="7"/>
  <c r="U33" i="7"/>
  <c r="U34" i="7"/>
  <c r="T34" i="7"/>
  <c r="T35" i="7"/>
  <c r="U35" i="7"/>
  <c r="U36" i="7"/>
  <c r="T36" i="7"/>
  <c r="T37" i="7"/>
  <c r="U37" i="7"/>
  <c r="U38" i="7"/>
  <c r="T38" i="7"/>
  <c r="T39" i="7"/>
  <c r="U39" i="7"/>
  <c r="U40" i="7"/>
  <c r="T40" i="7"/>
  <c r="Z31" i="6"/>
  <c r="AA31" i="6"/>
  <c r="X31" i="6"/>
  <c r="W31" i="6"/>
  <c r="Z27" i="6"/>
  <c r="AA27" i="6"/>
  <c r="W27" i="6"/>
  <c r="X27" i="6"/>
  <c r="Z23" i="6"/>
  <c r="AA23" i="6"/>
  <c r="W23" i="6"/>
  <c r="X23" i="6"/>
  <c r="Z19" i="6"/>
  <c r="AA19" i="6"/>
  <c r="W19" i="6"/>
  <c r="X19" i="6"/>
  <c r="W40" i="6"/>
  <c r="X40" i="6"/>
  <c r="Z40" i="6"/>
  <c r="AA40" i="6"/>
  <c r="W36" i="6"/>
  <c r="X36" i="6"/>
  <c r="Z36" i="6"/>
  <c r="AA36" i="6"/>
  <c r="W39" i="6"/>
  <c r="X39" i="6"/>
  <c r="Z39" i="6"/>
  <c r="AA39" i="6"/>
  <c r="W38" i="6"/>
  <c r="X38" i="6"/>
  <c r="Z38" i="6"/>
  <c r="AA38" i="6"/>
  <c r="W35" i="6"/>
  <c r="X35" i="6"/>
  <c r="Z35" i="6"/>
  <c r="AA35" i="6"/>
  <c r="X37" i="6"/>
  <c r="W37" i="6"/>
  <c r="Z37" i="6"/>
  <c r="AA37" i="6"/>
  <c r="Q16" i="6"/>
  <c r="R16" i="6"/>
  <c r="Q20" i="6"/>
  <c r="R20" i="6"/>
  <c r="Q19" i="6"/>
  <c r="R19" i="6"/>
  <c r="Q18" i="6"/>
  <c r="R18" i="6"/>
  <c r="Q22" i="6"/>
  <c r="R22" i="6"/>
  <c r="Q17" i="6"/>
  <c r="R17" i="6"/>
  <c r="Q21" i="6"/>
  <c r="R21" i="6"/>
  <c r="Q25" i="6"/>
  <c r="R25" i="6"/>
  <c r="Q29" i="6"/>
  <c r="R29" i="6"/>
  <c r="Q34" i="6"/>
  <c r="R34" i="6"/>
  <c r="Q36" i="6"/>
  <c r="R36" i="6"/>
  <c r="Q39" i="6"/>
  <c r="R39" i="6"/>
  <c r="Q23" i="6"/>
  <c r="R23" i="6"/>
  <c r="Q26" i="6"/>
  <c r="R26" i="6"/>
  <c r="R27" i="6"/>
  <c r="Q27" i="6"/>
  <c r="Q30" i="6"/>
  <c r="R30" i="6"/>
  <c r="Q32" i="6"/>
  <c r="R32" i="6"/>
  <c r="Q40" i="6"/>
  <c r="R40" i="6"/>
  <c r="R24" i="6"/>
  <c r="Q24" i="6"/>
  <c r="R28" i="6"/>
  <c r="Q28" i="6"/>
  <c r="R31" i="6"/>
  <c r="Q31" i="6"/>
  <c r="R33" i="6"/>
  <c r="Q33" i="6"/>
  <c r="Q35" i="6"/>
  <c r="R35" i="6"/>
  <c r="R37" i="6"/>
  <c r="Q37" i="6"/>
  <c r="R38" i="6"/>
  <c r="Q38" i="6"/>
  <c r="U16" i="6"/>
  <c r="T16" i="6"/>
  <c r="U17" i="6"/>
  <c r="T17" i="6"/>
  <c r="U18" i="6"/>
  <c r="T18" i="6"/>
  <c r="U19" i="6"/>
  <c r="T19" i="6"/>
  <c r="U20" i="6"/>
  <c r="T20" i="6"/>
  <c r="T21" i="6"/>
  <c r="U21" i="6"/>
  <c r="U22" i="6"/>
  <c r="T22" i="6"/>
  <c r="U23" i="6"/>
  <c r="T23" i="6"/>
  <c r="T24" i="6"/>
  <c r="U24" i="6"/>
  <c r="U25" i="6"/>
  <c r="T25" i="6"/>
  <c r="U26" i="6"/>
  <c r="T26" i="6"/>
  <c r="U27" i="6"/>
  <c r="T27" i="6"/>
  <c r="T28" i="6"/>
  <c r="U28" i="6"/>
  <c r="T29" i="6"/>
  <c r="U29" i="6"/>
  <c r="U30" i="6"/>
  <c r="T30" i="6"/>
  <c r="T31" i="6"/>
  <c r="U31" i="6"/>
  <c r="T32" i="6"/>
  <c r="U32" i="6"/>
  <c r="T33" i="6"/>
  <c r="U33" i="6"/>
  <c r="T34" i="6"/>
  <c r="U34" i="6"/>
  <c r="T35" i="6"/>
  <c r="U35" i="6"/>
  <c r="U36" i="6"/>
  <c r="T36" i="6"/>
  <c r="T37" i="6"/>
  <c r="U37" i="6"/>
  <c r="T38" i="6"/>
  <c r="U38" i="6"/>
  <c r="T39" i="6"/>
  <c r="U39" i="6"/>
  <c r="T40" i="6"/>
  <c r="U40" i="6"/>
  <c r="Z26" i="8"/>
  <c r="AA26" i="8"/>
  <c r="X26" i="8"/>
  <c r="W26" i="8"/>
  <c r="Z18" i="8"/>
  <c r="AA18" i="8"/>
  <c r="X18" i="8"/>
  <c r="W18" i="8"/>
  <c r="M19" i="7" l="1"/>
  <c r="AV19" i="7"/>
  <c r="AV36" i="8"/>
  <c r="AV37" i="8"/>
  <c r="AV34" i="8"/>
  <c r="AV35" i="8"/>
  <c r="AV33" i="8"/>
  <c r="AV32" i="8"/>
  <c r="M27" i="8"/>
  <c r="AV27" i="8"/>
  <c r="AV24" i="6"/>
  <c r="AV32" i="6"/>
  <c r="N16" i="7"/>
  <c r="AV16" i="7"/>
  <c r="AV28" i="7"/>
  <c r="AV38" i="7"/>
  <c r="N16" i="8"/>
  <c r="AV16" i="8"/>
  <c r="M20" i="8"/>
  <c r="AV20" i="8"/>
  <c r="M24" i="8"/>
  <c r="AV24" i="8"/>
  <c r="M28" i="8"/>
  <c r="AV28" i="8"/>
  <c r="M38" i="8"/>
  <c r="AV38" i="8"/>
  <c r="AV40" i="6"/>
  <c r="AV35" i="6"/>
  <c r="AV38" i="6"/>
  <c r="AV37" i="6"/>
  <c r="AV36" i="6"/>
  <c r="AV39" i="6"/>
  <c r="N19" i="6"/>
  <c r="AV19" i="6"/>
  <c r="AV32" i="7"/>
  <c r="AV33" i="7"/>
  <c r="AV37" i="7"/>
  <c r="AV36" i="7"/>
  <c r="AV35" i="7"/>
  <c r="AV34" i="7"/>
  <c r="N19" i="8"/>
  <c r="AV19" i="8"/>
  <c r="M31" i="8"/>
  <c r="AV31" i="8"/>
  <c r="N20" i="6"/>
  <c r="AV20" i="6"/>
  <c r="N20" i="7"/>
  <c r="AV20" i="7"/>
  <c r="N24" i="7"/>
  <c r="AV24" i="7"/>
  <c r="N17" i="6"/>
  <c r="AV17" i="6"/>
  <c r="N21" i="6"/>
  <c r="AV21" i="6"/>
  <c r="AV25" i="6"/>
  <c r="AV29" i="6"/>
  <c r="M33" i="6"/>
  <c r="AV33" i="6"/>
  <c r="N17" i="7"/>
  <c r="AV17" i="7"/>
  <c r="N21" i="7"/>
  <c r="AV21" i="7"/>
  <c r="AV25" i="7"/>
  <c r="N29" i="7"/>
  <c r="AV29" i="7"/>
  <c r="N39" i="7"/>
  <c r="AV39" i="7"/>
  <c r="N17" i="8"/>
  <c r="AV17" i="8"/>
  <c r="N21" i="8"/>
  <c r="AV21" i="8"/>
  <c r="M25" i="8"/>
  <c r="AV25" i="8"/>
  <c r="M29" i="8"/>
  <c r="AV29" i="8"/>
  <c r="M39" i="8"/>
  <c r="AV39" i="8"/>
  <c r="M23" i="6"/>
  <c r="AV23" i="6"/>
  <c r="M27" i="6"/>
  <c r="AV27" i="6"/>
  <c r="M31" i="6"/>
  <c r="AV31" i="6"/>
  <c r="N23" i="7"/>
  <c r="AV23" i="7"/>
  <c r="N27" i="7"/>
  <c r="AV27" i="7"/>
  <c r="N31" i="7"/>
  <c r="AV31" i="7"/>
  <c r="M23" i="8"/>
  <c r="AV23" i="8"/>
  <c r="N16" i="6"/>
  <c r="AV16" i="6"/>
  <c r="M28" i="6"/>
  <c r="AV28" i="6"/>
  <c r="N18" i="6"/>
  <c r="AV18" i="6"/>
  <c r="M22" i="6"/>
  <c r="AV22" i="6"/>
  <c r="AV26" i="6"/>
  <c r="N30" i="6"/>
  <c r="AV30" i="6"/>
  <c r="M34" i="6"/>
  <c r="AV34" i="6"/>
  <c r="N18" i="7"/>
  <c r="AV18" i="7"/>
  <c r="N22" i="7"/>
  <c r="AV22" i="7"/>
  <c r="M26" i="7"/>
  <c r="AV26" i="7"/>
  <c r="M30" i="7"/>
  <c r="AV30" i="7"/>
  <c r="M40" i="7"/>
  <c r="AV40" i="7"/>
  <c r="M18" i="8"/>
  <c r="AV18" i="8"/>
  <c r="AV22" i="8"/>
  <c r="M26" i="8"/>
  <c r="AV26" i="8"/>
  <c r="M30" i="8"/>
  <c r="AV30" i="8"/>
  <c r="N40" i="8"/>
  <c r="AV40" i="8"/>
  <c r="AL31" i="8"/>
  <c r="AP40" i="8"/>
  <c r="AH31" i="8"/>
  <c r="AL27" i="8"/>
  <c r="AP30" i="8"/>
  <c r="AH27" i="8"/>
  <c r="AP26" i="8"/>
  <c r="AH23" i="8"/>
  <c r="AP22" i="8"/>
  <c r="AH19" i="8"/>
  <c r="AP18" i="8"/>
  <c r="AH38" i="7"/>
  <c r="AP31" i="7"/>
  <c r="AH28" i="7"/>
  <c r="AP27" i="7"/>
  <c r="AH24" i="7"/>
  <c r="AP23" i="7"/>
  <c r="AH20" i="7"/>
  <c r="AL16" i="7"/>
  <c r="AP19" i="7"/>
  <c r="AH16" i="7"/>
  <c r="AH32" i="6"/>
  <c r="AP31" i="6"/>
  <c r="AH28" i="6"/>
  <c r="AP27" i="6"/>
  <c r="AH24" i="6"/>
  <c r="AP23" i="6"/>
  <c r="AH20" i="6"/>
  <c r="AP19" i="6"/>
  <c r="AL16" i="6"/>
  <c r="AH16" i="6"/>
  <c r="B24" i="6" l="1"/>
  <c r="B28" i="6"/>
  <c r="AL40" i="8"/>
  <c r="AR17" i="10"/>
  <c r="AH40" i="8"/>
  <c r="B17" i="10" l="1"/>
  <c r="AL30" i="8"/>
  <c r="AP39" i="8"/>
  <c r="AH30" i="8"/>
  <c r="AP29" i="8"/>
  <c r="AH26" i="8"/>
  <c r="AP25" i="8"/>
  <c r="AH22" i="8"/>
  <c r="AP21" i="8"/>
  <c r="AH18" i="8"/>
  <c r="AP17" i="8"/>
  <c r="AP40" i="7"/>
  <c r="AH31" i="7"/>
  <c r="AP30" i="7"/>
  <c r="AH27" i="7"/>
  <c r="AP26" i="7"/>
  <c r="AH23" i="7"/>
  <c r="AP22" i="7"/>
  <c r="AH19" i="7"/>
  <c r="AP18" i="7"/>
  <c r="AP34" i="6"/>
  <c r="AH31" i="6"/>
  <c r="AP30" i="6"/>
  <c r="AH27" i="6"/>
  <c r="AP26" i="6"/>
  <c r="AH23" i="6"/>
  <c r="AP22" i="6"/>
  <c r="AH19" i="6"/>
  <c r="AP18" i="6"/>
  <c r="AH28" i="8"/>
  <c r="AP27" i="8"/>
  <c r="AH16" i="8"/>
  <c r="AH39" i="7"/>
  <c r="AP38" i="7"/>
  <c r="AP28" i="7"/>
  <c r="AH25" i="7"/>
  <c r="B23" i="6" l="1"/>
  <c r="B27" i="6"/>
  <c r="B31" i="6"/>
  <c r="AL21" i="7"/>
  <c r="AH17" i="7"/>
  <c r="AP16" i="7"/>
  <c r="AH29" i="6"/>
  <c r="AP28" i="6"/>
  <c r="AH25" i="6"/>
  <c r="AP24" i="6"/>
  <c r="AH17" i="6"/>
  <c r="B25" i="6" l="1"/>
  <c r="B29" i="6"/>
  <c r="AL39" i="8"/>
  <c r="AP16" i="6"/>
  <c r="AH39" i="8"/>
  <c r="AP38" i="8"/>
  <c r="AH29" i="8"/>
  <c r="AL25" i="8"/>
  <c r="AP28" i="8"/>
  <c r="AH25" i="8"/>
  <c r="AL21" i="8"/>
  <c r="AP24" i="8"/>
  <c r="AH21" i="8"/>
  <c r="AL17" i="8"/>
  <c r="AP20" i="8"/>
  <c r="AH17" i="8"/>
  <c r="AL40" i="7"/>
  <c r="AP16" i="8"/>
  <c r="AH40" i="7"/>
  <c r="AP39" i="7"/>
  <c r="AH30" i="7"/>
  <c r="AP29" i="7"/>
  <c r="AH26" i="7"/>
  <c r="AP25" i="7"/>
  <c r="AH22" i="7"/>
  <c r="AP21" i="7"/>
  <c r="AH18" i="7"/>
  <c r="AP17" i="7"/>
  <c r="AH34" i="6"/>
  <c r="AP33" i="6"/>
  <c r="AH30" i="6"/>
  <c r="AP29" i="6"/>
  <c r="AH26" i="6"/>
  <c r="AP25" i="6"/>
  <c r="AH22" i="6"/>
  <c r="AP21" i="6"/>
  <c r="AH18" i="6"/>
  <c r="B26" i="6" l="1"/>
  <c r="B30" i="6"/>
  <c r="AL28" i="8"/>
  <c r="AP17" i="6"/>
  <c r="AH24" i="8"/>
  <c r="AP23" i="8"/>
  <c r="AH20" i="8"/>
  <c r="AL16" i="8"/>
  <c r="AL39" i="7"/>
  <c r="AP19" i="8"/>
  <c r="AH29" i="7"/>
  <c r="AP24" i="7"/>
  <c r="AH21" i="7"/>
  <c r="AL17" i="7"/>
  <c r="AP20" i="7"/>
  <c r="AH33" i="6"/>
  <c r="AP32" i="6"/>
  <c r="AH21" i="6"/>
  <c r="AP20" i="6"/>
  <c r="AL17" i="6"/>
  <c r="AH38" i="8"/>
  <c r="AP31" i="8"/>
  <c r="BC32" i="6" l="1"/>
  <c r="BC39" i="7"/>
  <c r="BC28" i="6"/>
  <c r="BC22" i="6"/>
  <c r="BC29" i="8"/>
  <c r="BC37" i="6"/>
  <c r="BC24" i="8"/>
  <c r="BC36" i="7"/>
  <c r="BC35" i="7"/>
  <c r="BC20" i="7"/>
  <c r="BC26" i="8"/>
  <c r="BC21" i="6"/>
  <c r="BC39" i="6"/>
  <c r="BC38" i="7"/>
  <c r="BC16" i="8"/>
  <c r="BC22" i="7"/>
  <c r="BC26" i="6"/>
  <c r="BC17" i="8"/>
  <c r="BC33" i="8"/>
  <c r="BC24" i="7"/>
  <c r="BC40" i="7"/>
  <c r="BC20" i="6"/>
  <c r="BC36" i="6"/>
  <c r="BC34" i="8"/>
  <c r="BC27" i="6"/>
  <c r="BC29" i="6"/>
  <c r="BC30" i="8"/>
  <c r="BC37" i="7"/>
  <c r="BC18" i="6"/>
  <c r="BC16" i="6"/>
  <c r="BC19" i="8"/>
  <c r="BC35" i="8"/>
  <c r="BC26" i="7"/>
  <c r="BC33" i="7"/>
  <c r="BC22" i="8"/>
  <c r="BC29" i="7"/>
  <c r="BC31" i="8"/>
  <c r="BC32" i="8"/>
  <c r="BC27" i="7"/>
  <c r="BC24" i="6"/>
  <c r="BC21" i="8"/>
  <c r="BC37" i="8"/>
  <c r="BC28" i="7"/>
  <c r="BC28" i="8"/>
  <c r="BC19" i="6"/>
  <c r="BC20" i="8"/>
  <c r="BC30" i="6"/>
  <c r="BC38" i="8"/>
  <c r="BC17" i="7"/>
  <c r="BC34" i="6"/>
  <c r="BC23" i="8"/>
  <c r="BC39" i="8"/>
  <c r="BC30" i="7"/>
  <c r="BC31" i="7"/>
  <c r="BC40" i="6"/>
  <c r="BC33" i="6"/>
  <c r="BC19" i="7"/>
  <c r="BC38" i="6"/>
  <c r="BC25" i="6"/>
  <c r="BC31" i="6"/>
  <c r="BC25" i="8"/>
  <c r="BC32" i="7"/>
  <c r="BC40" i="8"/>
  <c r="BC23" i="7"/>
  <c r="BC21" i="7"/>
  <c r="BC36" i="8"/>
  <c r="BC35" i="6"/>
  <c r="BC18" i="8"/>
  <c r="BC25" i="7"/>
  <c r="BC17" i="6"/>
  <c r="BC23" i="6"/>
  <c r="BC27" i="8"/>
  <c r="BC18" i="7"/>
  <c r="BC34" i="7"/>
  <c r="BC16" i="7"/>
  <c r="AU30" i="8"/>
  <c r="AU37" i="8"/>
  <c r="AU23" i="8"/>
  <c r="AU29" i="8"/>
  <c r="AU22" i="8"/>
  <c r="AU19" i="8"/>
  <c r="AU28" i="8"/>
  <c r="AU24" i="8"/>
  <c r="AU35" i="8"/>
  <c r="AU40" i="8"/>
  <c r="AU21" i="8"/>
  <c r="AU39" i="8"/>
  <c r="AU36" i="8"/>
  <c r="AU26" i="8"/>
  <c r="AU25" i="8"/>
  <c r="AU32" i="8"/>
  <c r="AU27" i="8"/>
  <c r="AU18" i="8"/>
  <c r="AU38" i="8"/>
  <c r="AU34" i="8"/>
  <c r="AU17" i="8"/>
  <c r="AU31" i="8"/>
  <c r="AU33" i="8"/>
  <c r="AU20" i="8"/>
  <c r="AU16" i="8"/>
  <c r="AU29" i="7"/>
  <c r="AU22" i="7"/>
  <c r="AU37" i="7"/>
  <c r="AU39" i="7"/>
  <c r="AU31" i="7"/>
  <c r="AU19" i="7"/>
  <c r="AU30" i="7"/>
  <c r="AU23" i="7"/>
  <c r="AU38" i="7"/>
  <c r="AU20" i="7"/>
  <c r="AU35" i="7"/>
  <c r="AU18" i="7"/>
  <c r="AU24" i="7"/>
  <c r="AU32" i="7"/>
  <c r="AU28" i="7"/>
  <c r="AU16" i="7"/>
  <c r="AU21" i="7"/>
  <c r="AU17" i="7"/>
  <c r="AU40" i="7"/>
  <c r="AU27" i="7"/>
  <c r="AU26" i="7"/>
  <c r="AU25" i="7"/>
  <c r="AU36" i="7"/>
  <c r="AU33" i="7"/>
  <c r="AU34" i="7"/>
  <c r="AU34" i="6"/>
  <c r="AU26" i="6"/>
  <c r="AU24" i="6"/>
  <c r="AU16" i="6"/>
  <c r="AU39" i="6"/>
  <c r="AU38" i="6"/>
  <c r="AU37" i="6"/>
  <c r="AU31" i="6"/>
  <c r="AU21" i="6"/>
  <c r="AU19" i="6"/>
  <c r="AU30" i="6"/>
  <c r="AU29" i="6"/>
  <c r="AU36" i="6"/>
  <c r="AU32" i="6"/>
  <c r="AU25" i="6"/>
  <c r="AU33" i="6"/>
  <c r="AU20" i="6"/>
  <c r="AU18" i="6"/>
  <c r="AU40" i="6"/>
  <c r="AU27" i="6"/>
  <c r="AU35" i="6"/>
  <c r="AU28" i="6"/>
  <c r="AU23" i="6"/>
  <c r="AU22" i="6"/>
  <c r="AU17" i="6"/>
  <c r="AY34" i="6"/>
  <c r="AY26" i="6"/>
  <c r="AY24" i="6"/>
  <c r="AY39" i="6"/>
  <c r="AY38" i="6"/>
  <c r="AY37" i="6"/>
  <c r="AY31" i="6"/>
  <c r="AY21" i="6"/>
  <c r="AY19" i="6"/>
  <c r="AY30" i="6"/>
  <c r="AY29" i="6"/>
  <c r="AY36" i="6"/>
  <c r="AY32" i="6"/>
  <c r="AY25" i="6"/>
  <c r="AY33" i="6"/>
  <c r="AY20" i="6"/>
  <c r="AY18" i="6"/>
  <c r="AY40" i="6"/>
  <c r="AY27" i="6"/>
  <c r="AY35" i="6"/>
  <c r="AY28" i="6"/>
  <c r="AY23" i="6"/>
  <c r="AY22" i="6"/>
  <c r="AY17" i="6"/>
  <c r="AY16" i="6"/>
  <c r="AY29" i="7"/>
  <c r="AY22" i="7"/>
  <c r="AY37" i="7"/>
  <c r="AY39" i="7"/>
  <c r="AY31" i="7"/>
  <c r="AY19" i="7"/>
  <c r="AY30" i="7"/>
  <c r="AY23" i="7"/>
  <c r="AY38" i="7"/>
  <c r="AY20" i="7"/>
  <c r="AY35" i="7"/>
  <c r="AY18" i="7"/>
  <c r="AY24" i="7"/>
  <c r="AY32" i="7"/>
  <c r="AY28" i="7"/>
  <c r="AY21" i="7"/>
  <c r="AY17" i="7"/>
  <c r="AY40" i="7"/>
  <c r="AY27" i="7"/>
  <c r="AY26" i="7"/>
  <c r="AY25" i="7"/>
  <c r="AY36" i="7"/>
  <c r="AY33" i="7"/>
  <c r="AY34" i="7"/>
  <c r="AY16" i="7"/>
  <c r="AY30" i="8"/>
  <c r="AY37" i="8"/>
  <c r="AY23" i="8"/>
  <c r="AY29" i="8"/>
  <c r="AY22" i="8"/>
  <c r="AY19" i="8"/>
  <c r="AY28" i="8"/>
  <c r="AY24" i="8"/>
  <c r="AY35" i="8"/>
  <c r="AY40" i="8"/>
  <c r="AY21" i="8"/>
  <c r="AY39" i="8"/>
  <c r="AY36" i="8"/>
  <c r="AY26" i="8"/>
  <c r="AY25" i="8"/>
  <c r="AY32" i="8"/>
  <c r="AY27" i="8"/>
  <c r="AY18" i="8"/>
  <c r="AY38" i="8"/>
  <c r="AY34" i="8"/>
  <c r="AY17" i="8"/>
  <c r="AY31" i="8"/>
  <c r="AY33" i="8"/>
  <c r="AY20" i="8"/>
  <c r="AQ31" i="8"/>
  <c r="AL38" i="8"/>
  <c r="AN38" i="8"/>
  <c r="AM39" i="8"/>
  <c r="AI39" i="8"/>
  <c r="AJ39" i="8"/>
  <c r="AK39" i="8"/>
  <c r="AN17" i="6"/>
  <c r="BG18" i="6"/>
  <c r="AI18" i="6"/>
  <c r="AM18" i="6"/>
  <c r="AJ18" i="6"/>
  <c r="AK18" i="6"/>
  <c r="BM20" i="6"/>
  <c r="AQ20" i="6"/>
  <c r="AI22" i="6"/>
  <c r="AM22" i="6"/>
  <c r="AJ22" i="6"/>
  <c r="AK22" i="6"/>
  <c r="AN25" i="6"/>
  <c r="AN29" i="6"/>
  <c r="AL29" i="6"/>
  <c r="BM32" i="6"/>
  <c r="AQ32" i="6"/>
  <c r="AI34" i="6"/>
  <c r="AM34" i="6"/>
  <c r="AJ34" i="6"/>
  <c r="AK34" i="6"/>
  <c r="BK17" i="7"/>
  <c r="AN17" i="7"/>
  <c r="BM20" i="7"/>
  <c r="AQ20" i="7"/>
  <c r="BM24" i="7"/>
  <c r="AQ24" i="7"/>
  <c r="AL25" i="7"/>
  <c r="AN25" i="7"/>
  <c r="BF26" i="7"/>
  <c r="AI26" i="7"/>
  <c r="AM26" i="7"/>
  <c r="AJ26" i="7"/>
  <c r="AK26" i="7"/>
  <c r="AN39" i="7"/>
  <c r="AN16" i="8"/>
  <c r="AQ19" i="8"/>
  <c r="AQ23" i="8"/>
  <c r="AN28" i="8"/>
  <c r="BF29" i="8"/>
  <c r="AI29" i="8"/>
  <c r="AM29" i="8"/>
  <c r="AJ29" i="8"/>
  <c r="AK29" i="8"/>
  <c r="BM17" i="6"/>
  <c r="AQ17" i="6"/>
  <c r="AN18" i="6"/>
  <c r="AL18" i="6"/>
  <c r="AI19" i="6"/>
  <c r="AM19" i="6"/>
  <c r="AJ19" i="6"/>
  <c r="AK19" i="6"/>
  <c r="AQ21" i="6"/>
  <c r="AN22" i="6"/>
  <c r="AL22" i="6"/>
  <c r="AI23" i="6"/>
  <c r="AM23" i="6"/>
  <c r="AJ23" i="6"/>
  <c r="AK23" i="6"/>
  <c r="AQ25" i="6"/>
  <c r="BJ26" i="6"/>
  <c r="AN26" i="6"/>
  <c r="AL26" i="6"/>
  <c r="AI27" i="6"/>
  <c r="AM27" i="6"/>
  <c r="AJ27" i="6"/>
  <c r="AK27" i="6"/>
  <c r="AQ29" i="6"/>
  <c r="AN30" i="6"/>
  <c r="AI31" i="6"/>
  <c r="AM31" i="6"/>
  <c r="AJ31" i="6"/>
  <c r="AK31" i="6"/>
  <c r="AQ33" i="6"/>
  <c r="AN34" i="6"/>
  <c r="BM17" i="7"/>
  <c r="AQ17" i="7"/>
  <c r="AL18" i="7"/>
  <c r="AN18" i="7"/>
  <c r="BG19" i="7"/>
  <c r="AI19" i="7"/>
  <c r="AM19" i="7"/>
  <c r="AJ19" i="7"/>
  <c r="AK19" i="7"/>
  <c r="AQ21" i="7"/>
  <c r="BJ22" i="7"/>
  <c r="AL22" i="7"/>
  <c r="AN22" i="7"/>
  <c r="BF23" i="7"/>
  <c r="AI23" i="7"/>
  <c r="AM23" i="7"/>
  <c r="AJ23" i="7"/>
  <c r="AK23" i="7"/>
  <c r="AQ25" i="7"/>
  <c r="BK26" i="7"/>
  <c r="AL26" i="7"/>
  <c r="AN26" i="7"/>
  <c r="AI27" i="7"/>
  <c r="AM27" i="7"/>
  <c r="AJ27" i="7"/>
  <c r="AK27" i="7"/>
  <c r="BM29" i="7"/>
  <c r="AQ29" i="7"/>
  <c r="AL30" i="7"/>
  <c r="AN30" i="7"/>
  <c r="AI31" i="7"/>
  <c r="AM31" i="7"/>
  <c r="AJ31" i="7"/>
  <c r="AK31" i="7"/>
  <c r="BM39" i="7"/>
  <c r="AQ39" i="7"/>
  <c r="AN40" i="7"/>
  <c r="AQ16" i="8"/>
  <c r="AN17" i="8"/>
  <c r="BG18" i="8"/>
  <c r="AI18" i="8"/>
  <c r="AM18" i="8"/>
  <c r="AJ18" i="8"/>
  <c r="AK18" i="8"/>
  <c r="AQ20" i="8"/>
  <c r="AN21" i="8"/>
  <c r="BG22" i="8"/>
  <c r="AI22" i="8"/>
  <c r="AM22" i="8"/>
  <c r="AJ22" i="8"/>
  <c r="AK22" i="8"/>
  <c r="AQ24" i="8"/>
  <c r="AN25" i="8"/>
  <c r="BI26" i="8"/>
  <c r="AI26" i="8"/>
  <c r="AM26" i="8"/>
  <c r="AJ26" i="8"/>
  <c r="AK26" i="8"/>
  <c r="AQ28" i="8"/>
  <c r="AL29" i="8"/>
  <c r="AN29" i="8"/>
  <c r="BF30" i="8"/>
  <c r="AM30" i="8"/>
  <c r="AI30" i="8"/>
  <c r="AJ30" i="8"/>
  <c r="AK30" i="8"/>
  <c r="AQ38" i="8"/>
  <c r="AN39" i="8"/>
  <c r="AI40" i="8"/>
  <c r="AJ40" i="8"/>
  <c r="AM40" i="8"/>
  <c r="AK40" i="8"/>
  <c r="BM16" i="6"/>
  <c r="AQ16" i="6"/>
  <c r="AN21" i="6"/>
  <c r="AL21" i="6"/>
  <c r="BM24" i="6"/>
  <c r="AQ24" i="6"/>
  <c r="BF26" i="6"/>
  <c r="AI26" i="6"/>
  <c r="AM26" i="6"/>
  <c r="AJ26" i="6"/>
  <c r="AK26" i="6"/>
  <c r="BM28" i="6"/>
  <c r="AQ28" i="6"/>
  <c r="AI30" i="6"/>
  <c r="AM30" i="6"/>
  <c r="AJ30" i="6"/>
  <c r="AK30" i="6"/>
  <c r="AL33" i="6"/>
  <c r="AN33" i="6"/>
  <c r="BM16" i="7"/>
  <c r="AQ16" i="7"/>
  <c r="AI18" i="7"/>
  <c r="AM18" i="7"/>
  <c r="AJ18" i="7"/>
  <c r="AK18" i="7"/>
  <c r="AN21" i="7"/>
  <c r="AI22" i="7"/>
  <c r="AM22" i="7"/>
  <c r="AJ22" i="7"/>
  <c r="AK22" i="7"/>
  <c r="AQ28" i="7"/>
  <c r="AL29" i="7"/>
  <c r="AN29" i="7"/>
  <c r="AI30" i="7"/>
  <c r="AM30" i="7"/>
  <c r="AJ30" i="7"/>
  <c r="AK30" i="7"/>
  <c r="AQ38" i="7"/>
  <c r="BF40" i="7"/>
  <c r="AM40" i="7"/>
  <c r="AI40" i="7"/>
  <c r="AJ40" i="7"/>
  <c r="AK40" i="7"/>
  <c r="BG17" i="8"/>
  <c r="AJ17" i="8"/>
  <c r="AM17" i="8"/>
  <c r="AI17" i="8"/>
  <c r="AK17" i="8"/>
  <c r="AL20" i="8"/>
  <c r="AN20" i="8"/>
  <c r="BI21" i="8"/>
  <c r="AM21" i="8"/>
  <c r="AI21" i="8"/>
  <c r="AJ21" i="8"/>
  <c r="AK21" i="8"/>
  <c r="AL24" i="8"/>
  <c r="AN24" i="8"/>
  <c r="AM25" i="8"/>
  <c r="AI25" i="8"/>
  <c r="AJ25" i="8"/>
  <c r="AK25" i="8"/>
  <c r="AQ27" i="8"/>
  <c r="AM16" i="6"/>
  <c r="AJ16" i="6"/>
  <c r="AI16" i="6"/>
  <c r="AK16" i="6"/>
  <c r="AQ18" i="6"/>
  <c r="AN19" i="6"/>
  <c r="AL19" i="6"/>
  <c r="BG20" i="6"/>
  <c r="AI20" i="6"/>
  <c r="AM20" i="6"/>
  <c r="AJ20" i="6"/>
  <c r="AK20" i="6"/>
  <c r="AQ22" i="6"/>
  <c r="AN23" i="6"/>
  <c r="AL23" i="6"/>
  <c r="AI24" i="6"/>
  <c r="AM24" i="6"/>
  <c r="AJ24" i="6"/>
  <c r="AK24" i="6"/>
  <c r="AQ26" i="6"/>
  <c r="AN27" i="6"/>
  <c r="AI28" i="6"/>
  <c r="AM28" i="6"/>
  <c r="AJ28" i="6"/>
  <c r="AK28" i="6"/>
  <c r="AQ30" i="6"/>
  <c r="AN31" i="6"/>
  <c r="BG32" i="6"/>
  <c r="AI32" i="6"/>
  <c r="AM32" i="6"/>
  <c r="AJ32" i="6"/>
  <c r="AK32" i="6"/>
  <c r="BM34" i="6"/>
  <c r="AQ34" i="6"/>
  <c r="BF16" i="7"/>
  <c r="AM16" i="7"/>
  <c r="AJ16" i="7"/>
  <c r="AI16" i="7"/>
  <c r="AK16" i="7"/>
  <c r="AQ18" i="7"/>
  <c r="AL19" i="7"/>
  <c r="AN19" i="7"/>
  <c r="AI20" i="7"/>
  <c r="AM20" i="7"/>
  <c r="AJ20" i="7"/>
  <c r="AK20" i="7"/>
  <c r="BM22" i="7"/>
  <c r="AQ22" i="7"/>
  <c r="BJ23" i="7"/>
  <c r="AL23" i="7"/>
  <c r="AN23" i="7"/>
  <c r="BG24" i="7"/>
  <c r="AI24" i="7"/>
  <c r="AM24" i="7"/>
  <c r="AJ24" i="7"/>
  <c r="AK24" i="7"/>
  <c r="AQ26" i="7"/>
  <c r="BJ27" i="7"/>
  <c r="AL27" i="7"/>
  <c r="AN27" i="7"/>
  <c r="BG28" i="7"/>
  <c r="AI28" i="7"/>
  <c r="AM28" i="7"/>
  <c r="AJ28" i="7"/>
  <c r="AK28" i="7"/>
  <c r="BM30" i="7"/>
  <c r="AQ30" i="7"/>
  <c r="BJ31" i="7"/>
  <c r="AL31" i="7"/>
  <c r="AN31" i="7"/>
  <c r="BG38" i="7"/>
  <c r="AI38" i="7"/>
  <c r="AM38" i="7"/>
  <c r="AJ38" i="7"/>
  <c r="AK38" i="7"/>
  <c r="BM40" i="7"/>
  <c r="AQ40" i="7"/>
  <c r="BM17" i="8"/>
  <c r="AQ17" i="8"/>
  <c r="AL18" i="8"/>
  <c r="AN18" i="8"/>
  <c r="BG19" i="8"/>
  <c r="AI19" i="8"/>
  <c r="AM19" i="8"/>
  <c r="AJ19" i="8"/>
  <c r="AK19" i="8"/>
  <c r="AQ21" i="8"/>
  <c r="AL22" i="8"/>
  <c r="AN22" i="8"/>
  <c r="AI23" i="8"/>
  <c r="AM23" i="8"/>
  <c r="AJ23" i="8"/>
  <c r="AK23" i="8"/>
  <c r="AQ25" i="8"/>
  <c r="AN26" i="8"/>
  <c r="AL26" i="8"/>
  <c r="BF27" i="8"/>
  <c r="AI27" i="8"/>
  <c r="AJ27" i="8"/>
  <c r="AM27" i="8"/>
  <c r="AK27" i="8"/>
  <c r="AQ29" i="8"/>
  <c r="AN30" i="8"/>
  <c r="AM31" i="8"/>
  <c r="AI31" i="8"/>
  <c r="AJ31" i="8"/>
  <c r="AK31" i="8"/>
  <c r="AQ39" i="8"/>
  <c r="AN40" i="8"/>
  <c r="AN16" i="6"/>
  <c r="BF17" i="6"/>
  <c r="AM17" i="6"/>
  <c r="AI17" i="6"/>
  <c r="AJ17" i="6"/>
  <c r="AK17" i="6"/>
  <c r="AQ19" i="6"/>
  <c r="AN20" i="6"/>
  <c r="AL20" i="6"/>
  <c r="AI21" i="6"/>
  <c r="AM21" i="6"/>
  <c r="AJ21" i="6"/>
  <c r="AK21" i="6"/>
  <c r="AQ23" i="6"/>
  <c r="AN24" i="6"/>
  <c r="AL24" i="6"/>
  <c r="AI25" i="6"/>
  <c r="AM25" i="6"/>
  <c r="AJ25" i="6"/>
  <c r="AK25" i="6"/>
  <c r="AQ27" i="6"/>
  <c r="AN28" i="6"/>
  <c r="BI29" i="6"/>
  <c r="AI29" i="6"/>
  <c r="AM29" i="6"/>
  <c r="AJ29" i="6"/>
  <c r="AK29" i="6"/>
  <c r="BM31" i="6"/>
  <c r="AQ31" i="6"/>
  <c r="AN32" i="6"/>
  <c r="AL32" i="6"/>
  <c r="BI33" i="6"/>
  <c r="AI33" i="6"/>
  <c r="AM33" i="6"/>
  <c r="AJ33" i="6"/>
  <c r="AK33" i="6"/>
  <c r="BK16" i="7"/>
  <c r="AN16" i="7"/>
  <c r="BG17" i="7"/>
  <c r="AJ17" i="7"/>
  <c r="AM17" i="7"/>
  <c r="AI17" i="7"/>
  <c r="AK17" i="7"/>
  <c r="BM19" i="7"/>
  <c r="AQ19" i="7"/>
  <c r="AL20" i="7"/>
  <c r="AN20" i="7"/>
  <c r="AM21" i="7"/>
  <c r="AI21" i="7"/>
  <c r="AJ21" i="7"/>
  <c r="AK21" i="7"/>
  <c r="BM23" i="7"/>
  <c r="AQ23" i="7"/>
  <c r="BJ24" i="7"/>
  <c r="AL24" i="7"/>
  <c r="AN24" i="7"/>
  <c r="BG25" i="7"/>
  <c r="AI25" i="7"/>
  <c r="AM25" i="7"/>
  <c r="AJ25" i="7"/>
  <c r="AK25" i="7"/>
  <c r="AQ27" i="7"/>
  <c r="AL28" i="7"/>
  <c r="AN28" i="7"/>
  <c r="AI29" i="7"/>
  <c r="AM29" i="7"/>
  <c r="AJ29" i="7"/>
  <c r="AK29" i="7"/>
  <c r="BM31" i="7"/>
  <c r="AQ31" i="7"/>
  <c r="AL38" i="7"/>
  <c r="AN38" i="7"/>
  <c r="BI39" i="7"/>
  <c r="AM39" i="7"/>
  <c r="AI39" i="7"/>
  <c r="AJ39" i="7"/>
  <c r="AK39" i="7"/>
  <c r="BI16" i="8"/>
  <c r="AJ16" i="8"/>
  <c r="AI16" i="8"/>
  <c r="AM16" i="8"/>
  <c r="AK16" i="8"/>
  <c r="AQ18" i="8"/>
  <c r="AL19" i="8"/>
  <c r="AN19" i="8"/>
  <c r="BG20" i="8"/>
  <c r="AI20" i="8"/>
  <c r="AM20" i="8"/>
  <c r="AJ20" i="8"/>
  <c r="AK20" i="8"/>
  <c r="AQ22" i="8"/>
  <c r="AL23" i="8"/>
  <c r="AN23" i="8"/>
  <c r="AI24" i="8"/>
  <c r="AM24" i="8"/>
  <c r="AJ24" i="8"/>
  <c r="AK24" i="8"/>
  <c r="AQ26" i="8"/>
  <c r="AN27" i="8"/>
  <c r="BF28" i="8"/>
  <c r="AJ28" i="8"/>
  <c r="AM28" i="8"/>
  <c r="AI28" i="8"/>
  <c r="AK28" i="8"/>
  <c r="AQ30" i="8"/>
  <c r="AN31" i="8"/>
  <c r="AI38" i="8"/>
  <c r="AM38" i="8"/>
  <c r="AJ38" i="8"/>
  <c r="AK38" i="8"/>
  <c r="BM40" i="8"/>
  <c r="AQ40" i="8"/>
  <c r="BK20" i="8"/>
  <c r="BJ38" i="8"/>
  <c r="BK17" i="8"/>
  <c r="BJ21" i="8"/>
  <c r="BJ25" i="8"/>
  <c r="BJ29" i="8"/>
  <c r="BK18" i="8"/>
  <c r="BJ26" i="8"/>
  <c r="BJ30" i="8"/>
  <c r="BK19" i="8"/>
  <c r="BJ23" i="8"/>
  <c r="BL22" i="7"/>
  <c r="BL16" i="6"/>
  <c r="AC36" i="6"/>
  <c r="AC38" i="6"/>
  <c r="AC40" i="6"/>
  <c r="AC35" i="6"/>
  <c r="AC39" i="6"/>
  <c r="AC37" i="6"/>
  <c r="BO19" i="6"/>
  <c r="BO22" i="6"/>
  <c r="BG23" i="6"/>
  <c r="BO24" i="6"/>
  <c r="BO27" i="6"/>
  <c r="BO29" i="6"/>
  <c r="BO33" i="6"/>
  <c r="BO16" i="7"/>
  <c r="AC21" i="7"/>
  <c r="BO23" i="7"/>
  <c r="BO27" i="7"/>
  <c r="AC29" i="7"/>
  <c r="BO31" i="7"/>
  <c r="AC32" i="8"/>
  <c r="AC33" i="8"/>
  <c r="AC36" i="8"/>
  <c r="AC37" i="8"/>
  <c r="AC34" i="8"/>
  <c r="AC35" i="8"/>
  <c r="BO17" i="8"/>
  <c r="BO21" i="8"/>
  <c r="BO29" i="8"/>
  <c r="BO39" i="8"/>
  <c r="AB37" i="6"/>
  <c r="AB35" i="6"/>
  <c r="AB39" i="6"/>
  <c r="AB36" i="6"/>
  <c r="AB40" i="6"/>
  <c r="AB38" i="6"/>
  <c r="BO17" i="6"/>
  <c r="BO20" i="6"/>
  <c r="BO25" i="6"/>
  <c r="M30" i="6"/>
  <c r="AS30" i="6" s="1"/>
  <c r="BO34" i="6"/>
  <c r="AC18" i="7"/>
  <c r="AC36" i="7"/>
  <c r="AC32" i="7"/>
  <c r="AC33" i="7"/>
  <c r="AC37" i="7"/>
  <c r="AC35" i="7"/>
  <c r="AC34" i="7"/>
  <c r="BO17" i="7"/>
  <c r="AB18" i="7"/>
  <c r="AD18" i="7" s="1"/>
  <c r="AE18" i="7" s="1"/>
  <c r="N19" i="7"/>
  <c r="AS19" i="7" s="1"/>
  <c r="BO20" i="7"/>
  <c r="BO24" i="7"/>
  <c r="BO28" i="7"/>
  <c r="BO38" i="7"/>
  <c r="AB16" i="8"/>
  <c r="AB32" i="8"/>
  <c r="AB33" i="8"/>
  <c r="AB34" i="8"/>
  <c r="AB36" i="8"/>
  <c r="AB37" i="8"/>
  <c r="AB35" i="8"/>
  <c r="BO18" i="8"/>
  <c r="BO22" i="8"/>
  <c r="BO26" i="8"/>
  <c r="BO30" i="8"/>
  <c r="BO40" i="8"/>
  <c r="AC39" i="7"/>
  <c r="BO18" i="6"/>
  <c r="BF22" i="6"/>
  <c r="BO23" i="6"/>
  <c r="BO26" i="6"/>
  <c r="N27" i="6"/>
  <c r="BN27" i="6" s="1"/>
  <c r="BO31" i="6"/>
  <c r="AB36" i="7"/>
  <c r="AB32" i="7"/>
  <c r="AB34" i="7"/>
  <c r="AB37" i="7"/>
  <c r="AB33" i="7"/>
  <c r="AB35" i="7"/>
  <c r="BO18" i="7"/>
  <c r="AB19" i="7"/>
  <c r="BO21" i="7"/>
  <c r="AB22" i="7"/>
  <c r="BO25" i="7"/>
  <c r="AB26" i="7"/>
  <c r="BO29" i="7"/>
  <c r="AB30" i="7"/>
  <c r="BO39" i="7"/>
  <c r="AB40" i="7"/>
  <c r="BO19" i="8"/>
  <c r="BO23" i="8"/>
  <c r="BO27" i="8"/>
  <c r="BO31" i="8"/>
  <c r="AC25" i="7"/>
  <c r="N15" i="6"/>
  <c r="BO16" i="6"/>
  <c r="BI20" i="6"/>
  <c r="BO21" i="6"/>
  <c r="BI27" i="6"/>
  <c r="BO28" i="6"/>
  <c r="BO30" i="6"/>
  <c r="BO32" i="6"/>
  <c r="BO19" i="7"/>
  <c r="AC20" i="7"/>
  <c r="BO22" i="7"/>
  <c r="AC24" i="7"/>
  <c r="BO26" i="7"/>
  <c r="AB27" i="7"/>
  <c r="AC28" i="7"/>
  <c r="BO30" i="7"/>
  <c r="AC38" i="7"/>
  <c r="BO40" i="7"/>
  <c r="N15" i="8"/>
  <c r="BO16" i="8"/>
  <c r="BO20" i="8"/>
  <c r="BO24" i="8"/>
  <c r="BO28" i="8"/>
  <c r="BO38" i="8"/>
  <c r="AB31" i="7"/>
  <c r="AC17" i="7"/>
  <c r="M29" i="7"/>
  <c r="AS29" i="7" s="1"/>
  <c r="M31" i="7"/>
  <c r="AS31" i="7" s="1"/>
  <c r="BK31" i="7"/>
  <c r="BK24" i="7"/>
  <c r="N26" i="7"/>
  <c r="AS26" i="7" s="1"/>
  <c r="BL29" i="7"/>
  <c r="N30" i="7"/>
  <c r="AS30" i="7" s="1"/>
  <c r="N40" i="7"/>
  <c r="AS40" i="7" s="1"/>
  <c r="AB39" i="7"/>
  <c r="AB29" i="7"/>
  <c r="AD29" i="7" s="1"/>
  <c r="AE29" i="7" s="1"/>
  <c r="AB25" i="7"/>
  <c r="AB21" i="7"/>
  <c r="AB17" i="7"/>
  <c r="AC31" i="7"/>
  <c r="AC27" i="7"/>
  <c r="AC23" i="7"/>
  <c r="AD23" i="7" s="1"/>
  <c r="AE23" i="7" s="1"/>
  <c r="AC19" i="7"/>
  <c r="AC16" i="7"/>
  <c r="AB38" i="7"/>
  <c r="AB28" i="7"/>
  <c r="AB24" i="7"/>
  <c r="AB20" i="7"/>
  <c r="AC40" i="7"/>
  <c r="AC30" i="7"/>
  <c r="AC26" i="7"/>
  <c r="AC22" i="7"/>
  <c r="BJ28" i="6"/>
  <c r="BJ22" i="6"/>
  <c r="BJ16" i="6"/>
  <c r="BK16" i="6"/>
  <c r="N34" i="6"/>
  <c r="AS34" i="6" s="1"/>
  <c r="M16" i="6"/>
  <c r="AS16" i="6" s="1"/>
  <c r="BJ17" i="6"/>
  <c r="BK20" i="6"/>
  <c r="M21" i="6"/>
  <c r="AS21" i="6" s="1"/>
  <c r="BK23" i="6"/>
  <c r="BK18" i="6"/>
  <c r="BJ21" i="6"/>
  <c r="N23" i="6"/>
  <c r="AS23" i="6" s="1"/>
  <c r="BF28" i="6"/>
  <c r="BJ30" i="6"/>
  <c r="BF30" i="6"/>
  <c r="AC16" i="6"/>
  <c r="AC19" i="6"/>
  <c r="AC21" i="6"/>
  <c r="AL25" i="6" l="1"/>
  <c r="AL27" i="6"/>
  <c r="AL28" i="6"/>
  <c r="AL30" i="6"/>
  <c r="AL31" i="6"/>
  <c r="AL34" i="6"/>
  <c r="BP29" i="8"/>
  <c r="BQ24" i="8"/>
  <c r="BQ26" i="8"/>
  <c r="BQ20" i="8"/>
  <c r="BE20" i="8"/>
  <c r="BH20" i="8"/>
  <c r="BE24" i="8"/>
  <c r="BH17" i="8"/>
  <c r="BQ39" i="8"/>
  <c r="BP17" i="8"/>
  <c r="BE38" i="8"/>
  <c r="BP26" i="8"/>
  <c r="BQ38" i="8"/>
  <c r="BE27" i="8"/>
  <c r="BQ18" i="8"/>
  <c r="BE31" i="8"/>
  <c r="BE18" i="8"/>
  <c r="BP27" i="8"/>
  <c r="BH19" i="8"/>
  <c r="BP23" i="8"/>
  <c r="BE23" i="8"/>
  <c r="BP31" i="8"/>
  <c r="BP19" i="8"/>
  <c r="BE19" i="8"/>
  <c r="BE28" i="8"/>
  <c r="BE29" i="8"/>
  <c r="BP18" i="8"/>
  <c r="BQ17" i="8"/>
  <c r="BP25" i="8"/>
  <c r="BH16" i="8"/>
  <c r="BE30" i="8"/>
  <c r="BH18" i="8"/>
  <c r="BE26" i="8"/>
  <c r="BP38" i="8"/>
  <c r="BP21" i="8"/>
  <c r="BQ40" i="8"/>
  <c r="BE39" i="8"/>
  <c r="BE17" i="8"/>
  <c r="BP30" i="8"/>
  <c r="BP20" i="8"/>
  <c r="BQ19" i="8"/>
  <c r="BE40" i="8"/>
  <c r="C12" i="12" l="1"/>
  <c r="B12" i="12"/>
  <c r="AD20" i="7"/>
  <c r="AE20" i="7" s="1"/>
  <c r="AD31" i="7"/>
  <c r="AE31" i="7" s="1"/>
  <c r="AS27" i="6"/>
  <c r="AD27" i="7"/>
  <c r="AE27" i="7" s="1"/>
  <c r="O21" i="6"/>
  <c r="AF35" i="6"/>
  <c r="AD39" i="7"/>
  <c r="AE39" i="7" s="1"/>
  <c r="AD36" i="8"/>
  <c r="AE36" i="8" s="1"/>
  <c r="AD28" i="7"/>
  <c r="AE28" i="7" s="1"/>
  <c r="AD40" i="6"/>
  <c r="AE40" i="6" s="1"/>
  <c r="AF34" i="7"/>
  <c r="AF35" i="8"/>
  <c r="AD33" i="8"/>
  <c r="AE33" i="8" s="1"/>
  <c r="AD33" i="7"/>
  <c r="AE33" i="7" s="1"/>
  <c r="AD37" i="7"/>
  <c r="AE37" i="7" s="1"/>
  <c r="AF35" i="7"/>
  <c r="AD22" i="7"/>
  <c r="AE22" i="7" s="1"/>
  <c r="AD32" i="7"/>
  <c r="AE32" i="7" s="1"/>
  <c r="AD37" i="8"/>
  <c r="AE37" i="8" s="1"/>
  <c r="AD21" i="7"/>
  <c r="AE21" i="7" s="1"/>
  <c r="AD39" i="6"/>
  <c r="AE39" i="6" s="1"/>
  <c r="AD24" i="7"/>
  <c r="AE24" i="7" s="1"/>
  <c r="AD25" i="7"/>
  <c r="AE25" i="7" s="1"/>
  <c r="AD36" i="7"/>
  <c r="AE36" i="7" s="1"/>
  <c r="AD36" i="6"/>
  <c r="AE36" i="6" s="1"/>
  <c r="AD17" i="7"/>
  <c r="AE17" i="7" s="1"/>
  <c r="AD32" i="8"/>
  <c r="AE32" i="8" s="1"/>
  <c r="AF37" i="6"/>
  <c r="AD38" i="7"/>
  <c r="AE38" i="7" s="1"/>
  <c r="AD35" i="7"/>
  <c r="AE35" i="7" s="1"/>
  <c r="AF34" i="8"/>
  <c r="AF38" i="6"/>
  <c r="AF33" i="8"/>
  <c r="AF40" i="6"/>
  <c r="AD26" i="7"/>
  <c r="AE26" i="7" s="1"/>
  <c r="AD19" i="7"/>
  <c r="AE19" i="7" s="1"/>
  <c r="AD34" i="7"/>
  <c r="AE34" i="7" s="1"/>
  <c r="AD34" i="8"/>
  <c r="AE34" i="8" s="1"/>
  <c r="AF32" i="7"/>
  <c r="AD38" i="6"/>
  <c r="AE38" i="6" s="1"/>
  <c r="AF32" i="8"/>
  <c r="AF36" i="7"/>
  <c r="AF37" i="8"/>
  <c r="AF36" i="6"/>
  <c r="AF33" i="7"/>
  <c r="AD30" i="7"/>
  <c r="AE30" i="7" s="1"/>
  <c r="AD40" i="7"/>
  <c r="AE40" i="7" s="1"/>
  <c r="AD35" i="8"/>
  <c r="AE35" i="8" s="1"/>
  <c r="AF37" i="7"/>
  <c r="AD37" i="6"/>
  <c r="AE37" i="6" s="1"/>
  <c r="AF39" i="6"/>
  <c r="AF36" i="8"/>
  <c r="AD35" i="6"/>
  <c r="AE35" i="6" s="1"/>
  <c r="B11" i="12"/>
  <c r="B11" i="11"/>
  <c r="B11" i="10"/>
  <c r="B11" i="9"/>
  <c r="AR21" i="6"/>
  <c r="AG35" i="6"/>
  <c r="AG34" i="7"/>
  <c r="AG40" i="6"/>
  <c r="BQ27" i="8"/>
  <c r="BE40" i="7"/>
  <c r="BQ29" i="7"/>
  <c r="BQ26" i="7"/>
  <c r="BP22" i="7"/>
  <c r="BQ33" i="6"/>
  <c r="BE25" i="6"/>
  <c r="BE23" i="6"/>
  <c r="BH32" i="6"/>
  <c r="AG35" i="7"/>
  <c r="AG37" i="7"/>
  <c r="BE33" i="6"/>
  <c r="BE20" i="6"/>
  <c r="BE17" i="6"/>
  <c r="AG36" i="7"/>
  <c r="BH28" i="7"/>
  <c r="BQ18" i="7"/>
  <c r="BP23" i="7"/>
  <c r="BE28" i="6"/>
  <c r="BH28" i="6"/>
  <c r="BP29" i="7"/>
  <c r="AG37" i="8"/>
  <c r="BH26" i="7"/>
  <c r="BH21" i="7"/>
  <c r="BQ26" i="6"/>
  <c r="AG33" i="7"/>
  <c r="BE20" i="7"/>
  <c r="BE17" i="7"/>
  <c r="BQ18" i="6"/>
  <c r="AG34" i="8"/>
  <c r="BE16" i="7"/>
  <c r="BE31" i="6"/>
  <c r="BP23" i="6"/>
  <c r="BE29" i="7"/>
  <c r="BP27" i="6"/>
  <c r="BE18" i="7"/>
  <c r="AG35" i="8"/>
  <c r="BP39" i="7"/>
  <c r="BE34" i="6"/>
  <c r="BE22" i="6"/>
  <c r="BE19" i="6"/>
  <c r="AG36" i="6"/>
  <c r="BQ40" i="7"/>
  <c r="BE27" i="7"/>
  <c r="BQ39" i="7"/>
  <c r="BH26" i="6"/>
  <c r="BE21" i="6"/>
  <c r="AG33" i="8"/>
  <c r="BE38" i="7"/>
  <c r="BQ34" i="6"/>
  <c r="AG39" i="6"/>
  <c r="BE31" i="7"/>
  <c r="BE25" i="7"/>
  <c r="BH19" i="7"/>
  <c r="BH29" i="6"/>
  <c r="BE24" i="6"/>
  <c r="BH20" i="6"/>
  <c r="BH18" i="6"/>
  <c r="AG37" i="6"/>
  <c r="BE39" i="7"/>
  <c r="BE28" i="7"/>
  <c r="BE26" i="7"/>
  <c r="BP33" i="6"/>
  <c r="BQ16" i="6"/>
  <c r="BH30" i="6"/>
  <c r="AG38" i="6"/>
  <c r="BE22" i="8"/>
  <c r="BH38" i="7"/>
  <c r="BE22" i="7"/>
  <c r="BP20" i="7"/>
  <c r="BQ30" i="6"/>
  <c r="BH19" i="6"/>
  <c r="BH25" i="7"/>
  <c r="BH17" i="7"/>
  <c r="AG32" i="8"/>
  <c r="BQ30" i="7"/>
  <c r="BE23" i="7"/>
  <c r="BE26" i="6"/>
  <c r="BQ21" i="7"/>
  <c r="BQ21" i="6"/>
  <c r="BE25" i="8"/>
  <c r="BE30" i="7"/>
  <c r="BE24" i="7"/>
  <c r="BP28" i="7"/>
  <c r="BP22" i="6"/>
  <c r="AG32" i="7"/>
  <c r="BQ23" i="7"/>
  <c r="BP19" i="7"/>
  <c r="BE27" i="6"/>
  <c r="BP18" i="7"/>
  <c r="BQ22" i="7"/>
  <c r="BE19" i="7"/>
  <c r="BE32" i="6"/>
  <c r="BQ20" i="6"/>
  <c r="BP21" i="6"/>
  <c r="BP16" i="6"/>
  <c r="BP16" i="7"/>
  <c r="BQ19" i="6"/>
  <c r="AG36" i="8"/>
  <c r="BP25" i="7"/>
  <c r="BE16" i="6"/>
  <c r="BQ19" i="7"/>
  <c r="C22" i="1"/>
  <c r="C20" i="1"/>
  <c r="C21" i="1"/>
  <c r="C19" i="1"/>
  <c r="AW36" i="6" l="1"/>
  <c r="AX35" i="6"/>
  <c r="AW17" i="6"/>
  <c r="AW40" i="6"/>
  <c r="AX18" i="6"/>
  <c r="AW39" i="6"/>
  <c r="AX27" i="6"/>
  <c r="AW22" i="6"/>
  <c r="AW35" i="6"/>
  <c r="AX17" i="6"/>
  <c r="AW31" i="6"/>
  <c r="AX20" i="6"/>
  <c r="AZ40" i="6"/>
  <c r="AW30" i="6"/>
  <c r="AX39" i="6"/>
  <c r="AX23" i="6"/>
  <c r="AW21" i="6"/>
  <c r="AW19" i="6"/>
  <c r="AW25" i="6"/>
  <c r="AW27" i="6"/>
  <c r="AW26" i="6"/>
  <c r="AX19" i="6"/>
  <c r="AX21" i="6"/>
  <c r="AX32" i="6"/>
  <c r="AX22" i="6"/>
  <c r="AX36" i="6"/>
  <c r="AW29" i="6"/>
  <c r="AX34" i="6"/>
  <c r="AW34" i="6"/>
  <c r="AX25" i="6"/>
  <c r="AX26" i="6"/>
  <c r="AZ32" i="6"/>
  <c r="AZ24" i="6"/>
  <c r="AZ34" i="6"/>
  <c r="AZ18" i="6"/>
  <c r="AZ35" i="6"/>
  <c r="AZ37" i="6"/>
  <c r="AW24" i="6"/>
  <c r="AX31" i="6"/>
  <c r="AW33" i="6"/>
  <c r="AZ39" i="6"/>
  <c r="AX38" i="6"/>
  <c r="AZ23" i="6"/>
  <c r="AZ21" i="6"/>
  <c r="AZ17" i="6"/>
  <c r="AZ27" i="6"/>
  <c r="AZ38" i="6"/>
  <c r="AW28" i="6"/>
  <c r="AW32" i="6"/>
  <c r="AX33" i="6"/>
  <c r="AW37" i="6"/>
  <c r="AW38" i="6"/>
  <c r="AW20" i="6"/>
  <c r="AX28" i="6"/>
  <c r="AX29" i="6"/>
  <c r="AX30" i="6"/>
  <c r="AX24" i="6"/>
  <c r="AW18" i="6"/>
  <c r="AX37" i="6"/>
  <c r="AX40" i="6"/>
  <c r="AZ26" i="6"/>
  <c r="AZ29" i="6"/>
  <c r="AZ28" i="6"/>
  <c r="AZ19" i="6"/>
  <c r="AZ20" i="6"/>
  <c r="AW23" i="6"/>
  <c r="AZ31" i="6"/>
  <c r="AZ22" i="6"/>
  <c r="AZ25" i="6"/>
  <c r="AZ30" i="6"/>
  <c r="AZ33" i="6"/>
  <c r="AZ36" i="6"/>
  <c r="AZ16" i="6"/>
  <c r="AW16" i="6"/>
  <c r="AX16" i="6"/>
  <c r="AZ18" i="7"/>
  <c r="AZ39" i="7"/>
  <c r="AW23" i="7"/>
  <c r="AW31" i="7"/>
  <c r="AX19" i="7"/>
  <c r="AZ19" i="7"/>
  <c r="AW39" i="7"/>
  <c r="AX18" i="7"/>
  <c r="AX40" i="7"/>
  <c r="AZ40" i="7"/>
  <c r="AZ28" i="7"/>
  <c r="AW20" i="7"/>
  <c r="AW28" i="7"/>
  <c r="AW36" i="7"/>
  <c r="AX30" i="7"/>
  <c r="AX33" i="7"/>
  <c r="AX34" i="7"/>
  <c r="AZ33" i="7"/>
  <c r="AZ21" i="7"/>
  <c r="AW17" i="7"/>
  <c r="AW25" i="7"/>
  <c r="AW33" i="7"/>
  <c r="AX20" i="7"/>
  <c r="AZ22" i="7"/>
  <c r="AZ23" i="7"/>
  <c r="AX23" i="7"/>
  <c r="AX25" i="7"/>
  <c r="AZ17" i="7"/>
  <c r="AZ38" i="7"/>
  <c r="AW22" i="7"/>
  <c r="AW30" i="7"/>
  <c r="AW38" i="7"/>
  <c r="AX35" i="7"/>
  <c r="AX17" i="7"/>
  <c r="AX39" i="7"/>
  <c r="AZ34" i="7"/>
  <c r="AZ36" i="7"/>
  <c r="AZ37" i="7"/>
  <c r="AW19" i="7"/>
  <c r="AW35" i="7"/>
  <c r="AX28" i="7"/>
  <c r="AZ26" i="7"/>
  <c r="AZ25" i="7"/>
  <c r="AW27" i="7"/>
  <c r="AX29" i="7"/>
  <c r="AX31" i="7"/>
  <c r="AZ27" i="7"/>
  <c r="AZ20" i="7"/>
  <c r="AW24" i="7"/>
  <c r="AW32" i="7"/>
  <c r="AW40" i="7"/>
  <c r="AX21" i="7"/>
  <c r="AX22" i="7"/>
  <c r="AX38" i="7"/>
  <c r="AZ35" i="7"/>
  <c r="AZ32" i="7"/>
  <c r="AZ29" i="7"/>
  <c r="AW21" i="7"/>
  <c r="AW29" i="7"/>
  <c r="AZ30" i="7"/>
  <c r="AZ24" i="7"/>
  <c r="AW37" i="7"/>
  <c r="AX32" i="7"/>
  <c r="AX36" i="7"/>
  <c r="AX37" i="7"/>
  <c r="AZ31" i="7"/>
  <c r="AW18" i="7"/>
  <c r="AW26" i="7"/>
  <c r="AW34" i="7"/>
  <c r="AX24" i="7"/>
  <c r="AX26" i="7"/>
  <c r="AX27" i="7"/>
  <c r="AX16" i="7"/>
  <c r="AZ16" i="7"/>
  <c r="AW16" i="7"/>
  <c r="AW31" i="8"/>
  <c r="AW23" i="8"/>
  <c r="AX17" i="8"/>
  <c r="AZ17" i="8"/>
  <c r="AW39" i="8"/>
  <c r="AX39" i="8"/>
  <c r="AX38" i="8"/>
  <c r="AZ19" i="8"/>
  <c r="AZ28" i="8"/>
  <c r="AZ39" i="8"/>
  <c r="AZ26" i="8"/>
  <c r="AW20" i="8"/>
  <c r="AW28" i="8"/>
  <c r="AW36" i="8"/>
  <c r="AX30" i="8"/>
  <c r="AX32" i="8"/>
  <c r="AX28" i="8"/>
  <c r="AZ33" i="8"/>
  <c r="AZ32" i="8"/>
  <c r="AW17" i="8"/>
  <c r="AW25" i="8"/>
  <c r="AX21" i="8"/>
  <c r="AZ38" i="8"/>
  <c r="AZ30" i="8"/>
  <c r="AW33" i="8"/>
  <c r="AX23" i="8"/>
  <c r="AX20" i="8"/>
  <c r="AZ23" i="8"/>
  <c r="AZ21" i="8"/>
  <c r="AW22" i="8"/>
  <c r="AW30" i="8"/>
  <c r="AW38" i="8"/>
  <c r="AX36" i="8"/>
  <c r="AX37" i="8"/>
  <c r="AX34" i="8"/>
  <c r="AZ36" i="8"/>
  <c r="AZ37" i="8"/>
  <c r="AZ34" i="8"/>
  <c r="AW19" i="8"/>
  <c r="AX29" i="8"/>
  <c r="AZ27" i="8"/>
  <c r="AZ20" i="8"/>
  <c r="AZ25" i="8"/>
  <c r="AZ18" i="8"/>
  <c r="AZ40" i="8"/>
  <c r="AW27" i="8"/>
  <c r="AW35" i="8"/>
  <c r="AX27" i="8"/>
  <c r="AX25" i="8"/>
  <c r="AW24" i="8"/>
  <c r="AW32" i="8"/>
  <c r="AW40" i="8"/>
  <c r="AX19" i="8"/>
  <c r="AX18" i="8"/>
  <c r="AX40" i="8"/>
  <c r="AZ35" i="8"/>
  <c r="AW21" i="8"/>
  <c r="AW37" i="8"/>
  <c r="AX33" i="8"/>
  <c r="AZ31" i="8"/>
  <c r="AW29" i="8"/>
  <c r="AX35" i="8"/>
  <c r="AX31" i="8"/>
  <c r="AZ24" i="8"/>
  <c r="AZ29" i="8"/>
  <c r="AZ22" i="8"/>
  <c r="AW18" i="8"/>
  <c r="AW26" i="8"/>
  <c r="AW34" i="8"/>
  <c r="AX24" i="8"/>
  <c r="AX26" i="8"/>
  <c r="AX22" i="8"/>
  <c r="AX16" i="8"/>
  <c r="AY16" i="8"/>
  <c r="AW16" i="8"/>
  <c r="AZ16" i="8"/>
  <c r="BA36" i="6"/>
  <c r="BB35" i="6"/>
  <c r="BA17" i="6"/>
  <c r="BA40" i="6"/>
  <c r="BB18" i="6"/>
  <c r="BA39" i="6"/>
  <c r="BB27" i="6"/>
  <c r="BA22" i="6"/>
  <c r="BA35" i="6"/>
  <c r="BB17" i="6"/>
  <c r="BA31" i="6"/>
  <c r="BB20" i="6"/>
  <c r="BA30" i="6"/>
  <c r="BB39" i="6"/>
  <c r="BB23" i="6"/>
  <c r="BA21" i="6"/>
  <c r="BA19" i="6"/>
  <c r="BA25" i="6"/>
  <c r="BA27" i="6"/>
  <c r="BA26" i="6"/>
  <c r="BB19" i="6"/>
  <c r="BB21" i="6"/>
  <c r="BB32" i="6"/>
  <c r="BB22" i="6"/>
  <c r="BB36" i="6"/>
  <c r="BA29" i="6"/>
  <c r="BB34" i="6"/>
  <c r="BA34" i="6"/>
  <c r="BB25" i="6"/>
  <c r="BB26" i="6"/>
  <c r="BA24" i="6"/>
  <c r="BB31" i="6"/>
  <c r="BA33" i="6"/>
  <c r="BB38" i="6"/>
  <c r="BA28" i="6"/>
  <c r="BA32" i="6"/>
  <c r="BB33" i="6"/>
  <c r="BA37" i="6"/>
  <c r="BA38" i="6"/>
  <c r="BA20" i="6"/>
  <c r="BB28" i="6"/>
  <c r="BB29" i="6"/>
  <c r="BB30" i="6"/>
  <c r="BB24" i="6"/>
  <c r="BA18" i="6"/>
  <c r="BB37" i="6"/>
  <c r="BB40" i="6"/>
  <c r="BA23" i="6"/>
  <c r="BA16" i="6"/>
  <c r="BB16" i="6"/>
  <c r="BA23" i="7"/>
  <c r="BA31" i="7"/>
  <c r="BB19" i="7"/>
  <c r="BA39" i="7"/>
  <c r="BB18" i="7"/>
  <c r="BB40" i="7"/>
  <c r="BA20" i="7"/>
  <c r="BA28" i="7"/>
  <c r="BA36" i="7"/>
  <c r="BB30" i="7"/>
  <c r="BB33" i="7"/>
  <c r="BB34" i="7"/>
  <c r="BA17" i="7"/>
  <c r="BA25" i="7"/>
  <c r="BA33" i="7"/>
  <c r="BB20" i="7"/>
  <c r="BB23" i="7"/>
  <c r="BB25" i="7"/>
  <c r="BA22" i="7"/>
  <c r="BA30" i="7"/>
  <c r="BA38" i="7"/>
  <c r="BB35" i="7"/>
  <c r="BB17" i="7"/>
  <c r="BB39" i="7"/>
  <c r="BA19" i="7"/>
  <c r="BA35" i="7"/>
  <c r="BB28" i="7"/>
  <c r="BA27" i="7"/>
  <c r="BB29" i="7"/>
  <c r="BB31" i="7"/>
  <c r="BA24" i="7"/>
  <c r="BA32" i="7"/>
  <c r="BA40" i="7"/>
  <c r="BB21" i="7"/>
  <c r="BB22" i="7"/>
  <c r="BB38" i="7"/>
  <c r="BA21" i="7"/>
  <c r="BA29" i="7"/>
  <c r="BA37" i="7"/>
  <c r="BB32" i="7"/>
  <c r="BB36" i="7"/>
  <c r="BB37" i="7"/>
  <c r="BA18" i="7"/>
  <c r="BA26" i="7"/>
  <c r="BA34" i="7"/>
  <c r="BB24" i="7"/>
  <c r="BB26" i="7"/>
  <c r="BB27" i="7"/>
  <c r="BB16" i="7"/>
  <c r="BA16" i="7"/>
  <c r="BA31" i="8"/>
  <c r="BA23" i="8"/>
  <c r="BB17" i="8"/>
  <c r="BA39" i="8"/>
  <c r="BB39" i="8"/>
  <c r="BB38" i="8"/>
  <c r="BA20" i="8"/>
  <c r="BA28" i="8"/>
  <c r="BA36" i="8"/>
  <c r="BB30" i="8"/>
  <c r="BB32" i="8"/>
  <c r="BB28" i="8"/>
  <c r="BA17" i="8"/>
  <c r="BA25" i="8"/>
  <c r="BB21" i="8"/>
  <c r="BA33" i="8"/>
  <c r="BB23" i="8"/>
  <c r="BB20" i="8"/>
  <c r="BA22" i="8"/>
  <c r="BA30" i="8"/>
  <c r="BA38" i="8"/>
  <c r="BB36" i="8"/>
  <c r="BB37" i="8"/>
  <c r="BB34" i="8"/>
  <c r="BA19" i="8"/>
  <c r="BB29" i="8"/>
  <c r="BA27" i="8"/>
  <c r="BA35" i="8"/>
  <c r="BB27" i="8"/>
  <c r="BB25" i="8"/>
  <c r="BA24" i="8"/>
  <c r="BA32" i="8"/>
  <c r="BA40" i="8"/>
  <c r="BB19" i="8"/>
  <c r="BB18" i="8"/>
  <c r="BB40" i="8"/>
  <c r="BA21" i="8"/>
  <c r="BA37" i="8"/>
  <c r="BB33" i="8"/>
  <c r="BA29" i="8"/>
  <c r="BB35" i="8"/>
  <c r="BB31" i="8"/>
  <c r="BA18" i="8"/>
  <c r="BA26" i="8"/>
  <c r="BA34" i="8"/>
  <c r="BB24" i="8"/>
  <c r="BB26" i="8"/>
  <c r="BB22" i="8"/>
  <c r="BB16" i="8"/>
  <c r="BA16" i="8"/>
  <c r="BM24" i="8"/>
  <c r="N26" i="8"/>
  <c r="AS26" i="8" s="1"/>
  <c r="N20" i="8"/>
  <c r="AS20" i="8" s="1"/>
  <c r="N39" i="8"/>
  <c r="AS39" i="8" s="1"/>
  <c r="AC16" i="8"/>
  <c r="AF16" i="8" s="1"/>
  <c r="N18" i="8"/>
  <c r="AS18" i="8" s="1"/>
  <c r="N38" i="8"/>
  <c r="AS38" i="8" s="1"/>
  <c r="N30" i="8"/>
  <c r="AS30" i="8" s="1"/>
  <c r="BJ31" i="8"/>
  <c r="BM29" i="8"/>
  <c r="BM30" i="8"/>
  <c r="BM31" i="8"/>
  <c r="BJ39" i="8"/>
  <c r="N31" i="8"/>
  <c r="AS31" i="8" s="1"/>
  <c r="BM38" i="8"/>
  <c r="BM39" i="8"/>
  <c r="N29" i="8"/>
  <c r="AS29" i="8" s="1"/>
  <c r="BM23" i="8"/>
  <c r="BI24" i="8"/>
  <c r="N25" i="8"/>
  <c r="AS25" i="8" s="1"/>
  <c r="BM25" i="8"/>
  <c r="BM27" i="8"/>
  <c r="BK23" i="8"/>
  <c r="N23" i="8"/>
  <c r="AS23" i="8" s="1"/>
  <c r="N27" i="8"/>
  <c r="AS27" i="8" s="1"/>
  <c r="BK27" i="8"/>
  <c r="BM28" i="8"/>
  <c r="N24" i="8"/>
  <c r="AS24" i="8" s="1"/>
  <c r="BJ24" i="8"/>
  <c r="BM26" i="8"/>
  <c r="M17" i="8"/>
  <c r="AS17" i="8" s="1"/>
  <c r="BI18" i="8"/>
  <c r="M19" i="8"/>
  <c r="AS19" i="8" s="1"/>
  <c r="BM19" i="8"/>
  <c r="BI20" i="8"/>
  <c r="M21" i="8"/>
  <c r="AS21" i="8" s="1"/>
  <c r="BL19" i="8"/>
  <c r="BL18" i="8"/>
  <c r="BL20" i="8"/>
  <c r="BG21" i="8"/>
  <c r="BL17" i="8"/>
  <c r="BF16" i="8"/>
  <c r="BI17" i="8"/>
  <c r="BM18" i="8"/>
  <c r="BI19" i="8"/>
  <c r="BM20" i="8"/>
  <c r="BM22" i="8"/>
  <c r="M15" i="8"/>
  <c r="O15" i="8" s="1"/>
  <c r="AC39" i="8"/>
  <c r="AC38" i="8"/>
  <c r="AC31" i="8"/>
  <c r="AC29" i="8"/>
  <c r="AC30" i="8"/>
  <c r="AC28" i="8"/>
  <c r="AC27" i="8"/>
  <c r="AC26" i="8"/>
  <c r="AC25" i="8"/>
  <c r="AC23" i="8"/>
  <c r="AC18" i="8"/>
  <c r="AB40" i="8"/>
  <c r="AB39" i="8"/>
  <c r="AF39" i="8" s="1"/>
  <c r="AB38" i="8"/>
  <c r="AF38" i="8" s="1"/>
  <c r="AB31" i="8"/>
  <c r="AB30" i="8"/>
  <c r="AB29" i="8"/>
  <c r="AB28" i="8"/>
  <c r="AB26" i="8"/>
  <c r="AB24" i="8"/>
  <c r="AB22" i="8"/>
  <c r="AB25" i="8"/>
  <c r="M16" i="8"/>
  <c r="AS16" i="8" s="1"/>
  <c r="AC17" i="8"/>
  <c r="BK22" i="8"/>
  <c r="BJ22" i="8"/>
  <c r="M22" i="8"/>
  <c r="N22" i="8"/>
  <c r="BL23" i="8"/>
  <c r="BI23" i="8"/>
  <c r="BG23" i="8"/>
  <c r="BL25" i="8"/>
  <c r="BG25" i="8"/>
  <c r="BI25" i="8"/>
  <c r="BF25" i="8"/>
  <c r="BO25" i="8"/>
  <c r="AB27" i="8"/>
  <c r="BK16" i="8"/>
  <c r="BL16" i="8"/>
  <c r="AC20" i="8"/>
  <c r="AC40" i="8"/>
  <c r="BM16" i="8"/>
  <c r="AB17" i="8"/>
  <c r="AB23" i="8"/>
  <c r="BF23" i="8"/>
  <c r="AC24" i="8"/>
  <c r="AC19" i="8"/>
  <c r="AC21" i="8"/>
  <c r="BI31" i="8"/>
  <c r="BL31" i="8"/>
  <c r="BG31" i="8"/>
  <c r="BF31" i="8"/>
  <c r="BG16" i="8"/>
  <c r="BJ16" i="8"/>
  <c r="AB18" i="8"/>
  <c r="AB19" i="8"/>
  <c r="AB20" i="8"/>
  <c r="AB21" i="8"/>
  <c r="AC22" i="8"/>
  <c r="BF17" i="8"/>
  <c r="BJ17" i="8"/>
  <c r="BF18" i="8"/>
  <c r="BJ18" i="8"/>
  <c r="BF19" i="8"/>
  <c r="BJ19" i="8"/>
  <c r="BF20" i="8"/>
  <c r="BJ20" i="8"/>
  <c r="BL21" i="8"/>
  <c r="BI22" i="8"/>
  <c r="BL24" i="8"/>
  <c r="BG24" i="8"/>
  <c r="BF21" i="8"/>
  <c r="BK21" i="8"/>
  <c r="BK24" i="8"/>
  <c r="BF24" i="8"/>
  <c r="BM21" i="8"/>
  <c r="BL22" i="8"/>
  <c r="BF22" i="8"/>
  <c r="BL26" i="8"/>
  <c r="BG26" i="8"/>
  <c r="BF26" i="8"/>
  <c r="BL27" i="8"/>
  <c r="BG27" i="8"/>
  <c r="BL28" i="8"/>
  <c r="BG28" i="8"/>
  <c r="BI28" i="8"/>
  <c r="BI30" i="8"/>
  <c r="BL30" i="8"/>
  <c r="BG30" i="8"/>
  <c r="BN31" i="8"/>
  <c r="BK25" i="8"/>
  <c r="BK26" i="8"/>
  <c r="BI27" i="8"/>
  <c r="BK28" i="8"/>
  <c r="BJ28" i="8"/>
  <c r="BI29" i="8"/>
  <c r="BL29" i="8"/>
  <c r="BG29" i="8"/>
  <c r="BJ27" i="8"/>
  <c r="N28" i="8"/>
  <c r="AS28" i="8" s="1"/>
  <c r="BF38" i="8"/>
  <c r="BF39" i="8"/>
  <c r="BF40" i="8"/>
  <c r="BJ40" i="8"/>
  <c r="BK29" i="8"/>
  <c r="BK30" i="8"/>
  <c r="BK31" i="8"/>
  <c r="BG38" i="8"/>
  <c r="BK38" i="8"/>
  <c r="BG39" i="8"/>
  <c r="BK39" i="8"/>
  <c r="BG40" i="8"/>
  <c r="BK40" i="8"/>
  <c r="BL38" i="8"/>
  <c r="BL39" i="8"/>
  <c r="M40" i="8"/>
  <c r="AS40" i="8" s="1"/>
  <c r="BL40" i="8"/>
  <c r="BI38" i="8"/>
  <c r="BI39" i="8"/>
  <c r="BI40" i="8"/>
  <c r="BF30" i="7"/>
  <c r="BJ30" i="7"/>
  <c r="M39" i="7"/>
  <c r="AS39" i="7" s="1"/>
  <c r="O31" i="7"/>
  <c r="O29" i="7"/>
  <c r="BI29" i="7"/>
  <c r="BL39" i="7"/>
  <c r="BJ40" i="7"/>
  <c r="M23" i="7"/>
  <c r="AS23" i="7" s="1"/>
  <c r="BK27" i="7"/>
  <c r="BK23" i="7"/>
  <c r="BL25" i="7"/>
  <c r="M27" i="7"/>
  <c r="AS27" i="7" s="1"/>
  <c r="BF28" i="7"/>
  <c r="BL26" i="7"/>
  <c r="BN26" i="7"/>
  <c r="O26" i="7"/>
  <c r="M16" i="7"/>
  <c r="AS16" i="7" s="1"/>
  <c r="BJ19" i="7"/>
  <c r="BL20" i="7"/>
  <c r="BK20" i="7"/>
  <c r="M22" i="7"/>
  <c r="AS22" i="7" s="1"/>
  <c r="BJ16" i="7"/>
  <c r="BL18" i="7"/>
  <c r="O19" i="7"/>
  <c r="BI21" i="7"/>
  <c r="BF22" i="7"/>
  <c r="BI18" i="7"/>
  <c r="BF19" i="7"/>
  <c r="M20" i="7"/>
  <c r="AS20" i="7" s="1"/>
  <c r="M21" i="7"/>
  <c r="AS21" i="7" s="1"/>
  <c r="BL21" i="7"/>
  <c r="BI22" i="7"/>
  <c r="M18" i="7"/>
  <c r="AS18" i="7" s="1"/>
  <c r="BI19" i="7"/>
  <c r="BJ20" i="7"/>
  <c r="BL17" i="7"/>
  <c r="AF19" i="7"/>
  <c r="BN19" i="7"/>
  <c r="M15" i="7"/>
  <c r="BL16" i="7"/>
  <c r="M17" i="7"/>
  <c r="AS17" i="7" s="1"/>
  <c r="BI17" i="7"/>
  <c r="BF18" i="7"/>
  <c r="BJ18" i="7"/>
  <c r="BK19" i="7"/>
  <c r="BG20" i="7"/>
  <c r="BG21" i="7"/>
  <c r="BF21" i="7"/>
  <c r="BM21" i="7"/>
  <c r="AF23" i="7"/>
  <c r="BI20" i="7"/>
  <c r="BF20" i="7"/>
  <c r="AF31" i="7"/>
  <c r="AF25" i="7"/>
  <c r="N15" i="7"/>
  <c r="BI16" i="7"/>
  <c r="BF17" i="7"/>
  <c r="BJ17" i="7"/>
  <c r="BG18" i="7"/>
  <c r="BK18" i="7"/>
  <c r="BL19" i="7"/>
  <c r="BK21" i="7"/>
  <c r="BJ21" i="7"/>
  <c r="BF24" i="7"/>
  <c r="BI24" i="7"/>
  <c r="BL24" i="7"/>
  <c r="BG16" i="7"/>
  <c r="BM18" i="7"/>
  <c r="AB16" i="7"/>
  <c r="AF16" i="7" s="1"/>
  <c r="AF20" i="7"/>
  <c r="BK25" i="7"/>
  <c r="BJ25" i="7"/>
  <c r="N25" i="7"/>
  <c r="M25" i="7"/>
  <c r="BM26" i="7"/>
  <c r="BK28" i="7"/>
  <c r="BJ28" i="7"/>
  <c r="BL28" i="7"/>
  <c r="N28" i="7"/>
  <c r="M28" i="7"/>
  <c r="BF31" i="7"/>
  <c r="BI31" i="7"/>
  <c r="BL31" i="7"/>
  <c r="BG31" i="7"/>
  <c r="BG23" i="7"/>
  <c r="BI25" i="7"/>
  <c r="BM25" i="7"/>
  <c r="BF27" i="7"/>
  <c r="BL27" i="7"/>
  <c r="BM27" i="7"/>
  <c r="BK38" i="7"/>
  <c r="BJ38" i="7"/>
  <c r="N38" i="7"/>
  <c r="M38" i="7"/>
  <c r="BG22" i="7"/>
  <c r="BK22" i="7"/>
  <c r="BL23" i="7"/>
  <c r="M24" i="7"/>
  <c r="AS24" i="7" s="1"/>
  <c r="BF25" i="7"/>
  <c r="BG26" i="7"/>
  <c r="BI26" i="7"/>
  <c r="BG27" i="7"/>
  <c r="O30" i="7"/>
  <c r="BL38" i="7"/>
  <c r="O40" i="7"/>
  <c r="BI23" i="7"/>
  <c r="BJ26" i="7"/>
  <c r="BI27" i="7"/>
  <c r="BN29" i="7"/>
  <c r="BN30" i="7"/>
  <c r="BN31" i="7"/>
  <c r="BN40" i="7"/>
  <c r="BI28" i="7"/>
  <c r="BM28" i="7"/>
  <c r="BF29" i="7"/>
  <c r="BJ29" i="7"/>
  <c r="BG30" i="7"/>
  <c r="BK30" i="7"/>
  <c r="BI38" i="7"/>
  <c r="BM38" i="7"/>
  <c r="BF39" i="7"/>
  <c r="BJ39" i="7"/>
  <c r="BG40" i="7"/>
  <c r="BK40" i="7"/>
  <c r="BG29" i="7"/>
  <c r="BK29" i="7"/>
  <c r="BL30" i="7"/>
  <c r="BF38" i="7"/>
  <c r="BG39" i="7"/>
  <c r="BK39" i="7"/>
  <c r="BL40" i="7"/>
  <c r="BI30" i="7"/>
  <c r="BI40" i="7"/>
  <c r="AC17" i="6"/>
  <c r="AC23" i="6"/>
  <c r="AC24" i="6"/>
  <c r="AC18" i="6"/>
  <c r="AC27" i="6"/>
  <c r="BK31" i="6"/>
  <c r="O34" i="6"/>
  <c r="BI30" i="6"/>
  <c r="N33" i="6"/>
  <c r="AS33" i="6" s="1"/>
  <c r="BF34" i="6"/>
  <c r="N31" i="6"/>
  <c r="AS31" i="6" s="1"/>
  <c r="BJ31" i="6"/>
  <c r="BL33" i="6"/>
  <c r="BJ34" i="6"/>
  <c r="BI23" i="6"/>
  <c r="BM25" i="6"/>
  <c r="BL26" i="6"/>
  <c r="BJ27" i="6"/>
  <c r="N28" i="6"/>
  <c r="AS28" i="6" s="1"/>
  <c r="BJ23" i="6"/>
  <c r="BK27" i="6"/>
  <c r="BI16" i="6"/>
  <c r="M19" i="6"/>
  <c r="AS19" i="6" s="1"/>
  <c r="BG19" i="6"/>
  <c r="BL20" i="6"/>
  <c r="BN21" i="6"/>
  <c r="BK21" i="6"/>
  <c r="N22" i="6"/>
  <c r="AS22" i="6" s="1"/>
  <c r="BI22" i="6"/>
  <c r="BK17" i="6"/>
  <c r="BL19" i="6"/>
  <c r="BM21" i="6"/>
  <c r="O16" i="6"/>
  <c r="BF16" i="6"/>
  <c r="BI18" i="6"/>
  <c r="BF20" i="6"/>
  <c r="BI24" i="6"/>
  <c r="BF24" i="6"/>
  <c r="AB24" i="6"/>
  <c r="BM19" i="6"/>
  <c r="BK24" i="6"/>
  <c r="BJ24" i="6"/>
  <c r="M24" i="6"/>
  <c r="N24" i="6"/>
  <c r="BG24" i="6"/>
  <c r="BF25" i="6"/>
  <c r="BI25" i="6"/>
  <c r="BG25" i="6"/>
  <c r="BJ29" i="6"/>
  <c r="BK29" i="6"/>
  <c r="N29" i="6"/>
  <c r="M29" i="6"/>
  <c r="BG16" i="6"/>
  <c r="BL17" i="6"/>
  <c r="M18" i="6"/>
  <c r="AS18" i="6" s="1"/>
  <c r="BM18" i="6"/>
  <c r="AB20" i="6"/>
  <c r="BL21" i="6"/>
  <c r="BF21" i="6"/>
  <c r="O23" i="6"/>
  <c r="AB23" i="6"/>
  <c r="BM23" i="6"/>
  <c r="AC32" i="6"/>
  <c r="AC28" i="6"/>
  <c r="AC31" i="6"/>
  <c r="M15" i="6"/>
  <c r="O15" i="6" s="1"/>
  <c r="M17" i="6"/>
  <c r="AS17" i="6" s="1"/>
  <c r="BI17" i="6"/>
  <c r="AB18" i="6"/>
  <c r="BF18" i="6"/>
  <c r="BJ18" i="6"/>
  <c r="BF19" i="6"/>
  <c r="BI19" i="6"/>
  <c r="AC20" i="6"/>
  <c r="M20" i="6"/>
  <c r="AS20" i="6" s="1"/>
  <c r="AB21" i="6"/>
  <c r="AF21" i="6" s="1"/>
  <c r="BG21" i="6"/>
  <c r="BG22" i="6"/>
  <c r="AB22" i="6"/>
  <c r="BN23" i="6"/>
  <c r="BJ25" i="6"/>
  <c r="BK25" i="6"/>
  <c r="N25" i="6"/>
  <c r="M25" i="6"/>
  <c r="AC25" i="6"/>
  <c r="BK26" i="6"/>
  <c r="N26" i="6"/>
  <c r="M26" i="6"/>
  <c r="AB26" i="6"/>
  <c r="AB16" i="6"/>
  <c r="AF16" i="6" s="1"/>
  <c r="BN16" i="6"/>
  <c r="BG17" i="6"/>
  <c r="BL18" i="6"/>
  <c r="AB32" i="6"/>
  <c r="AB33" i="6"/>
  <c r="AB29" i="6"/>
  <c r="AB31" i="6"/>
  <c r="AB30" i="6"/>
  <c r="AB28" i="6"/>
  <c r="AB27" i="6"/>
  <c r="AB25" i="6"/>
  <c r="AB34" i="6"/>
  <c r="AB19" i="6"/>
  <c r="AF19" i="6" s="1"/>
  <c r="AB17" i="6"/>
  <c r="BJ19" i="6"/>
  <c r="BK19" i="6"/>
  <c r="BJ20" i="6"/>
  <c r="BI21" i="6"/>
  <c r="BK22" i="6"/>
  <c r="AC22" i="6"/>
  <c r="BL22" i="6"/>
  <c r="BL24" i="6"/>
  <c r="BL25" i="6"/>
  <c r="BM27" i="6"/>
  <c r="AC29" i="6"/>
  <c r="AC33" i="6"/>
  <c r="BM33" i="6"/>
  <c r="AC26" i="6"/>
  <c r="AD26" i="6" s="1"/>
  <c r="AE26" i="6" s="1"/>
  <c r="BM26" i="6"/>
  <c r="O27" i="6"/>
  <c r="AC30" i="6"/>
  <c r="BM30" i="6"/>
  <c r="BM22" i="6"/>
  <c r="BL23" i="6"/>
  <c r="BF23" i="6"/>
  <c r="BK28" i="6"/>
  <c r="BM29" i="6"/>
  <c r="BN30" i="6"/>
  <c r="BK32" i="6"/>
  <c r="BJ32" i="6"/>
  <c r="BL32" i="6"/>
  <c r="N32" i="6"/>
  <c r="M32" i="6"/>
  <c r="BL27" i="6"/>
  <c r="BF27" i="6"/>
  <c r="O30" i="6"/>
  <c r="BI31" i="6"/>
  <c r="BL31" i="6"/>
  <c r="BF31" i="6"/>
  <c r="AC34" i="6"/>
  <c r="BG26" i="6"/>
  <c r="BI26" i="6"/>
  <c r="BG27" i="6"/>
  <c r="BI28" i="6"/>
  <c r="BG28" i="6"/>
  <c r="BL28" i="6"/>
  <c r="BF29" i="6"/>
  <c r="BG29" i="6"/>
  <c r="BL29" i="6"/>
  <c r="BL30" i="6"/>
  <c r="BG31" i="6"/>
  <c r="BK30" i="6"/>
  <c r="BN34" i="6"/>
  <c r="BG30" i="6"/>
  <c r="BI32" i="6"/>
  <c r="BF33" i="6"/>
  <c r="BJ33" i="6"/>
  <c r="BG34" i="6"/>
  <c r="BK34" i="6"/>
  <c r="BF32" i="6"/>
  <c r="BG33" i="6"/>
  <c r="BK33" i="6"/>
  <c r="BL34" i="6"/>
  <c r="BI34" i="6"/>
  <c r="K19" i="4"/>
  <c r="AT19" i="4" s="1"/>
  <c r="B17" i="3"/>
  <c r="B18" i="3"/>
  <c r="B19" i="3"/>
  <c r="B20" i="3"/>
  <c r="B21" i="3"/>
  <c r="B22" i="3"/>
  <c r="B23" i="3"/>
  <c r="B24" i="3"/>
  <c r="B25" i="3"/>
  <c r="D15" i="4"/>
  <c r="E15" i="4"/>
  <c r="F15" i="4"/>
  <c r="G15" i="4"/>
  <c r="H15" i="4"/>
  <c r="I15" i="4"/>
  <c r="J15" i="4"/>
  <c r="K15" i="4"/>
  <c r="L15" i="4"/>
  <c r="L16" i="4"/>
  <c r="L17" i="4"/>
  <c r="L18" i="4"/>
  <c r="L20" i="4"/>
  <c r="L21" i="4"/>
  <c r="L22" i="4"/>
  <c r="L23" i="4"/>
  <c r="L24" i="4"/>
  <c r="L25" i="4"/>
  <c r="L29" i="4"/>
  <c r="L30" i="4"/>
  <c r="L31" i="4"/>
  <c r="L32" i="4"/>
  <c r="L33" i="4"/>
  <c r="L34" i="4"/>
  <c r="L38" i="4"/>
  <c r="L39" i="4"/>
  <c r="L40" i="4"/>
  <c r="K40" i="4"/>
  <c r="AT40" i="4" s="1"/>
  <c r="J40" i="4"/>
  <c r="I40" i="4"/>
  <c r="H40" i="4"/>
  <c r="AO40" i="4" s="1"/>
  <c r="G40" i="4"/>
  <c r="F40" i="4"/>
  <c r="E40" i="4"/>
  <c r="D40" i="4"/>
  <c r="K39" i="4"/>
  <c r="AT39" i="4" s="1"/>
  <c r="J39" i="4"/>
  <c r="I39" i="4"/>
  <c r="H39" i="4"/>
  <c r="AO39" i="4" s="1"/>
  <c r="G39" i="4"/>
  <c r="F39" i="4"/>
  <c r="E39" i="4"/>
  <c r="D39" i="4"/>
  <c r="K38" i="4"/>
  <c r="AT38" i="4" s="1"/>
  <c r="J38" i="4"/>
  <c r="I38" i="4"/>
  <c r="H38" i="4"/>
  <c r="AO38" i="4" s="1"/>
  <c r="G38" i="4"/>
  <c r="F38" i="4"/>
  <c r="E38" i="4"/>
  <c r="D38" i="4"/>
  <c r="K34" i="4"/>
  <c r="AT34" i="4" s="1"/>
  <c r="J34" i="4"/>
  <c r="I34" i="4"/>
  <c r="H34" i="4"/>
  <c r="AO34" i="4" s="1"/>
  <c r="G34" i="4"/>
  <c r="F34" i="4"/>
  <c r="E34" i="4"/>
  <c r="D34" i="4"/>
  <c r="K33" i="4"/>
  <c r="AT33" i="4" s="1"/>
  <c r="J33" i="4"/>
  <c r="I33" i="4"/>
  <c r="H33" i="4"/>
  <c r="AO33" i="4" s="1"/>
  <c r="G33" i="4"/>
  <c r="F33" i="4"/>
  <c r="E33" i="4"/>
  <c r="D33" i="4"/>
  <c r="K32" i="4"/>
  <c r="AT32" i="4" s="1"/>
  <c r="J32" i="4"/>
  <c r="I32" i="4"/>
  <c r="H32" i="4"/>
  <c r="AO32" i="4" s="1"/>
  <c r="G32" i="4"/>
  <c r="F32" i="4"/>
  <c r="E32" i="4"/>
  <c r="D32" i="4"/>
  <c r="K31" i="4"/>
  <c r="AT31" i="4" s="1"/>
  <c r="J31" i="4"/>
  <c r="I31" i="4"/>
  <c r="H31" i="4"/>
  <c r="AO31" i="4" s="1"/>
  <c r="G31" i="4"/>
  <c r="F31" i="4"/>
  <c r="E31" i="4"/>
  <c r="D31" i="4"/>
  <c r="K30" i="4"/>
  <c r="AT30" i="4" s="1"/>
  <c r="J30" i="4"/>
  <c r="I30" i="4"/>
  <c r="H30" i="4"/>
  <c r="AO30" i="4" s="1"/>
  <c r="G30" i="4"/>
  <c r="F30" i="4"/>
  <c r="E30" i="4"/>
  <c r="D30" i="4"/>
  <c r="K29" i="4"/>
  <c r="AT29" i="4" s="1"/>
  <c r="J29" i="4"/>
  <c r="I29" i="4"/>
  <c r="H29" i="4"/>
  <c r="AO29" i="4" s="1"/>
  <c r="G29" i="4"/>
  <c r="F29" i="4"/>
  <c r="E29" i="4"/>
  <c r="D29" i="4"/>
  <c r="K25" i="4"/>
  <c r="AT25" i="4" s="1"/>
  <c r="J25" i="4"/>
  <c r="I25" i="4"/>
  <c r="H25" i="4"/>
  <c r="AO25" i="4" s="1"/>
  <c r="G25" i="4"/>
  <c r="F25" i="4"/>
  <c r="E25" i="4"/>
  <c r="D25" i="4"/>
  <c r="K24" i="4"/>
  <c r="AT24" i="4" s="1"/>
  <c r="J24" i="4"/>
  <c r="I24" i="4"/>
  <c r="H24" i="4"/>
  <c r="AO24" i="4" s="1"/>
  <c r="G24" i="4"/>
  <c r="F24" i="4"/>
  <c r="E24" i="4"/>
  <c r="D24" i="4"/>
  <c r="K23" i="4"/>
  <c r="AT23" i="4" s="1"/>
  <c r="J23" i="4"/>
  <c r="I23" i="4"/>
  <c r="H23" i="4"/>
  <c r="AO23" i="4" s="1"/>
  <c r="G23" i="4"/>
  <c r="F23" i="4"/>
  <c r="E23" i="4"/>
  <c r="D23" i="4"/>
  <c r="K22" i="4"/>
  <c r="AT22" i="4" s="1"/>
  <c r="J22" i="4"/>
  <c r="I22" i="4"/>
  <c r="H22" i="4"/>
  <c r="AO22" i="4" s="1"/>
  <c r="G22" i="4"/>
  <c r="F22" i="4"/>
  <c r="E22" i="4"/>
  <c r="D22" i="4"/>
  <c r="K21" i="4"/>
  <c r="AT21" i="4" s="1"/>
  <c r="J21" i="4"/>
  <c r="I21" i="4"/>
  <c r="H21" i="4"/>
  <c r="AO21" i="4" s="1"/>
  <c r="G21" i="4"/>
  <c r="F21" i="4"/>
  <c r="E21" i="4"/>
  <c r="D21" i="4"/>
  <c r="K20" i="4"/>
  <c r="AT20" i="4" s="1"/>
  <c r="J20" i="4"/>
  <c r="I20" i="4"/>
  <c r="H20" i="4"/>
  <c r="AO20" i="4" s="1"/>
  <c r="G20" i="4"/>
  <c r="F20" i="4"/>
  <c r="E20" i="4"/>
  <c r="D20" i="4"/>
  <c r="H19" i="4"/>
  <c r="AO19" i="4" s="1"/>
  <c r="D19" i="4"/>
  <c r="K18" i="4"/>
  <c r="AT18" i="4" s="1"/>
  <c r="J18" i="4"/>
  <c r="I18" i="4"/>
  <c r="H18" i="4"/>
  <c r="AO18" i="4" s="1"/>
  <c r="G18" i="4"/>
  <c r="F18" i="4"/>
  <c r="E18" i="4"/>
  <c r="D18" i="4"/>
  <c r="K17" i="4"/>
  <c r="AT17" i="4" s="1"/>
  <c r="J17" i="4"/>
  <c r="I17" i="4"/>
  <c r="H17" i="4"/>
  <c r="AO17" i="4" s="1"/>
  <c r="G17" i="4"/>
  <c r="F17" i="4"/>
  <c r="E17" i="4"/>
  <c r="D17" i="4"/>
  <c r="K16" i="4"/>
  <c r="AT16" i="4" s="1"/>
  <c r="J16" i="4"/>
  <c r="I16" i="4"/>
  <c r="H16" i="4"/>
  <c r="AO16" i="4" s="1"/>
  <c r="G16" i="4"/>
  <c r="F16" i="4"/>
  <c r="E16" i="4"/>
  <c r="D16" i="4"/>
  <c r="Y18" i="4"/>
  <c r="V18" i="4"/>
  <c r="V26" i="4"/>
  <c r="Y26" i="4"/>
  <c r="V37" i="4"/>
  <c r="Y37" i="4"/>
  <c r="V28" i="4"/>
  <c r="Y28" i="4"/>
  <c r="V36" i="4"/>
  <c r="Y36" i="4"/>
  <c r="V27" i="4"/>
  <c r="Y27" i="4"/>
  <c r="V35" i="4"/>
  <c r="Y35" i="4"/>
  <c r="P18" i="4"/>
  <c r="P22" i="4"/>
  <c r="P17" i="4"/>
  <c r="P16" i="4"/>
  <c r="P20" i="4"/>
  <c r="P21" i="4"/>
  <c r="P23" i="4"/>
  <c r="P27" i="4"/>
  <c r="P29" i="4"/>
  <c r="P33" i="4"/>
  <c r="P36" i="4"/>
  <c r="P37" i="4"/>
  <c r="P40" i="4"/>
  <c r="P24" i="4"/>
  <c r="P25" i="4"/>
  <c r="P26" i="4"/>
  <c r="P30" i="4"/>
  <c r="P32" i="4"/>
  <c r="P35" i="4"/>
  <c r="P38" i="4"/>
  <c r="P15" i="4"/>
  <c r="Q15" i="4" s="1"/>
  <c r="P28" i="4"/>
  <c r="P31" i="4"/>
  <c r="P34" i="4"/>
  <c r="P39" i="4"/>
  <c r="S16" i="4"/>
  <c r="S17" i="4"/>
  <c r="S18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Y40" i="4"/>
  <c r="V40" i="4"/>
  <c r="Y39" i="4"/>
  <c r="V39" i="4"/>
  <c r="Y38" i="4"/>
  <c r="V38" i="4"/>
  <c r="Y34" i="4"/>
  <c r="V34" i="4"/>
  <c r="Y33" i="4"/>
  <c r="V33" i="4"/>
  <c r="Y32" i="4"/>
  <c r="V32" i="4"/>
  <c r="Y31" i="4"/>
  <c r="V31" i="4"/>
  <c r="Y30" i="4"/>
  <c r="V30" i="4"/>
  <c r="Y29" i="4"/>
  <c r="V29" i="4"/>
  <c r="Y25" i="4"/>
  <c r="V25" i="4"/>
  <c r="Y24" i="4"/>
  <c r="V24" i="4"/>
  <c r="Y23" i="4"/>
  <c r="V23" i="4"/>
  <c r="Y22" i="4"/>
  <c r="V22" i="4"/>
  <c r="Y21" i="4"/>
  <c r="V21" i="4"/>
  <c r="Y20" i="4"/>
  <c r="V20" i="4"/>
  <c r="Y16" i="4"/>
  <c r="V16" i="4"/>
  <c r="Y17" i="4"/>
  <c r="V17" i="4"/>
  <c r="AR16" i="6"/>
  <c r="AH40" i="4"/>
  <c r="AH39" i="4"/>
  <c r="AH38" i="4"/>
  <c r="AH34" i="4"/>
  <c r="AH33" i="4"/>
  <c r="AH32" i="4"/>
  <c r="AH31" i="4"/>
  <c r="AH30" i="4"/>
  <c r="AH29" i="4"/>
  <c r="AH25" i="4"/>
  <c r="AH24" i="4"/>
  <c r="AH23" i="4"/>
  <c r="AH22" i="4"/>
  <c r="AH21" i="4"/>
  <c r="AH20" i="4"/>
  <c r="AP18" i="4"/>
  <c r="AP34" i="4"/>
  <c r="AP23" i="4"/>
  <c r="AP16" i="4"/>
  <c r="AP40" i="4"/>
  <c r="AR26" i="7"/>
  <c r="AR19" i="7"/>
  <c r="AP17" i="4"/>
  <c r="AP32" i="4"/>
  <c r="AP21" i="4"/>
  <c r="AR40" i="7"/>
  <c r="AP38" i="4"/>
  <c r="AP33" i="4"/>
  <c r="AR29" i="7"/>
  <c r="AR23" i="6"/>
  <c r="AP30" i="4"/>
  <c r="AR31" i="7"/>
  <c r="AR27" i="6"/>
  <c r="AR34" i="6"/>
  <c r="AP39" i="4"/>
  <c r="AP25" i="4"/>
  <c r="AR30" i="7"/>
  <c r="AR30" i="6"/>
  <c r="AH19" i="4"/>
  <c r="AH18" i="4"/>
  <c r="AH17" i="4"/>
  <c r="AL16" i="4"/>
  <c r="AH16" i="4"/>
  <c r="AP31" i="4"/>
  <c r="AP20" i="4"/>
  <c r="AP29" i="4"/>
  <c r="AP22" i="4"/>
  <c r="AP24" i="4"/>
  <c r="AG38" i="8"/>
  <c r="AG16" i="8"/>
  <c r="BH23" i="8"/>
  <c r="BH25" i="8"/>
  <c r="Z18" i="4"/>
  <c r="AA18" i="4"/>
  <c r="X18" i="4"/>
  <c r="W18" i="4"/>
  <c r="X26" i="4"/>
  <c r="W26" i="4"/>
  <c r="Z26" i="4"/>
  <c r="AA26" i="4"/>
  <c r="W37" i="4"/>
  <c r="X37" i="4"/>
  <c r="Z37" i="4"/>
  <c r="AA37" i="4"/>
  <c r="X28" i="4"/>
  <c r="W28" i="4"/>
  <c r="Z28" i="4"/>
  <c r="AA28" i="4"/>
  <c r="X36" i="4"/>
  <c r="W36" i="4"/>
  <c r="Z36" i="4"/>
  <c r="AA36" i="4"/>
  <c r="W27" i="4"/>
  <c r="X27" i="4"/>
  <c r="Z27" i="4"/>
  <c r="AA27" i="4"/>
  <c r="W35" i="4"/>
  <c r="X35" i="4"/>
  <c r="Z35" i="4"/>
  <c r="AA35" i="4"/>
  <c r="Q18" i="4"/>
  <c r="R18" i="4"/>
  <c r="Q22" i="4"/>
  <c r="R22" i="4"/>
  <c r="Q17" i="4"/>
  <c r="R17" i="4"/>
  <c r="Q16" i="4"/>
  <c r="R16" i="4"/>
  <c r="Q20" i="4"/>
  <c r="R20" i="4"/>
  <c r="Q21" i="4"/>
  <c r="R21" i="4"/>
  <c r="Q23" i="4"/>
  <c r="R23" i="4"/>
  <c r="Q27" i="4"/>
  <c r="R27" i="4"/>
  <c r="Q29" i="4"/>
  <c r="R29" i="4"/>
  <c r="Q33" i="4"/>
  <c r="R33" i="4"/>
  <c r="Q36" i="4"/>
  <c r="R36" i="4"/>
  <c r="Q37" i="4"/>
  <c r="R37" i="4"/>
  <c r="Q40" i="4"/>
  <c r="R40" i="4"/>
  <c r="Q24" i="4"/>
  <c r="R24" i="4"/>
  <c r="Q25" i="4"/>
  <c r="R25" i="4"/>
  <c r="Q26" i="4"/>
  <c r="R26" i="4"/>
  <c r="Q30" i="4"/>
  <c r="R30" i="4"/>
  <c r="Q32" i="4"/>
  <c r="R32" i="4"/>
  <c r="Q35" i="4"/>
  <c r="R35" i="4"/>
  <c r="Q38" i="4"/>
  <c r="R38" i="4"/>
  <c r="R28" i="4"/>
  <c r="Q28" i="4"/>
  <c r="Q31" i="4"/>
  <c r="R31" i="4"/>
  <c r="R34" i="4"/>
  <c r="Q34" i="4"/>
  <c r="Q39" i="4"/>
  <c r="R39" i="4"/>
  <c r="U16" i="4"/>
  <c r="T16" i="4"/>
  <c r="T17" i="4"/>
  <c r="U17" i="4"/>
  <c r="U18" i="4"/>
  <c r="T18" i="4"/>
  <c r="U20" i="4"/>
  <c r="T20" i="4"/>
  <c r="T21" i="4"/>
  <c r="U21" i="4"/>
  <c r="U22" i="4"/>
  <c r="T22" i="4"/>
  <c r="T23" i="4"/>
  <c r="U23" i="4"/>
  <c r="U24" i="4"/>
  <c r="T24" i="4"/>
  <c r="T25" i="4"/>
  <c r="U25" i="4"/>
  <c r="U26" i="4"/>
  <c r="T26" i="4"/>
  <c r="U27" i="4"/>
  <c r="T27" i="4"/>
  <c r="T28" i="4"/>
  <c r="U28" i="4"/>
  <c r="U29" i="4"/>
  <c r="T29" i="4"/>
  <c r="U30" i="4"/>
  <c r="T30" i="4"/>
  <c r="U31" i="4"/>
  <c r="T31" i="4"/>
  <c r="T32" i="4"/>
  <c r="U32" i="4"/>
  <c r="T33" i="4"/>
  <c r="U33" i="4"/>
  <c r="U34" i="4"/>
  <c r="T34" i="4"/>
  <c r="U35" i="4"/>
  <c r="T35" i="4"/>
  <c r="T36" i="4"/>
  <c r="U36" i="4"/>
  <c r="U37" i="4"/>
  <c r="T37" i="4"/>
  <c r="T38" i="4"/>
  <c r="U38" i="4"/>
  <c r="U39" i="4"/>
  <c r="T39" i="4"/>
  <c r="T40" i="4"/>
  <c r="U40" i="4"/>
  <c r="Z40" i="4"/>
  <c r="AA40" i="4"/>
  <c r="X40" i="4"/>
  <c r="W40" i="4"/>
  <c r="Z39" i="4"/>
  <c r="AA39" i="4"/>
  <c r="W39" i="4"/>
  <c r="X39" i="4"/>
  <c r="Z38" i="4"/>
  <c r="AA38" i="4"/>
  <c r="X38" i="4"/>
  <c r="W38" i="4"/>
  <c r="Z34" i="4"/>
  <c r="AA34" i="4"/>
  <c r="X34" i="4"/>
  <c r="W34" i="4"/>
  <c r="Z33" i="4"/>
  <c r="AA33" i="4"/>
  <c r="W33" i="4"/>
  <c r="X33" i="4"/>
  <c r="Z32" i="4"/>
  <c r="AA32" i="4"/>
  <c r="X32" i="4"/>
  <c r="W32" i="4"/>
  <c r="Z31" i="4"/>
  <c r="AA31" i="4"/>
  <c r="W31" i="4"/>
  <c r="X31" i="4"/>
  <c r="Z30" i="4"/>
  <c r="AA30" i="4"/>
  <c r="X30" i="4"/>
  <c r="W30" i="4"/>
  <c r="Z29" i="4"/>
  <c r="AA29" i="4"/>
  <c r="W29" i="4"/>
  <c r="X29" i="4"/>
  <c r="Z25" i="4"/>
  <c r="AA25" i="4"/>
  <c r="W25" i="4"/>
  <c r="X25" i="4"/>
  <c r="Z24" i="4"/>
  <c r="AA24" i="4"/>
  <c r="X24" i="4"/>
  <c r="W24" i="4"/>
  <c r="Z23" i="4"/>
  <c r="AA23" i="4"/>
  <c r="W23" i="4"/>
  <c r="X23" i="4"/>
  <c r="Z22" i="4"/>
  <c r="AA22" i="4"/>
  <c r="X22" i="4"/>
  <c r="W22" i="4"/>
  <c r="Z21" i="4"/>
  <c r="AA21" i="4"/>
  <c r="W21" i="4"/>
  <c r="X21" i="4"/>
  <c r="Z20" i="4"/>
  <c r="AA20" i="4"/>
  <c r="X20" i="4"/>
  <c r="W20" i="4"/>
  <c r="Z16" i="4"/>
  <c r="AA16" i="4"/>
  <c r="X16" i="4"/>
  <c r="W16" i="4"/>
  <c r="Z17" i="4"/>
  <c r="AA17" i="4"/>
  <c r="W17" i="4"/>
  <c r="X17" i="4"/>
  <c r="AV40" i="4" l="1"/>
  <c r="AV33" i="4"/>
  <c r="AV29" i="4"/>
  <c r="AV22" i="4"/>
  <c r="AV17" i="4"/>
  <c r="AV34" i="4"/>
  <c r="AV23" i="4"/>
  <c r="AV18" i="4"/>
  <c r="AV39" i="4"/>
  <c r="AV32" i="4"/>
  <c r="AV25" i="4"/>
  <c r="AV21" i="4"/>
  <c r="AV16" i="4"/>
  <c r="AV30" i="4"/>
  <c r="AV38" i="4"/>
  <c r="AV31" i="4"/>
  <c r="AV24" i="4"/>
  <c r="AV20" i="4"/>
  <c r="AV37" i="4"/>
  <c r="AV27" i="4"/>
  <c r="AV26" i="4"/>
  <c r="AV36" i="4"/>
  <c r="AV35" i="4"/>
  <c r="AV28" i="4"/>
  <c r="BC33" i="4"/>
  <c r="BC18" i="4"/>
  <c r="BC21" i="4"/>
  <c r="BC27" i="4"/>
  <c r="BC34" i="4"/>
  <c r="BC25" i="4"/>
  <c r="BC31" i="4"/>
  <c r="BC23" i="4"/>
  <c r="BC29" i="4"/>
  <c r="BC35" i="4"/>
  <c r="BC17" i="4"/>
  <c r="BC39" i="4"/>
  <c r="BC37" i="4"/>
  <c r="BC20" i="4"/>
  <c r="BC28" i="4"/>
  <c r="BC32" i="4"/>
  <c r="BC40" i="4"/>
  <c r="BC16" i="4"/>
  <c r="BC22" i="4"/>
  <c r="BC26" i="4"/>
  <c r="BC30" i="4"/>
  <c r="BC38" i="4"/>
  <c r="BC24" i="4"/>
  <c r="BC36" i="4"/>
  <c r="B37" i="6"/>
  <c r="B40" i="6"/>
  <c r="B16" i="6"/>
  <c r="B39" i="6"/>
  <c r="B38" i="6"/>
  <c r="B34" i="6"/>
  <c r="B21" i="6"/>
  <c r="B35" i="6"/>
  <c r="B36" i="6"/>
  <c r="B26" i="7"/>
  <c r="B35" i="7"/>
  <c r="B31" i="7"/>
  <c r="B34" i="7"/>
  <c r="B29" i="7"/>
  <c r="B40" i="7"/>
  <c r="B19" i="7"/>
  <c r="B30" i="7"/>
  <c r="B37" i="7"/>
  <c r="B32" i="7"/>
  <c r="B33" i="7"/>
  <c r="B36" i="7"/>
  <c r="B37" i="8"/>
  <c r="B36" i="8"/>
  <c r="B34" i="8"/>
  <c r="B33" i="8"/>
  <c r="B32" i="8"/>
  <c r="B35" i="8"/>
  <c r="AU20" i="4"/>
  <c r="AU23" i="4"/>
  <c r="AU22" i="4"/>
  <c r="AU33" i="4"/>
  <c r="AU26" i="4"/>
  <c r="AU25" i="4"/>
  <c r="AU39" i="4"/>
  <c r="AU36" i="4"/>
  <c r="AU34" i="4"/>
  <c r="AU24" i="4"/>
  <c r="AU38" i="4"/>
  <c r="AU16" i="4"/>
  <c r="AU37" i="4"/>
  <c r="AU30" i="4"/>
  <c r="AU17" i="4"/>
  <c r="AU28" i="4"/>
  <c r="AU29" i="4"/>
  <c r="AU40" i="4"/>
  <c r="AU18" i="4"/>
  <c r="AU27" i="4"/>
  <c r="AU35" i="4"/>
  <c r="AU21" i="4"/>
  <c r="AU32" i="4"/>
  <c r="AU31" i="4"/>
  <c r="BN30" i="8"/>
  <c r="AZ37" i="4"/>
  <c r="AZ27" i="4"/>
  <c r="AZ28" i="4"/>
  <c r="AZ26" i="4"/>
  <c r="AZ35" i="4"/>
  <c r="AZ36" i="4"/>
  <c r="AY20" i="4"/>
  <c r="AY23" i="4"/>
  <c r="AY22" i="4"/>
  <c r="AY33" i="4"/>
  <c r="AY26" i="4"/>
  <c r="AY25" i="4"/>
  <c r="AY39" i="4"/>
  <c r="AY36" i="4"/>
  <c r="AY34" i="4"/>
  <c r="AY24" i="4"/>
  <c r="AY38" i="4"/>
  <c r="AY37" i="4"/>
  <c r="AY30" i="4"/>
  <c r="AY17" i="4"/>
  <c r="AY28" i="4"/>
  <c r="AY29" i="4"/>
  <c r="AY40" i="4"/>
  <c r="AY18" i="4"/>
  <c r="AY27" i="4"/>
  <c r="AY35" i="4"/>
  <c r="AY21" i="4"/>
  <c r="AY32" i="4"/>
  <c r="AY31" i="4"/>
  <c r="AW18" i="4"/>
  <c r="AX17" i="4"/>
  <c r="AX26" i="4"/>
  <c r="AX39" i="4"/>
  <c r="AW17" i="4"/>
  <c r="AW23" i="4"/>
  <c r="AW21" i="4"/>
  <c r="AW22" i="4"/>
  <c r="AW27" i="4"/>
  <c r="AX21" i="4"/>
  <c r="AX30" i="4"/>
  <c r="AX20" i="4"/>
  <c r="AW25" i="4"/>
  <c r="AW26" i="4"/>
  <c r="AW31" i="4"/>
  <c r="AX25" i="4"/>
  <c r="AX34" i="4"/>
  <c r="AX24" i="4"/>
  <c r="AW29" i="4"/>
  <c r="AW30" i="4"/>
  <c r="AW35" i="4"/>
  <c r="AX29" i="4"/>
  <c r="AX38" i="4"/>
  <c r="AX28" i="4"/>
  <c r="AW34" i="4"/>
  <c r="AW39" i="4"/>
  <c r="AX33" i="4"/>
  <c r="AX23" i="4"/>
  <c r="AX32" i="4"/>
  <c r="AW33" i="4"/>
  <c r="AW37" i="4"/>
  <c r="AW38" i="4"/>
  <c r="AW20" i="4"/>
  <c r="AX37" i="4"/>
  <c r="AX27" i="4"/>
  <c r="AX36" i="4"/>
  <c r="AW28" i="4"/>
  <c r="AW24" i="4"/>
  <c r="AW32" i="4"/>
  <c r="AX18" i="4"/>
  <c r="AX31" i="4"/>
  <c r="AX40" i="4"/>
  <c r="AW40" i="4"/>
  <c r="AW36" i="4"/>
  <c r="AX22" i="4"/>
  <c r="AX35" i="4"/>
  <c r="AZ17" i="4"/>
  <c r="AZ18" i="4"/>
  <c r="AZ20" i="4"/>
  <c r="AZ21" i="4"/>
  <c r="AZ22" i="4"/>
  <c r="AZ23" i="4"/>
  <c r="AZ24" i="4"/>
  <c r="AZ25" i="4"/>
  <c r="AZ29" i="4"/>
  <c r="AZ30" i="4"/>
  <c r="AZ31" i="4"/>
  <c r="AZ32" i="4"/>
  <c r="AZ33" i="4"/>
  <c r="AZ34" i="4"/>
  <c r="AZ38" i="4"/>
  <c r="AZ39" i="4"/>
  <c r="AZ40" i="4"/>
  <c r="AY16" i="4"/>
  <c r="AW16" i="4"/>
  <c r="AX16" i="4"/>
  <c r="AZ16" i="4"/>
  <c r="AS26" i="6"/>
  <c r="AS25" i="6"/>
  <c r="AS29" i="6"/>
  <c r="AS28" i="7"/>
  <c r="AS22" i="8"/>
  <c r="AJ16" i="4"/>
  <c r="AI16" i="4"/>
  <c r="AM16" i="4"/>
  <c r="AK16" i="4"/>
  <c r="BF17" i="4"/>
  <c r="AJ17" i="4"/>
  <c r="AI17" i="4"/>
  <c r="AM17" i="4"/>
  <c r="AK17" i="4"/>
  <c r="BF18" i="4"/>
  <c r="AJ18" i="4"/>
  <c r="AI18" i="4"/>
  <c r="AM18" i="4"/>
  <c r="AK18" i="4"/>
  <c r="AQ20" i="4"/>
  <c r="AQ22" i="4"/>
  <c r="BM24" i="4"/>
  <c r="AQ24" i="4"/>
  <c r="BM29" i="4"/>
  <c r="AQ29" i="4"/>
  <c r="AQ31" i="4"/>
  <c r="AN16" i="4"/>
  <c r="AN17" i="4"/>
  <c r="AN18" i="4"/>
  <c r="AL18" i="4"/>
  <c r="AS24" i="6"/>
  <c r="BM33" i="4"/>
  <c r="AQ33" i="4"/>
  <c r="AQ38" i="4"/>
  <c r="BM40" i="4"/>
  <c r="AQ40" i="4"/>
  <c r="AQ16" i="4"/>
  <c r="AN19" i="4"/>
  <c r="AL19" i="4"/>
  <c r="AJ20" i="4"/>
  <c r="AI20" i="4"/>
  <c r="AM20" i="4"/>
  <c r="AK20" i="4"/>
  <c r="BF22" i="4"/>
  <c r="AJ22" i="4"/>
  <c r="AI22" i="4"/>
  <c r="AM22" i="4"/>
  <c r="AK22" i="4"/>
  <c r="AJ29" i="4"/>
  <c r="AI29" i="4"/>
  <c r="AM29" i="4"/>
  <c r="AK29" i="4"/>
  <c r="BG30" i="4"/>
  <c r="AJ30" i="4"/>
  <c r="AI30" i="4"/>
  <c r="AM30" i="4"/>
  <c r="AK30" i="4"/>
  <c r="BG31" i="4"/>
  <c r="AJ31" i="4"/>
  <c r="AI31" i="4"/>
  <c r="AM31" i="4"/>
  <c r="AK31" i="4"/>
  <c r="BF32" i="4"/>
  <c r="AJ32" i="4"/>
  <c r="AI32" i="4"/>
  <c r="AM32" i="4"/>
  <c r="AK32" i="4"/>
  <c r="AJ33" i="4"/>
  <c r="AI33" i="4"/>
  <c r="AM33" i="4"/>
  <c r="AK33" i="4"/>
  <c r="BI34" i="4"/>
  <c r="AJ34" i="4"/>
  <c r="AI34" i="4"/>
  <c r="AM34" i="4"/>
  <c r="AK34" i="4"/>
  <c r="BG38" i="4"/>
  <c r="AJ38" i="4"/>
  <c r="AI38" i="4"/>
  <c r="AM38" i="4"/>
  <c r="AK38" i="4"/>
  <c r="BF39" i="4"/>
  <c r="AJ39" i="4"/>
  <c r="AI39" i="4"/>
  <c r="AM39" i="4"/>
  <c r="AK39" i="4"/>
  <c r="BF40" i="4"/>
  <c r="AJ40" i="4"/>
  <c r="AI40" i="4"/>
  <c r="AM40" i="4"/>
  <c r="AK40" i="4"/>
  <c r="BM21" i="4"/>
  <c r="AQ21" i="4"/>
  <c r="BM23" i="4"/>
  <c r="AQ23" i="4"/>
  <c r="BM25" i="4"/>
  <c r="AQ25" i="4"/>
  <c r="AQ30" i="4"/>
  <c r="BM32" i="4"/>
  <c r="AQ32" i="4"/>
  <c r="AQ34" i="4"/>
  <c r="BM39" i="4"/>
  <c r="AQ39" i="4"/>
  <c r="AQ17" i="4"/>
  <c r="AQ18" i="4"/>
  <c r="BF21" i="4"/>
  <c r="AJ21" i="4"/>
  <c r="AI21" i="4"/>
  <c r="AM21" i="4"/>
  <c r="AK21" i="4"/>
  <c r="BI23" i="4"/>
  <c r="AJ23" i="4"/>
  <c r="AI23" i="4"/>
  <c r="AM23" i="4"/>
  <c r="AK23" i="4"/>
  <c r="AJ24" i="4"/>
  <c r="AI24" i="4"/>
  <c r="AM24" i="4"/>
  <c r="AK24" i="4"/>
  <c r="BF25" i="4"/>
  <c r="AJ25" i="4"/>
  <c r="AI25" i="4"/>
  <c r="AM25" i="4"/>
  <c r="AK25" i="4"/>
  <c r="AN20" i="4"/>
  <c r="AL20" i="4"/>
  <c r="AN21" i="4"/>
  <c r="AN22" i="4"/>
  <c r="AL22" i="4"/>
  <c r="AN23" i="4"/>
  <c r="AL23" i="4"/>
  <c r="AN24" i="4"/>
  <c r="AL24" i="4"/>
  <c r="AN25" i="4"/>
  <c r="AL25" i="4"/>
  <c r="AN29" i="4"/>
  <c r="AL29" i="4"/>
  <c r="AN30" i="4"/>
  <c r="AL30" i="4"/>
  <c r="AN31" i="4"/>
  <c r="AL31" i="4"/>
  <c r="AN32" i="4"/>
  <c r="AL32" i="4"/>
  <c r="AN33" i="4"/>
  <c r="AL33" i="4"/>
  <c r="AN34" i="4"/>
  <c r="AL34" i="4"/>
  <c r="AN38" i="4"/>
  <c r="AL38" i="4"/>
  <c r="AN39" i="4"/>
  <c r="AL39" i="4"/>
  <c r="AN40" i="4"/>
  <c r="AL40" i="4"/>
  <c r="AS32" i="6"/>
  <c r="AS38" i="7"/>
  <c r="AS25" i="7"/>
  <c r="BA18" i="4"/>
  <c r="BB17" i="4"/>
  <c r="BB26" i="4"/>
  <c r="BB39" i="4"/>
  <c r="BA17" i="4"/>
  <c r="BA23" i="4"/>
  <c r="BA21" i="4"/>
  <c r="BA22" i="4"/>
  <c r="BA27" i="4"/>
  <c r="BB21" i="4"/>
  <c r="BB30" i="4"/>
  <c r="BB20" i="4"/>
  <c r="BA25" i="4"/>
  <c r="BA26" i="4"/>
  <c r="BA31" i="4"/>
  <c r="BB25" i="4"/>
  <c r="BB34" i="4"/>
  <c r="BB24" i="4"/>
  <c r="BA29" i="4"/>
  <c r="BA30" i="4"/>
  <c r="BA35" i="4"/>
  <c r="BB29" i="4"/>
  <c r="BB38" i="4"/>
  <c r="BB28" i="4"/>
  <c r="BA34" i="4"/>
  <c r="BA39" i="4"/>
  <c r="BB33" i="4"/>
  <c r="BB23" i="4"/>
  <c r="BB32" i="4"/>
  <c r="BA33" i="4"/>
  <c r="BA37" i="4"/>
  <c r="BA38" i="4"/>
  <c r="BA20" i="4"/>
  <c r="BB37" i="4"/>
  <c r="BB27" i="4"/>
  <c r="BB36" i="4"/>
  <c r="BA28" i="4"/>
  <c r="BA24" i="4"/>
  <c r="BA32" i="4"/>
  <c r="BB18" i="4"/>
  <c r="BB31" i="4"/>
  <c r="BB40" i="4"/>
  <c r="BA40" i="4"/>
  <c r="BA36" i="4"/>
  <c r="BB22" i="4"/>
  <c r="BB35" i="4"/>
  <c r="BA16" i="4"/>
  <c r="BB16" i="4"/>
  <c r="BN33" i="6"/>
  <c r="BN39" i="7"/>
  <c r="BN31" i="6"/>
  <c r="BN38" i="8"/>
  <c r="AF17" i="6"/>
  <c r="AF27" i="6"/>
  <c r="AD22" i="6"/>
  <c r="AE22" i="6" s="1"/>
  <c r="AD21" i="6"/>
  <c r="AE21" i="6" s="1"/>
  <c r="O31" i="8"/>
  <c r="AD38" i="8"/>
  <c r="AE38" i="8" s="1"/>
  <c r="O18" i="6"/>
  <c r="O31" i="6"/>
  <c r="O39" i="7"/>
  <c r="O39" i="8"/>
  <c r="BN26" i="8"/>
  <c r="O22" i="6"/>
  <c r="BN17" i="7"/>
  <c r="O18" i="7"/>
  <c r="BN21" i="7"/>
  <c r="O27" i="7"/>
  <c r="O21" i="8"/>
  <c r="O27" i="8"/>
  <c r="N22" i="4"/>
  <c r="N24" i="4"/>
  <c r="O20" i="6"/>
  <c r="O33" i="6"/>
  <c r="O22" i="7"/>
  <c r="O16" i="7"/>
  <c r="O23" i="7"/>
  <c r="O16" i="8"/>
  <c r="O19" i="8"/>
  <c r="BN17" i="8"/>
  <c r="O24" i="8"/>
  <c r="O23" i="8"/>
  <c r="O29" i="8"/>
  <c r="O30" i="8"/>
  <c r="O18" i="8"/>
  <c r="BN20" i="8"/>
  <c r="O17" i="6"/>
  <c r="O19" i="6"/>
  <c r="BN28" i="6"/>
  <c r="O24" i="7"/>
  <c r="O20" i="7"/>
  <c r="O40" i="8"/>
  <c r="O28" i="8"/>
  <c r="O25" i="8"/>
  <c r="O38" i="8"/>
  <c r="BN18" i="8"/>
  <c r="O20" i="8"/>
  <c r="O17" i="8"/>
  <c r="BN24" i="8"/>
  <c r="AF24" i="6"/>
  <c r="BN29" i="6"/>
  <c r="AD24" i="6"/>
  <c r="AE24" i="6" s="1"/>
  <c r="O28" i="6"/>
  <c r="AF28" i="6"/>
  <c r="BN19" i="6"/>
  <c r="AF20" i="8"/>
  <c r="AF23" i="6"/>
  <c r="AD29" i="6"/>
  <c r="AE29" i="6" s="1"/>
  <c r="AD20" i="6"/>
  <c r="AE20" i="6" s="1"/>
  <c r="AD16" i="8"/>
  <c r="AE16" i="8" s="1"/>
  <c r="BO16" i="4"/>
  <c r="BO17" i="4"/>
  <c r="BO18" i="4"/>
  <c r="BN26" i="6"/>
  <c r="AB35" i="4"/>
  <c r="AB26" i="4"/>
  <c r="AB37" i="4"/>
  <c r="AB36" i="4"/>
  <c r="AB28" i="4"/>
  <c r="AB27" i="4"/>
  <c r="BO19" i="4"/>
  <c r="BO20" i="4"/>
  <c r="BO21" i="4"/>
  <c r="BO22" i="4"/>
  <c r="BO23" i="4"/>
  <c r="BO24" i="4"/>
  <c r="BO25" i="4"/>
  <c r="AC35" i="4"/>
  <c r="AC37" i="4"/>
  <c r="AC27" i="4"/>
  <c r="AC36" i="4"/>
  <c r="AC28" i="4"/>
  <c r="AC26" i="4"/>
  <c r="M15" i="4"/>
  <c r="AD21" i="8"/>
  <c r="AE21" i="8" s="1"/>
  <c r="BN32" i="6"/>
  <c r="BN38" i="7"/>
  <c r="O26" i="6"/>
  <c r="BN25" i="6"/>
  <c r="O21" i="7"/>
  <c r="BO29" i="4"/>
  <c r="BO30" i="4"/>
  <c r="BO31" i="4"/>
  <c r="BO32" i="4"/>
  <c r="BO33" i="4"/>
  <c r="BO34" i="4"/>
  <c r="BO38" i="4"/>
  <c r="BO39" i="4"/>
  <c r="BO40" i="4"/>
  <c r="BN22" i="7"/>
  <c r="BN20" i="7"/>
  <c r="BN23" i="7"/>
  <c r="O25" i="6"/>
  <c r="BN22" i="6"/>
  <c r="AD32" i="6"/>
  <c r="AE32" i="6" s="1"/>
  <c r="AD30" i="6"/>
  <c r="AE30" i="6" s="1"/>
  <c r="AD25" i="6"/>
  <c r="AE25" i="6" s="1"/>
  <c r="BK32" i="4"/>
  <c r="BJ33" i="4"/>
  <c r="BK38" i="4"/>
  <c r="BJ40" i="4"/>
  <c r="BK29" i="4"/>
  <c r="BK31" i="4"/>
  <c r="BK16" i="4"/>
  <c r="BK17" i="4"/>
  <c r="BK18" i="4"/>
  <c r="BK20" i="4"/>
  <c r="BK21" i="4"/>
  <c r="BN16" i="8"/>
  <c r="AF25" i="8"/>
  <c r="AF28" i="8"/>
  <c r="O26" i="8"/>
  <c r="AD24" i="8"/>
  <c r="AE24" i="8" s="1"/>
  <c r="BN39" i="8"/>
  <c r="AD22" i="8"/>
  <c r="AE22" i="8" s="1"/>
  <c r="BN19" i="8"/>
  <c r="AL17" i="4"/>
  <c r="AR27" i="7"/>
  <c r="AR40" i="8"/>
  <c r="AR21" i="8"/>
  <c r="AR18" i="8"/>
  <c r="AR31" i="8"/>
  <c r="AR33" i="6"/>
  <c r="AR25" i="8"/>
  <c r="AR22" i="7"/>
  <c r="AR20" i="7"/>
  <c r="AL21" i="4"/>
  <c r="AR16" i="7"/>
  <c r="AR21" i="7"/>
  <c r="AR20" i="6"/>
  <c r="AR28" i="8"/>
  <c r="AR39" i="8"/>
  <c r="AR16" i="8"/>
  <c r="AR17" i="8"/>
  <c r="AR19" i="8"/>
  <c r="AR38" i="8"/>
  <c r="AR31" i="6"/>
  <c r="AR30" i="8"/>
  <c r="AR26" i="8"/>
  <c r="AR23" i="7"/>
  <c r="AR20" i="8"/>
  <c r="AR18" i="7"/>
  <c r="AR23" i="8"/>
  <c r="AR26" i="6"/>
  <c r="AR29" i="8"/>
  <c r="AR28" i="6"/>
  <c r="AR22" i="6"/>
  <c r="AR19" i="6"/>
  <c r="AR39" i="7"/>
  <c r="AR24" i="8"/>
  <c r="AR25" i="6"/>
  <c r="AR27" i="8"/>
  <c r="AR24" i="7"/>
  <c r="AR18" i="6"/>
  <c r="AR17" i="6"/>
  <c r="BH39" i="8"/>
  <c r="BH27" i="8"/>
  <c r="AG20" i="8"/>
  <c r="BQ31" i="8"/>
  <c r="BH38" i="8"/>
  <c r="BQ23" i="8"/>
  <c r="BH31" i="8"/>
  <c r="B17" i="6" l="1"/>
  <c r="B18" i="6"/>
  <c r="B24" i="7"/>
  <c r="B27" i="8"/>
  <c r="B24" i="8"/>
  <c r="B39" i="7"/>
  <c r="B19" i="6"/>
  <c r="B22" i="6"/>
  <c r="B29" i="8"/>
  <c r="B23" i="8"/>
  <c r="B18" i="7"/>
  <c r="B20" i="8"/>
  <c r="B23" i="7"/>
  <c r="B26" i="8"/>
  <c r="B30" i="8"/>
  <c r="B38" i="8"/>
  <c r="B19" i="8"/>
  <c r="B17" i="8"/>
  <c r="B16" i="8"/>
  <c r="B39" i="8"/>
  <c r="B28" i="8"/>
  <c r="B20" i="6"/>
  <c r="B21" i="7"/>
  <c r="B16" i="7"/>
  <c r="B20" i="7"/>
  <c r="B22" i="7"/>
  <c r="B25" i="8"/>
  <c r="B33" i="6"/>
  <c r="B31" i="8"/>
  <c r="B18" i="8"/>
  <c r="B21" i="8"/>
  <c r="B40" i="8"/>
  <c r="B27" i="7"/>
  <c r="B27" i="4"/>
  <c r="B28" i="4"/>
  <c r="B36" i="4"/>
  <c r="B35" i="4"/>
  <c r="B37" i="4"/>
  <c r="B26" i="4"/>
  <c r="AD36" i="4"/>
  <c r="AE36" i="4" s="1"/>
  <c r="AD35" i="4"/>
  <c r="AE35" i="4" s="1"/>
  <c r="AD26" i="4"/>
  <c r="AE26" i="4" s="1"/>
  <c r="AF36" i="4"/>
  <c r="AF35" i="4"/>
  <c r="AD27" i="4"/>
  <c r="AE27" i="4" s="1"/>
  <c r="AF27" i="4"/>
  <c r="AD37" i="4"/>
  <c r="AE37" i="4" s="1"/>
  <c r="AF37" i="4"/>
  <c r="AD28" i="4"/>
  <c r="AE28" i="4" s="1"/>
  <c r="AF28" i="4"/>
  <c r="AF26" i="4"/>
  <c r="AG28" i="4"/>
  <c r="BP24" i="8"/>
  <c r="BP16" i="8"/>
  <c r="AG35" i="4"/>
  <c r="BE16" i="8"/>
  <c r="AG37" i="4"/>
  <c r="BH24" i="8"/>
  <c r="AG36" i="4"/>
  <c r="AG26" i="4"/>
  <c r="AG27" i="4"/>
  <c r="BH26" i="8"/>
  <c r="BP40" i="8"/>
  <c r="BQ16" i="8"/>
  <c r="BH29" i="8"/>
  <c r="AG25" i="8"/>
  <c r="BQ29" i="8"/>
  <c r="BH21" i="8"/>
  <c r="BP28" i="8"/>
  <c r="BQ21" i="8"/>
  <c r="BQ28" i="8"/>
  <c r="BP22" i="8"/>
  <c r="BE21" i="8"/>
  <c r="BQ25" i="8"/>
  <c r="BQ22" i="8"/>
  <c r="AG28" i="8"/>
  <c r="AG39" i="8"/>
  <c r="BH28" i="8"/>
  <c r="BQ30" i="8"/>
  <c r="BH30" i="8"/>
  <c r="BP39" i="8"/>
  <c r="BE40" i="4"/>
  <c r="BQ23" i="6"/>
  <c r="BQ30" i="4"/>
  <c r="BP29" i="6"/>
  <c r="BH31" i="6"/>
  <c r="BH38" i="4"/>
  <c r="BH23" i="7"/>
  <c r="BP18" i="6"/>
  <c r="BP33" i="4"/>
  <c r="BP34" i="6"/>
  <c r="BP24" i="7"/>
  <c r="BH23" i="6"/>
  <c r="BQ24" i="6"/>
  <c r="BE23" i="4"/>
  <c r="BH22" i="8"/>
  <c r="BQ17" i="7"/>
  <c r="BH17" i="6"/>
  <c r="BP32" i="6"/>
  <c r="BP30" i="4"/>
  <c r="BQ29" i="6"/>
  <c r="BH40" i="7"/>
  <c r="BH21" i="6"/>
  <c r="BP21" i="4"/>
  <c r="BQ27" i="7"/>
  <c r="BH30" i="7"/>
  <c r="BE29" i="6"/>
  <c r="BH40" i="8"/>
  <c r="BP30" i="7"/>
  <c r="BE18" i="6"/>
  <c r="AG27" i="6"/>
  <c r="BH34" i="6"/>
  <c r="BH17" i="4"/>
  <c r="AG31" i="7"/>
  <c r="BP38" i="4"/>
  <c r="BE29" i="4"/>
  <c r="BQ31" i="7"/>
  <c r="BP38" i="7"/>
  <c r="BQ25" i="6"/>
  <c r="BP34" i="4"/>
  <c r="BQ17" i="6"/>
  <c r="AG20" i="7"/>
  <c r="BE33" i="4"/>
  <c r="BE20" i="4"/>
  <c r="AG25" i="7"/>
  <c r="BP20" i="4"/>
  <c r="BP25" i="6"/>
  <c r="BE30" i="4"/>
  <c r="BH22" i="7"/>
  <c r="AG16" i="7"/>
  <c r="AG19" i="7"/>
  <c r="BH27" i="7"/>
  <c r="BH20" i="7"/>
  <c r="BH16" i="6"/>
  <c r="BP17" i="4"/>
  <c r="BH27" i="6"/>
  <c r="BE21" i="4"/>
  <c r="BQ34" i="4"/>
  <c r="BE34" i="4"/>
  <c r="BH24" i="7"/>
  <c r="BH39" i="7"/>
  <c r="BP20" i="6"/>
  <c r="BE16" i="4"/>
  <c r="BQ24" i="7"/>
  <c r="BQ27" i="6"/>
  <c r="AG21" i="6"/>
  <c r="BP22" i="4"/>
  <c r="BQ20" i="7"/>
  <c r="BE17" i="4"/>
  <c r="BQ25" i="7"/>
  <c r="BP31" i="7"/>
  <c r="AG23" i="7"/>
  <c r="AG23" i="6"/>
  <c r="BH22" i="4"/>
  <c r="BP26" i="6"/>
  <c r="BH30" i="4"/>
  <c r="BH22" i="6"/>
  <c r="BP24" i="6"/>
  <c r="BP31" i="6"/>
  <c r="BH18" i="7"/>
  <c r="AG19" i="6"/>
  <c r="BQ28" i="6"/>
  <c r="BQ38" i="7"/>
  <c r="BH31" i="7"/>
  <c r="BQ28" i="7"/>
  <c r="BE22" i="4"/>
  <c r="BQ17" i="4"/>
  <c r="BP30" i="6"/>
  <c r="BP19" i="6"/>
  <c r="BP31" i="4"/>
  <c r="BH25" i="6"/>
  <c r="BH21" i="4"/>
  <c r="BH33" i="6"/>
  <c r="BH18" i="4"/>
  <c r="BE30" i="6"/>
  <c r="BE19" i="4"/>
  <c r="BH31" i="4"/>
  <c r="BQ16" i="7"/>
  <c r="BP17" i="7"/>
  <c r="BH16" i="7"/>
  <c r="AG24" i="6"/>
  <c r="BE39" i="4"/>
  <c r="BQ32" i="6"/>
  <c r="BP28" i="6"/>
  <c r="BP26" i="7"/>
  <c r="AG28" i="6"/>
  <c r="BE18" i="4"/>
  <c r="BH29" i="7"/>
  <c r="BP17" i="6"/>
  <c r="BH24" i="4"/>
  <c r="BP16" i="4"/>
  <c r="BP21" i="7"/>
  <c r="BQ22" i="6"/>
  <c r="BE32" i="4"/>
  <c r="AG16" i="6"/>
  <c r="BP29" i="4"/>
  <c r="BH24" i="6"/>
  <c r="BQ21" i="4"/>
  <c r="AG17" i="6"/>
  <c r="BP40" i="7"/>
  <c r="BE21" i="7"/>
  <c r="BP27" i="7"/>
  <c r="BQ31" i="6"/>
  <c r="AD31" i="8" l="1"/>
  <c r="AE31" i="8" s="1"/>
  <c r="BN29" i="8"/>
  <c r="BN28" i="8"/>
  <c r="AF23" i="8"/>
  <c r="BN27" i="8"/>
  <c r="BN23" i="8"/>
  <c r="BN25" i="8"/>
  <c r="AF27" i="8"/>
  <c r="BN21" i="8"/>
  <c r="BN22" i="8"/>
  <c r="AF17" i="8"/>
  <c r="AD27" i="8"/>
  <c r="AE27" i="8" s="1"/>
  <c r="AF19" i="8"/>
  <c r="AD19" i="8"/>
  <c r="AE19" i="8" s="1"/>
  <c r="AF31" i="8"/>
  <c r="AF18" i="8"/>
  <c r="AF29" i="8"/>
  <c r="BN40" i="8"/>
  <c r="AD20" i="8"/>
  <c r="AE20" i="8" s="1"/>
  <c r="AF22" i="8"/>
  <c r="AD28" i="8"/>
  <c r="AE28" i="8" s="1"/>
  <c r="AF30" i="8"/>
  <c r="AF40" i="8"/>
  <c r="AD17" i="8"/>
  <c r="AE17" i="8" s="1"/>
  <c r="AF24" i="8"/>
  <c r="AD25" i="8"/>
  <c r="AE25" i="8" s="1"/>
  <c r="AD29" i="8"/>
  <c r="AE29" i="8" s="1"/>
  <c r="AD39" i="8"/>
  <c r="AE39" i="8" s="1"/>
  <c r="AF21" i="8"/>
  <c r="O22" i="8"/>
  <c r="AD18" i="8"/>
  <c r="AE18" i="8" s="1"/>
  <c r="AD23" i="8"/>
  <c r="AE23" i="8" s="1"/>
  <c r="AF26" i="8"/>
  <c r="AD26" i="8"/>
  <c r="AE26" i="8" s="1"/>
  <c r="AD30" i="8"/>
  <c r="AE30" i="8" s="1"/>
  <c r="AD40" i="8"/>
  <c r="AE40" i="8" s="1"/>
  <c r="AF18" i="7"/>
  <c r="AF40" i="7"/>
  <c r="AF39" i="7"/>
  <c r="AF30" i="7"/>
  <c r="O28" i="7"/>
  <c r="BN27" i="7"/>
  <c r="O25" i="7"/>
  <c r="AF22" i="7"/>
  <c r="BN18" i="7"/>
  <c r="BN16" i="7"/>
  <c r="O38" i="7"/>
  <c r="AF17" i="7"/>
  <c r="AF26" i="7"/>
  <c r="AF28" i="7"/>
  <c r="AF27" i="7"/>
  <c r="BN25" i="7"/>
  <c r="O17" i="7"/>
  <c r="BN28" i="7"/>
  <c r="O15" i="7"/>
  <c r="AF21" i="7"/>
  <c r="AF24" i="7"/>
  <c r="AF29" i="7"/>
  <c r="BN24" i="7"/>
  <c r="AF38" i="7"/>
  <c r="AD16" i="7"/>
  <c r="AE16" i="7" s="1"/>
  <c r="AF25" i="6"/>
  <c r="AF31" i="6"/>
  <c r="O29" i="6"/>
  <c r="AF33" i="6"/>
  <c r="AD23" i="6"/>
  <c r="AE23" i="6" s="1"/>
  <c r="AD28" i="6"/>
  <c r="AE28" i="6" s="1"/>
  <c r="BN17" i="6"/>
  <c r="AD16" i="6"/>
  <c r="AE16" i="6" s="1"/>
  <c r="AF20" i="6"/>
  <c r="O32" i="6"/>
  <c r="AF34" i="6"/>
  <c r="AD27" i="6"/>
  <c r="AE27" i="6" s="1"/>
  <c r="AF32" i="6"/>
  <c r="AF26" i="6"/>
  <c r="AF22" i="6"/>
  <c r="O24" i="6"/>
  <c r="BN24" i="6"/>
  <c r="BN20" i="6"/>
  <c r="AF18" i="6"/>
  <c r="AD18" i="6"/>
  <c r="AE18" i="6" s="1"/>
  <c r="AF30" i="6"/>
  <c r="AF29" i="6"/>
  <c r="AD34" i="6"/>
  <c r="AE34" i="6" s="1"/>
  <c r="AD17" i="6"/>
  <c r="AE17" i="6" s="1"/>
  <c r="BN18" i="6"/>
  <c r="AD31" i="6"/>
  <c r="AE31" i="6" s="1"/>
  <c r="AD33" i="6"/>
  <c r="AE33" i="6" s="1"/>
  <c r="AD19" i="6"/>
  <c r="AE19" i="6" s="1"/>
  <c r="N15" i="4"/>
  <c r="O15" i="4" s="1"/>
  <c r="AC40" i="4"/>
  <c r="N18" i="4"/>
  <c r="E19" i="4"/>
  <c r="I19" i="4"/>
  <c r="L19" i="4"/>
  <c r="F19" i="4"/>
  <c r="J19" i="4"/>
  <c r="G19" i="4"/>
  <c r="AC31" i="4"/>
  <c r="AB16" i="4"/>
  <c r="AC24" i="4"/>
  <c r="AC16" i="4"/>
  <c r="AB40" i="4"/>
  <c r="AD40" i="4" s="1"/>
  <c r="AE40" i="4" s="1"/>
  <c r="AC20" i="4"/>
  <c r="AC38" i="4"/>
  <c r="AB38" i="4"/>
  <c r="AC32" i="4"/>
  <c r="AB31" i="4"/>
  <c r="AC25" i="4"/>
  <c r="AB24" i="4"/>
  <c r="AC21" i="4"/>
  <c r="AB20" i="4"/>
  <c r="AC17" i="4"/>
  <c r="AC39" i="4"/>
  <c r="AC34" i="4"/>
  <c r="AC33" i="4"/>
  <c r="AB32" i="4"/>
  <c r="AC30" i="4"/>
  <c r="AC29" i="4"/>
  <c r="AB25" i="4"/>
  <c r="AC23" i="4"/>
  <c r="AC22" i="4"/>
  <c r="AB21" i="4"/>
  <c r="AC18" i="4"/>
  <c r="AB17" i="4"/>
  <c r="AB39" i="4"/>
  <c r="AB34" i="4"/>
  <c r="AB33" i="4"/>
  <c r="AB30" i="4"/>
  <c r="AB29" i="4"/>
  <c r="AB23" i="4"/>
  <c r="AB22" i="4"/>
  <c r="AB18" i="4"/>
  <c r="BL21" i="4"/>
  <c r="BG18" i="4"/>
  <c r="BG17" i="4"/>
  <c r="BJ20" i="4"/>
  <c r="BG32" i="4"/>
  <c r="BM34" i="4"/>
  <c r="BL34" i="4"/>
  <c r="BL38" i="4"/>
  <c r="BG39" i="4"/>
  <c r="N31" i="4"/>
  <c r="M31" i="4"/>
  <c r="BL24" i="4"/>
  <c r="BL31" i="4"/>
  <c r="BG24" i="4"/>
  <c r="BG25" i="4"/>
  <c r="BJ29" i="4"/>
  <c r="BI30" i="4"/>
  <c r="BM30" i="4"/>
  <c r="BI17" i="4"/>
  <c r="BM20" i="4"/>
  <c r="BG22" i="4"/>
  <c r="BJ16" i="4"/>
  <c r="BL17" i="4"/>
  <c r="BL18" i="4"/>
  <c r="BG21" i="4"/>
  <c r="BL22" i="4"/>
  <c r="BM16" i="4"/>
  <c r="BI21" i="4"/>
  <c r="BL20" i="4"/>
  <c r="BG20" i="4"/>
  <c r="BJ23" i="4"/>
  <c r="N25" i="4"/>
  <c r="M25" i="4"/>
  <c r="BL16" i="4"/>
  <c r="BG16" i="4"/>
  <c r="BF20" i="4"/>
  <c r="BK23" i="4"/>
  <c r="N32" i="4"/>
  <c r="M32" i="4"/>
  <c r="BF16" i="4"/>
  <c r="BM17" i="4"/>
  <c r="BJ18" i="4"/>
  <c r="BJ19" i="4"/>
  <c r="BI20" i="4"/>
  <c r="BM22" i="4"/>
  <c r="M22" i="4"/>
  <c r="AS22" i="4" s="1"/>
  <c r="M24" i="4"/>
  <c r="AS24" i="4" s="1"/>
  <c r="BI29" i="4"/>
  <c r="BL29" i="4"/>
  <c r="BG29" i="4"/>
  <c r="BF29" i="4"/>
  <c r="N23" i="4"/>
  <c r="M23" i="4"/>
  <c r="BJ25" i="4"/>
  <c r="BK25" i="4"/>
  <c r="BI40" i="4"/>
  <c r="BL40" i="4"/>
  <c r="BG40" i="4"/>
  <c r="BJ22" i="4"/>
  <c r="BK24" i="4"/>
  <c r="BJ24" i="4"/>
  <c r="BJ32" i="4"/>
  <c r="BI16" i="4"/>
  <c r="BM18" i="4"/>
  <c r="M18" i="4"/>
  <c r="BK19" i="4"/>
  <c r="BK22" i="4"/>
  <c r="BF23" i="4"/>
  <c r="BL23" i="4"/>
  <c r="BG23" i="4"/>
  <c r="BM31" i="4"/>
  <c r="BJ17" i="4"/>
  <c r="BI18" i="4"/>
  <c r="BJ21" i="4"/>
  <c r="BI22" i="4"/>
  <c r="BJ39" i="4"/>
  <c r="N39" i="4"/>
  <c r="M39" i="4"/>
  <c r="BI24" i="4"/>
  <c r="BF24" i="4"/>
  <c r="BI33" i="4"/>
  <c r="BL33" i="4"/>
  <c r="BG33" i="4"/>
  <c r="BF33" i="4"/>
  <c r="BM38" i="4"/>
  <c r="BK39" i="4"/>
  <c r="BL25" i="4"/>
  <c r="BF30" i="4"/>
  <c r="BJ30" i="4"/>
  <c r="BI31" i="4"/>
  <c r="BL32" i="4"/>
  <c r="BK33" i="4"/>
  <c r="BF34" i="4"/>
  <c r="BJ34" i="4"/>
  <c r="BI38" i="4"/>
  <c r="BL39" i="4"/>
  <c r="BK40" i="4"/>
  <c r="BI25" i="4"/>
  <c r="BK30" i="4"/>
  <c r="BF31" i="4"/>
  <c r="BJ31" i="4"/>
  <c r="BI32" i="4"/>
  <c r="BG34" i="4"/>
  <c r="BK34" i="4"/>
  <c r="BF38" i="4"/>
  <c r="BJ38" i="4"/>
  <c r="BI39" i="4"/>
  <c r="BL30" i="4"/>
  <c r="Y19" i="4"/>
  <c r="V19" i="4"/>
  <c r="S19" i="4"/>
  <c r="P19" i="4"/>
  <c r="AR24" i="6"/>
  <c r="AP19" i="4"/>
  <c r="AR29" i="6"/>
  <c r="AR28" i="7"/>
  <c r="AR25" i="7"/>
  <c r="AR22" i="8"/>
  <c r="AR17" i="7"/>
  <c r="AR32" i="6"/>
  <c r="AR38" i="7"/>
  <c r="AG40" i="8"/>
  <c r="AG27" i="7"/>
  <c r="BP40" i="4"/>
  <c r="BH40" i="4"/>
  <c r="BP23" i="4"/>
  <c r="AG23" i="8"/>
  <c r="AG38" i="7"/>
  <c r="BQ20" i="4"/>
  <c r="AG17" i="8"/>
  <c r="AG33" i="6"/>
  <c r="BP32" i="4"/>
  <c r="BH33" i="4"/>
  <c r="AG19" i="8"/>
  <c r="AG30" i="8"/>
  <c r="AG28" i="7"/>
  <c r="BQ32" i="4"/>
  <c r="BQ31" i="4"/>
  <c r="BQ33" i="4"/>
  <c r="BQ38" i="4"/>
  <c r="AG22" i="6"/>
  <c r="BE25" i="4"/>
  <c r="AG29" i="6"/>
  <c r="AG32" i="6"/>
  <c r="BP39" i="4"/>
  <c r="AG27" i="8"/>
  <c r="AG30" i="7"/>
  <c r="BP19" i="4"/>
  <c r="BH39" i="4"/>
  <c r="BH25" i="4"/>
  <c r="BQ22" i="4"/>
  <c r="BH23" i="4"/>
  <c r="BH16" i="4"/>
  <c r="AG24" i="8"/>
  <c r="AG31" i="6"/>
  <c r="BH32" i="4"/>
  <c r="AG31" i="8"/>
  <c r="AG26" i="6"/>
  <c r="BP25" i="4"/>
  <c r="AG40" i="7"/>
  <c r="AG25" i="6"/>
  <c r="BH20" i="4"/>
  <c r="AG21" i="8"/>
  <c r="BQ40" i="4"/>
  <c r="AG22" i="7"/>
  <c r="AG21" i="7"/>
  <c r="BQ18" i="4"/>
  <c r="AG22" i="8"/>
  <c r="BE24" i="4"/>
  <c r="BQ16" i="4"/>
  <c r="AG29" i="8"/>
  <c r="AG30" i="6"/>
  <c r="BQ23" i="4"/>
  <c r="BP18" i="4"/>
  <c r="BQ39" i="4"/>
  <c r="AG39" i="7"/>
  <c r="BQ29" i="4"/>
  <c r="AG26" i="8"/>
  <c r="AG17" i="7"/>
  <c r="BQ24" i="4"/>
  <c r="AG34" i="6"/>
  <c r="AG29" i="7"/>
  <c r="AG18" i="6"/>
  <c r="AG18" i="8"/>
  <c r="AG20" i="6"/>
  <c r="BP24" i="4"/>
  <c r="BE31" i="4"/>
  <c r="BH34" i="4"/>
  <c r="AG26" i="7"/>
  <c r="BH29" i="4"/>
  <c r="BQ25" i="4"/>
  <c r="AG18" i="7"/>
  <c r="BE38" i="4"/>
  <c r="AG24" i="7"/>
  <c r="Z19" i="4"/>
  <c r="AA19" i="4"/>
  <c r="W19" i="4"/>
  <c r="X19" i="4"/>
  <c r="T19" i="4"/>
  <c r="U19" i="4"/>
  <c r="Q19" i="4"/>
  <c r="R19" i="4"/>
  <c r="AV19" i="4" l="1"/>
  <c r="AF29" i="4"/>
  <c r="BC19" i="4"/>
  <c r="B38" i="7"/>
  <c r="B32" i="6"/>
  <c r="B17" i="7"/>
  <c r="B22" i="8"/>
  <c r="C12" i="8" s="1"/>
  <c r="B25" i="7"/>
  <c r="B28" i="7"/>
  <c r="AU19" i="4"/>
  <c r="AZ19" i="4"/>
  <c r="AY19" i="4"/>
  <c r="AX19" i="4"/>
  <c r="AW19" i="4"/>
  <c r="AS18" i="4"/>
  <c r="AF30" i="4"/>
  <c r="AS32" i="4"/>
  <c r="AC19" i="4"/>
  <c r="AS31" i="4"/>
  <c r="AS39" i="4"/>
  <c r="AS23" i="4"/>
  <c r="AS25" i="4"/>
  <c r="BG19" i="4"/>
  <c r="AJ19" i="4"/>
  <c r="AI19" i="4"/>
  <c r="AM19" i="4"/>
  <c r="AK19" i="4"/>
  <c r="AQ19" i="4"/>
  <c r="BB19" i="4"/>
  <c r="BA19" i="4"/>
  <c r="O18" i="4"/>
  <c r="BN22" i="4"/>
  <c r="AB19" i="4"/>
  <c r="AD19" i="4" s="1"/>
  <c r="AE19" i="4" s="1"/>
  <c r="BN24" i="4"/>
  <c r="AF34" i="4"/>
  <c r="N19" i="4"/>
  <c r="AD38" i="4"/>
  <c r="AE38" i="4" s="1"/>
  <c r="M19" i="4"/>
  <c r="BF19" i="4"/>
  <c r="BI19" i="4"/>
  <c r="BL19" i="4"/>
  <c r="BM19" i="4"/>
  <c r="AF23" i="4"/>
  <c r="AD18" i="4"/>
  <c r="AE18" i="4" s="1"/>
  <c r="AF16" i="4"/>
  <c r="AF38" i="4"/>
  <c r="AD16" i="4"/>
  <c r="AE16" i="4" s="1"/>
  <c r="O32" i="4"/>
  <c r="AF19" i="4"/>
  <c r="AF40" i="4"/>
  <c r="BN23" i="4"/>
  <c r="AF33" i="4"/>
  <c r="AF22" i="4"/>
  <c r="AD23" i="4"/>
  <c r="AE23" i="4" s="1"/>
  <c r="AD32" i="4"/>
  <c r="AE32" i="4" s="1"/>
  <c r="AF32" i="4"/>
  <c r="AD20" i="4"/>
  <c r="AE20" i="4" s="1"/>
  <c r="AF20" i="4"/>
  <c r="AD33" i="4"/>
  <c r="AE33" i="4" s="1"/>
  <c r="AD17" i="4"/>
  <c r="AE17" i="4" s="1"/>
  <c r="AF17" i="4"/>
  <c r="AD25" i="4"/>
  <c r="AE25" i="4" s="1"/>
  <c r="AF25" i="4"/>
  <c r="AD29" i="4"/>
  <c r="AE29" i="4" s="1"/>
  <c r="AD30" i="4"/>
  <c r="AE30" i="4" s="1"/>
  <c r="AD24" i="4"/>
  <c r="AE24" i="4" s="1"/>
  <c r="AF24" i="4"/>
  <c r="AF18" i="4"/>
  <c r="AD39" i="4"/>
  <c r="AE39" i="4" s="1"/>
  <c r="AF39" i="4"/>
  <c r="AD21" i="4"/>
  <c r="AE21" i="4" s="1"/>
  <c r="AF21" i="4"/>
  <c r="AD34" i="4"/>
  <c r="AE34" i="4" s="1"/>
  <c r="AD22" i="4"/>
  <c r="AE22" i="4" s="1"/>
  <c r="AD31" i="4"/>
  <c r="AE31" i="4" s="1"/>
  <c r="AF31" i="4"/>
  <c r="O39" i="4"/>
  <c r="BN31" i="4"/>
  <c r="O24" i="4"/>
  <c r="N38" i="4"/>
  <c r="M38" i="4"/>
  <c r="O23" i="4"/>
  <c r="O31" i="4"/>
  <c r="BN18" i="4"/>
  <c r="N40" i="4"/>
  <c r="M40" i="4"/>
  <c r="N29" i="4"/>
  <c r="M29" i="4"/>
  <c r="M20" i="4"/>
  <c r="N20" i="4"/>
  <c r="M34" i="4"/>
  <c r="N34" i="4"/>
  <c r="M30" i="4"/>
  <c r="N30" i="4"/>
  <c r="N33" i="4"/>
  <c r="M33" i="4"/>
  <c r="M16" i="4"/>
  <c r="N16" i="4"/>
  <c r="N21" i="4"/>
  <c r="M21" i="4"/>
  <c r="O22" i="4"/>
  <c r="BN39" i="4"/>
  <c r="O25" i="4"/>
  <c r="BN32" i="4"/>
  <c r="BN25" i="4"/>
  <c r="N17" i="4"/>
  <c r="M17" i="4"/>
  <c r="AG29" i="4"/>
  <c r="AG30" i="4"/>
  <c r="AR39" i="4"/>
  <c r="AR32" i="4"/>
  <c r="AR24" i="4"/>
  <c r="AR25" i="4"/>
  <c r="AR22" i="4"/>
  <c r="AR18" i="4"/>
  <c r="AR31" i="4"/>
  <c r="AR23" i="4"/>
  <c r="AG40" i="4"/>
  <c r="AG17" i="4"/>
  <c r="AG33" i="4"/>
  <c r="AG22" i="4"/>
  <c r="AG18" i="4"/>
  <c r="AG21" i="4"/>
  <c r="AG34" i="4"/>
  <c r="AG23" i="4"/>
  <c r="AG32" i="4"/>
  <c r="AG20" i="4"/>
  <c r="AG16" i="4"/>
  <c r="AG38" i="4"/>
  <c r="AG39" i="4"/>
  <c r="AG19" i="4"/>
  <c r="BH19" i="4"/>
  <c r="AG24" i="4"/>
  <c r="AG31" i="4"/>
  <c r="BQ19" i="4"/>
  <c r="AG25" i="4"/>
  <c r="B23" i="4" l="1"/>
  <c r="B31" i="4"/>
  <c r="B18" i="4"/>
  <c r="B22" i="4"/>
  <c r="B25" i="4"/>
  <c r="B24" i="4"/>
  <c r="B32" i="4"/>
  <c r="B39" i="4"/>
  <c r="AS16" i="4"/>
  <c r="AS30" i="4"/>
  <c r="AS20" i="4"/>
  <c r="B12" i="8"/>
  <c r="C12" i="7"/>
  <c r="B12" i="7"/>
  <c r="AS17" i="4"/>
  <c r="AS19" i="4"/>
  <c r="AS21" i="4"/>
  <c r="AS33" i="4"/>
  <c r="AS29" i="4"/>
  <c r="AS34" i="4"/>
  <c r="AS40" i="4"/>
  <c r="AS38" i="4"/>
  <c r="BN19" i="4"/>
  <c r="O19" i="4"/>
  <c r="O38" i="4"/>
  <c r="BN38" i="4"/>
  <c r="BN40" i="4"/>
  <c r="O40" i="4"/>
  <c r="O34" i="4"/>
  <c r="BN34" i="4"/>
  <c r="O21" i="4"/>
  <c r="BN21" i="4"/>
  <c r="BN33" i="4"/>
  <c r="O33" i="4"/>
  <c r="O29" i="4"/>
  <c r="BN29" i="4"/>
  <c r="O17" i="4"/>
  <c r="BN17" i="4"/>
  <c r="O16" i="4"/>
  <c r="BN16" i="4"/>
  <c r="O30" i="4"/>
  <c r="BN30" i="4"/>
  <c r="O20" i="4"/>
  <c r="BN20" i="4"/>
  <c r="AR34" i="4"/>
  <c r="AR30" i="4"/>
  <c r="AR38" i="4"/>
  <c r="AR17" i="4"/>
  <c r="AR29" i="4"/>
  <c r="AR20" i="4"/>
  <c r="AR33" i="4"/>
  <c r="AR16" i="4"/>
  <c r="AR21" i="4"/>
  <c r="AR40" i="4"/>
  <c r="AR19" i="4"/>
  <c r="B19" i="4" l="1"/>
  <c r="B40" i="4"/>
  <c r="B21" i="4"/>
  <c r="B16" i="4"/>
  <c r="B33" i="4"/>
  <c r="B20" i="4"/>
  <c r="B29" i="4"/>
  <c r="B17" i="4"/>
  <c r="B38" i="4"/>
  <c r="B30" i="4"/>
  <c r="B34" i="4"/>
  <c r="B11" i="6"/>
  <c r="C16" i="1"/>
  <c r="B11" i="8" l="1"/>
  <c r="B11" i="7"/>
  <c r="C18" i="1"/>
  <c r="C17" i="1"/>
  <c r="B12" i="4" l="1"/>
  <c r="C12" i="4"/>
  <c r="B11" i="4"/>
  <c r="C15" i="1"/>
  <c r="C14" i="1"/>
</calcChain>
</file>

<file path=xl/comments1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comments2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comments3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comments4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comments5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comments6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comments7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comments8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comments9.xml><?xml version="1.0" encoding="utf-8"?>
<comments xmlns="http://schemas.openxmlformats.org/spreadsheetml/2006/main">
  <authors>
    <author>Peter</author>
  </authors>
  <commentList>
    <comment ref="B43" authorId="0" shapeId="0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Not used</t>
        </r>
      </text>
    </comment>
  </commentList>
</comments>
</file>

<file path=xl/sharedStrings.xml><?xml version="1.0" encoding="utf-8"?>
<sst xmlns="http://schemas.openxmlformats.org/spreadsheetml/2006/main" count="3412" uniqueCount="555">
  <si>
    <t>Max points</t>
  </si>
  <si>
    <t>Max speed</t>
  </si>
  <si>
    <t>Max accel</t>
  </si>
  <si>
    <t>Lane</t>
  </si>
  <si>
    <t>Lane width</t>
  </si>
  <si>
    <t>Lane start</t>
  </si>
  <si>
    <t>Lane end</t>
  </si>
  <si>
    <t>Current</t>
  </si>
  <si>
    <t>S</t>
  </si>
  <si>
    <t>D</t>
  </si>
  <si>
    <t>Safety Distance</t>
  </si>
  <si>
    <t>Same Lane Keep Speed</t>
  </si>
  <si>
    <t>Same Lane Accel 2</t>
  </si>
  <si>
    <t>Same Lane Accel 1</t>
  </si>
  <si>
    <t>Same Lane Accel 0.5</t>
  </si>
  <si>
    <t>Same Lane Accel -0.5</t>
  </si>
  <si>
    <t>Same Lane Accel -1</t>
  </si>
  <si>
    <t>Change Lane Left in 20 Keep Accel</t>
  </si>
  <si>
    <t>Change Lane Left in 30 Keep Accel</t>
  </si>
  <si>
    <t>Change Lane Left in 40 Keep Accel</t>
  </si>
  <si>
    <t>Change Lane Right in 20 Keep Accel</t>
  </si>
  <si>
    <t>Change Lane Right in 30 Keep Accel</t>
  </si>
  <si>
    <t>Change Lane Right in 40 Keep Accel</t>
  </si>
  <si>
    <t>Scenarios</t>
  </si>
  <si>
    <t>Total Size</t>
  </si>
  <si>
    <t>S Velocity</t>
  </si>
  <si>
    <t>S Acceleration</t>
  </si>
  <si>
    <t>S Jerk</t>
  </si>
  <si>
    <t>D Velocity</t>
  </si>
  <si>
    <t>D Acceleration</t>
  </si>
  <si>
    <t>--</t>
  </si>
  <si>
    <t>Adversaries</t>
  </si>
  <si>
    <t>Self</t>
  </si>
  <si>
    <t>Same Lane Keep Accel</t>
  </si>
  <si>
    <t>Change Lane Right in 40  Accel +1</t>
  </si>
  <si>
    <t>Change Lane Right in 30  Accel +1</t>
  </si>
  <si>
    <t>Change Lane Right in 20  Accel +1</t>
  </si>
  <si>
    <t>Change Lane Left in 40  Accel +1</t>
  </si>
  <si>
    <t>Change Lane Left in 30  Accel +1</t>
  </si>
  <si>
    <t>Change Lane Left in 20  Accel +1</t>
  </si>
  <si>
    <t>Time Diff (Size)</t>
  </si>
  <si>
    <t>D Diff</t>
  </si>
  <si>
    <t>Lane Middle</t>
  </si>
  <si>
    <t>Efficiency</t>
  </si>
  <si>
    <t>Total Accel</t>
  </si>
  <si>
    <t>Controller Execution Time</t>
  </si>
  <si>
    <t>Max Accel</t>
  </si>
  <si>
    <t>Max Jerk</t>
  </si>
  <si>
    <t>Max jerk</t>
  </si>
  <si>
    <t>Total Jerk</t>
  </si>
  <si>
    <t>Python</t>
  </si>
  <si>
    <t>Cost Python</t>
  </si>
  <si>
    <t>Min Cost Python</t>
  </si>
  <si>
    <t>Not moving</t>
  </si>
  <si>
    <t>Reverse</t>
  </si>
  <si>
    <t>Max Speed</t>
  </si>
  <si>
    <t>Total Accel+</t>
  </si>
  <si>
    <t>Reverse Risk</t>
  </si>
  <si>
    <t>Potential Jerk</t>
  </si>
  <si>
    <t>Tangential Accel</t>
  </si>
  <si>
    <t>Me</t>
  </si>
  <si>
    <t>Input</t>
  </si>
  <si>
    <t>Not Moving</t>
  </si>
  <si>
    <t>Velocity</t>
  </si>
  <si>
    <t>Preferred</t>
  </si>
  <si>
    <t>Sheet2</t>
  </si>
  <si>
    <t>Sheet3</t>
  </si>
  <si>
    <t>A</t>
  </si>
  <si>
    <t>B</t>
  </si>
  <si>
    <t>Intercept</t>
  </si>
  <si>
    <t>Normal</t>
  </si>
  <si>
    <t>C</t>
  </si>
  <si>
    <t>Smallest Normal Distance</t>
  </si>
  <si>
    <t>Sheet4</t>
  </si>
  <si>
    <t>Sheet5</t>
  </si>
  <si>
    <t>Breaking</t>
  </si>
  <si>
    <t>Sheet6</t>
  </si>
  <si>
    <t>P0</t>
  </si>
  <si>
    <t>P1</t>
  </si>
  <si>
    <t>Change Lane Right in 40 Zero Accel</t>
  </si>
  <si>
    <t>Change Lane Right in 30 Zero Accel</t>
  </si>
  <si>
    <t>Change Lane Right in 20 Zero Accel</t>
  </si>
  <si>
    <t>Change Lane Left in 40 Zero Accel</t>
  </si>
  <si>
    <t>Change Lane Left in 30 Zero Accel</t>
  </si>
  <si>
    <t>Change Lane Left in 20 Zero Accel</t>
  </si>
  <si>
    <t>Same Lane Accel +X</t>
  </si>
  <si>
    <t>Sheet7</t>
  </si>
  <si>
    <t>Sheet8</t>
  </si>
  <si>
    <t>Total D Accel</t>
  </si>
  <si>
    <t>Sheet9</t>
  </si>
  <si>
    <t>Sheet10</t>
  </si>
  <si>
    <t>Current Position Leading Car Row</t>
  </si>
  <si>
    <t>Current Position Leading Car Distance</t>
  </si>
  <si>
    <t>Current Position Leading Velocity</t>
  </si>
  <si>
    <t>Target Lane</t>
  </si>
  <si>
    <t>Current Position Following Car Row</t>
  </si>
  <si>
    <t>Current Position Following Car Distance</t>
  </si>
  <si>
    <t>Current Position Following Car Velocity</t>
  </si>
  <si>
    <t>Target Position Leading Car Row</t>
  </si>
  <si>
    <t>Target Position Leading Car Distance</t>
  </si>
  <si>
    <t>Target Position Leading Car Velocity</t>
  </si>
  <si>
    <t>Target Position Following Car Row</t>
  </si>
  <si>
    <t>Target Position Following Car Distance</t>
  </si>
  <si>
    <t>Target Position Following Car Velocity</t>
  </si>
  <si>
    <t>Buffer Leading Car</t>
  </si>
  <si>
    <t>Buffer Following Car</t>
  </si>
  <si>
    <t>Buffer Target Leading Car</t>
  </si>
  <si>
    <t>Buffer Target Following Car</t>
  </si>
  <si>
    <t>Vehicle Radius</t>
  </si>
  <si>
    <t>Sheet11</t>
  </si>
  <si>
    <t>Sheet12</t>
  </si>
  <si>
    <t>Outside of Lane</t>
  </si>
  <si>
    <t>Front Collision</t>
  </si>
  <si>
    <t>Back Collision</t>
  </si>
  <si>
    <t>Collision Time Buffer</t>
  </si>
  <si>
    <t>1(2-2): #[50] s[151.43] d[5.87] s_dot[4.77] s_dot2[0.00] s_dot3[0.00] d_dot[0.00] d_dot2[0.00] avg_d_dot[0.00] C1[1.3728] C2[6.3728]</t>
  </si>
  <si>
    <t>5(2-1): #[132] s[160.18] d[4.25] s_dot[4.57] s_dot2[-0.05] s_dot3[0.04] d_dot[1.39] d_dot2[0.22] avg_d_dot[0.01] C1[10.5854] C2[40.3857]</t>
  </si>
  <si>
    <t>5(2-1): #[132] s[160.34] d[4.98] s_dot[4.73] s_dot2[-0.01] s_dot3[0.00] d_dot[0.83] d_dot2[0.10] avg_d_dot[0.01] C1[11.1205] C2[40.8937]</t>
  </si>
  <si>
    <t>5(2-1): #[132] s[160.37] d[5.16] s_dot[4.76] s_dot2[-0.00] s_dot3[0.00] d_dot[0.69] d_dot2[0.06] avg_d_dot[0.01] C1[11.2342] C2[41.0028]</t>
  </si>
  <si>
    <t>5(2-1): #[132] s[160.18] d[4.25] s_dot[4.57] s_dot2[-0.05] s_dot3[0.04] d_dot[1.39] d_dot2[0.22] avg_d_dot[0.01] C1[10.5854] C2[40.3858]</t>
  </si>
  <si>
    <t>5(2-1): #[132] s[160.34] d[4.98] s_dot[4.73] s_dot2[-0.01] s_dot3[0.00] d_dot[0.83] d_dot2[0.10] avg_d_dot[0.01] C1[11.1205] C2[40.8938]</t>
  </si>
  <si>
    <t>5(2-1): #[132] s[160.37] d[5.16] s_dot[4.76] s_dot2[-0.00] s_dot3[0.00] d_dot[0.69] d_dot2[0.06] avg_d_dot[0.01] C1[11.2343] C2[41.0029]</t>
  </si>
  <si>
    <t>5(2-1): #[131] s[163.97] d[2.99] s_dot[8.48] s_dot2[0.94] s_dot3[0.95] d_dot[2.99] d_dot2[0.22] avg_d_dot[0.03] C1[6.6242] C2[35.5618]</t>
  </si>
  <si>
    <t>5(2-1): #[132] s[164.30] d[4.18] s_dot[8.67] s_dot2[0.98] s_dot3[0.99] d_dot[1.93] d_dot2[0.10] avg_d_dot[0.02] C1[9.8963] C2[38.7565]</t>
  </si>
  <si>
    <t>5(2-1): #[132] s[164.33] d[4.49] s_dot[8.70] s_dot2[0.99] s_dot3[0.99] d_dot[1.63] d_dot2[0.06] avg_d_dot[0.02] C1[10.1708] C2[39.0228]</t>
  </si>
  <si>
    <t>4(2-3): #[132] s[160.16] d[6.87] s_dot[4.55] s_dot2[-0.05] s_dot3[0.05] d_dot[-0.79] d_dot2[0.23] avg_d_dot[-0.01] C1[11.3195] C2[40.2351]</t>
  </si>
  <si>
    <t>4(2-3): #[132] s[160.34] d[6.37] s_dot[4.73] s_dot2[-0.01] s_dot3[0.01] d_dot[-0.41] d_dot2[0.10] avg_d_dot[-0.00] C1[11.5623] C2[40.4393]</t>
  </si>
  <si>
    <t>4(2-3): #[132] s[160.37] d[6.09] s_dot[4.76] s_dot2[-0.00] s_dot3[0.00] d_dot[-0.17] d_dot2[0.06] avg_d_dot[-0.00] C1[11.7054] C2[40.5759]</t>
  </si>
  <si>
    <t>4(2-3): #[132] s[160.16] d[6.87] s_dot[4.55] s_dot2[-0.05] s_dot3[0.05] d_dot[-0.79] d_dot2[0.23] avg_d_dot[-0.01] C1[11.3195] C2[40.2352]</t>
  </si>
  <si>
    <t>4(2-3): #[132] s[160.34] d[6.37] s_dot[4.73] s_dot2[-0.01] s_dot3[0.01] d_dot[-0.41] d_dot2[0.10] avg_d_dot[-0.00] C1[11.5623] C2[40.4394]</t>
  </si>
  <si>
    <t>4(2-3): #[132] s[160.37] d[6.09] s_dot[4.76] s_dot2[-0.00] s_dot3[0.00] d_dot[-0.17] d_dot2[0.06] avg_d_dot[-0.00] C1[11.7055] C2[40.5760]</t>
  </si>
  <si>
    <t>4(2-3): #[132] s[164.12] d[7.58] s_dot[8.49] s_dot2[0.93] s_dot3[0.94] d_dot[-1.55] d_dot2[0.23] avg_d_dot[-0.02] C1[10.1536] C2[37.9454]</t>
  </si>
  <si>
    <t>4(2-3): #[132] s[164.30] d[6.74] s_dot[8.66] s_dot2[0.98] s_dot3[0.98] d_dot[-0.85] d_dot2[0.10] avg_d_dot[-0.01] C1[10.7734] C2[38.4995]</t>
  </si>
  <si>
    <t>4(2-3): #[132] s[164.32] d[6.24] s_dot[8.69] s_dot2[0.99] s_dot3[0.99] d_dot[-0.34] d_dot2[0.06] avg_d_dot[-0.00] C1[11.0786] C2[38.7934]</t>
  </si>
  <si>
    <t>1(2-2): #[50] s[152.46] d[5.89] s_dot[4.77] s_dot2[0.00] s_dot3[0.01] d_dot[0.00] d_dot2[0.00] avg_d_dot[0.00] C1[1.3479] C2[6.3479]</t>
  </si>
  <si>
    <t>1(2-2): #[50] s[152.46] d[5.89] s_dot[4.77] s_dot2[-0.01] s_dot3[0.00] d_dot[0.00] d_dot2[0.00] avg_d_dot[0.00] C1[1.3490] C2[6.3490]</t>
  </si>
  <si>
    <t>1(2-2): #[50] s[152.64] d[5.89] s_dot[5.28] s_dot2[1.49] s_dot3[1.50] d_dot[0.00] d_dot2[0.00] avg_d_dot[0.00] C1[1.4040] C2[6.4040]</t>
  </si>
  <si>
    <t>1(2-2): #[50] s[152.58] d[5.89] s_dot[5.11] s_dot2[0.99] s_dot3[1.00] d_dot[0.00] d_dot2[0.00] avg_d_dot[0.00] C1[1.3828] C2[6.3828]</t>
  </si>
  <si>
    <t>1(2-2): #[50] s[152.52] d[5.89] s_dot[4.94] s_dot2[0.49] s_dot3[0.50] d_dot[0.00] d_dot2[0.00] avg_d_dot[0.00] C1[1.3639] C2[6.3639]</t>
  </si>
  <si>
    <t>1(2-2): #[50] s[152.35] d[5.89] s_dot[4.43] s_dot2[-1.01] s_dot3[1.00] d_dot[0.00] d_dot2[0.00] avg_d_dot[0.00] C1[1.5755] C2[6.5755]</t>
  </si>
  <si>
    <t>1(2-2): #[50] s[152.23] d[5.89] s_dot[4.09] s_dot2[-2.01] s_dot3[2.00] d_dot[0.00] d_dot2[0.00] avg_d_dot[0.00] C1[1.8157] C2[6.8157]</t>
  </si>
  <si>
    <t>1(2-2): #[50] s[145.46] d[6.05] s_dot[5.32] s_dot2[0.00] s_dot3[0.00] d_dot[0.00] d_dot2[0.00] avg_d_dot[0.00] C1[1.6033] C2[6.6033]</t>
  </si>
  <si>
    <t>5(2-1): #[134] s[155.78] d[4.25] s_dot[5.00] s_dot2[-0.08] s_dot3[0.08] d_dot[1.46] d_dot2[0.28] avg_d_dot[0.01] C1[11.0663] C2[16.0663]</t>
  </si>
  <si>
    <t>5(2-1): #[134] s[156.03] d[4.97] s_dot[5.25] s_dot2[-0.02] s_dot3[0.01] d_dot[0.93] d_dot2[0.13] avg_d_dot[0.01] C1[11.5407] C2[16.5407]</t>
  </si>
  <si>
    <t>5(2-1): #[134] s[156.08] d[5.26] s_dot[5.30] s_dot2[-0.00] s_dot3[0.00] d_dot[0.70] d_dot2[0.07] avg_d_dot[0.01] C1[11.7176] C2[16.7176]</t>
  </si>
  <si>
    <t>5(2-1): #[134] s[155.78] d[4.25] s_dot[5.00] s_dot2[-0.08] s_dot3[0.08] d_dot[1.46] d_dot2[0.28] avg_d_dot[0.01] C1[11.0664] C2[16.0664]</t>
  </si>
  <si>
    <t>5(2-1): #[134] s[156.08] d[5.26] s_dot[5.30] s_dot2[-0.01] s_dot3[0.00] d_dot[0.70] d_dot2[0.07] avg_d_dot[0.01] C1[11.7176] C2[16.7176]</t>
  </si>
  <si>
    <t>5(2-1): #[134] s[159.74] d[3.01] s_dot[8.94] s_dot2[0.91] s_dot3[0.91] d_dot[2.93] d_dot2[0.28] avg_d_dot[0.03] C1[6.9566] C2[11.9566]</t>
  </si>
  <si>
    <t>5(2-1): #[134] s[159.99] d[4.19] s_dot[9.19] s_dot2[0.97] s_dot3[0.98] d_dot[1.99] d_dot2[0.13] avg_d_dot[0.02] C1[10.1535] C2[15.1535]</t>
  </si>
  <si>
    <t>5(2-1): #[134] s[160.04] d[4.66] s_dot[9.24] s_dot2[0.98] s_dot3[0.99] d_dot[1.54] d_dot2[0.07] avg_d_dot[0.02] C1[10.5580] C2[15.5580]</t>
  </si>
  <si>
    <t>4(2-3): #[134] s[155.78] d[7.20] s_dot[5.00] s_dot2[-0.08] s_dot3[0.07] d_dot[-0.94] d_dot2[0.28] avg_d_dot[-0.01] C1[11.5340] C2[31.2694]</t>
  </si>
  <si>
    <t>4(2-3): #[134] s[156.04] d[6.66] s_dot[5.26] s_dot2[-0.02] s_dot3[0.01] d_dot[-0.55] d_dot2[0.13] avg_d_dot[-0.01] C1[11.7993] C2[31.3044]</t>
  </si>
  <si>
    <t>4(2-3): #[134] s[156.08] d[6.36] s_dot[5.30] s_dot2[-0.00] s_dot3[0.00] d_dot[-0.30] d_dot2[0.07] avg_d_dot[-0.00] C1[11.9644] C2[31.4300]</t>
  </si>
  <si>
    <t>4(2-3): #[134] s[155.78] d[7.20] s_dot[5.00] s_dot2[-0.08] s_dot3[0.07] d_dot[-0.94] d_dot2[0.28] avg_d_dot[-0.01] C1[11.5341] C2[31.2696]</t>
  </si>
  <si>
    <t>4(2-3): #[134] s[156.04] d[6.66] s_dot[5.26] s_dot2[-0.02] s_dot3[0.01] d_dot[-0.55] d_dot2[0.13] avg_d_dot[-0.01] C1[11.7993] C2[31.3045]</t>
  </si>
  <si>
    <t>4(2-3): #[134] s[156.08] d[6.36] s_dot[5.30] s_dot2[-0.00] s_dot3[0.00] d_dot[-0.30] d_dot2[0.07] avg_d_dot[-0.00] C1[11.9645] C2[31.4302]</t>
  </si>
  <si>
    <t>4(2-3): #[134] s[159.74] d[7.97] s_dot[8.94] s_dot2[0.91] s_dot3[0.92] d_dot[-1.72] d_dot2[0.28] avg_d_dot[-0.02] C1[10.0597] C2[24.9861]</t>
  </si>
  <si>
    <t>4(2-3): #[134] s[159.99] d[7.10] s_dot[9.19] s_dot2[0.97] s_dot3[0.98] d_dot[-1.06] d_dot2[0.13] avg_d_dot[-0.01] C1[10.7622] C2[25.2512]</t>
  </si>
  <si>
    <t>4(2-3): #[134] s[160.04] d[6.60] s_dot[9.24] s_dot2[0.98] s_dot3[0.99] d_dot[-0.58] d_dot2[0.07] avg_d_dot[-0.01] C1[11.1048] C2[25.5181]</t>
  </si>
  <si>
    <t>1(2-2): #[50] s[147.06] d[6.00] s_dot[5.32] s_dot2[0.00] s_dot3[0.01] d_dot[0.00] d_dot2[0.00] avg_d_dot[0.00] C1[1.5413] C2[6.5413]</t>
  </si>
  <si>
    <t>1(2-2): #[50] s[147.06] d[6.00] s_dot[5.32] s_dot2[-0.01] s_dot3[0.00] d_dot[0.00] d_dot2[0.00] avg_d_dot[0.00] C1[1.5425] C2[6.5425]</t>
  </si>
  <si>
    <t>1(2-2): #[50] s[147.19] d[6.00] s_dot[5.77] s_dot2[1.49] s_dot3[1.50] d_dot[0.00] d_dot2[0.00] avg_d_dot[0.00] C1[1.5844] C2[6.5844]</t>
  </si>
  <si>
    <t>1(2-2): #[50] s[147.15] d[6.00] s_dot[5.62] s_dot2[0.99] s_dot3[1.00] d_dot[0.00] d_dot2[0.00] avg_d_dot[0.00] C1[1.5679] C2[6.5679]</t>
  </si>
  <si>
    <t>1(2-2): #[50] s[147.10] d[6.00] s_dot[5.47] s_dot2[0.49] s_dot3[0.50] d_dot[0.00] d_dot2[0.00] avg_d_dot[0.00] C1[1.5534] C2[6.5534]</t>
  </si>
  <si>
    <t>1(2-2): #[50] s[146.97] d[6.00] s_dot[5.02] s_dot2[-1.01] s_dot3[1.00] d_dot[0.00] d_dot2[0.00] avg_d_dot[0.00] C1[1.7755] C2[6.7755]</t>
  </si>
  <si>
    <t>1(2-2): #[50] s[146.88] d[6.00] s_dot[4.72] s_dot2[-2.01] s_dot3[2.00] d_dot[0.00] d_dot2[0.00] avg_d_dot[0.00] C1[2.0198] C2[7.0198]</t>
  </si>
  <si>
    <t>1(3-3): #[50] s[335.26] d[10.07] s_dot[17.81] s_dot2[-0.00] s_dot3[0.00] d_dot[0.00] d_dot2[0.00] avg_d_dot[0.00] C1[0.2361] C2[5.2361]</t>
  </si>
  <si>
    <t>5(3-2): #[137] s[332.40] d[9.91] s_dot[-20.48] s_dot2[-9.62] s_dot3[9.66] d_dot[0.04] d_dot2[3.10] avg_d_dot[0.00] C1[129.4447] C2[159.8949]</t>
  </si>
  <si>
    <t>5(3-2): #[137] s[363.28] d[7.40] s_dot[10.25] s_dot2[-1.90] s_dot3[1.94] d_dot[0.60] d_dot2[1.38] avg_d_dot[0.01] C1[7.9108] C2[31.6276]</t>
  </si>
  <si>
    <t>5(3-2): #[137] s[368.48] d[8.07] s_dot[15.42] s_dot2[-0.60] s_dot3[0.64] d_dot[0.43] d_dot2[0.78] avg_d_dot[0.00] C1[9.7997] C2[23.6859]</t>
  </si>
  <si>
    <t>5(3-2): #[137] s[332.39] d[9.91] s_dot[-20.49] s_dot2[-9.62] s_dot3[9.67] d_dot[0.04] d_dot2[3.10] avg_d_dot[0.00] C1[129.4449] C2[159.8955]</t>
  </si>
  <si>
    <t>5(3-2): #[137] s[363.27] d[7.40] s_dot[10.25] s_dot2[-1.90] s_dot3[1.94] d_dot[0.61] d_dot2[1.38] avg_d_dot[0.01] C1[7.9127] C2[31.6362]</t>
  </si>
  <si>
    <t>5(3-2): #[137] s[368.47] d[8.07] s_dot[15.42] s_dot2[-0.60] s_dot3[0.64] d_dot[0.43] d_dot2[0.78] avg_d_dot[0.00] C1[9.8006] C2[23.7168]</t>
  </si>
  <si>
    <t>5(3-2): #[137] s[336.74] d[9.87] s_dot[-16.15] s_dot2[-8.53] s_dot3[8.58] d_dot[-0.91] d_dot2[3.10] avg_d_dot[-0.01] C1[129.2885] C2[159.4813]</t>
  </si>
  <si>
    <t>5(3-2): #[137] s[367.63] d[7.26] s_dot[14.58] s_dot2[-0.81] s_dot3[0.86] d_dot[0.13] d_dot2[1.38] avg_d_dot[0.00] C1[7.1512] C2[23.9047]</t>
  </si>
  <si>
    <t>5(3-2): #[137] s[372.82] d[8.02] s_dot[19.75] s_dot2[0.49] s_dot3[0.44] d_dot[-0.09] d_dot2[0.78] avg_d_dot[-0.00] C1[9.4993] C2[14.4993]</t>
  </si>
  <si>
    <t>1(3-3): #[50] s[339.53] d[9.95] s_dot[17.81] s_dot2[-0.00] s_dot3[0.04] d_dot[0.00] d_dot2[0.00] avg_d_dot[0.00] C1[0.2050] C2[5.2050]</t>
  </si>
  <si>
    <t>1(3-3): #[50] s[339.53] d[9.95] s_dot[17.82] s_dot2[0.04] s_dot3[0.00] d_dot[0.00] d_dot2[0.00] avg_d_dot[0.00] C1[0.2098] C2[5.2098]</t>
  </si>
  <si>
    <t>1(3-3): #[50] s[339.62] d[9.95] s_dot[18.18] s_dot2[1.54] s_dot3[1.50] d_dot[0.00] d_dot2[0.00] avg_d_dot[0.00] C1[0.3765] C2[5.3765]</t>
  </si>
  <si>
    <t>1(3-3): #[50] s[339.59] d[9.95] s_dot[18.06] s_dot2[1.04] s_dot3[1.00] d_dot[0.00] d_dot2[0.00] avg_d_dot[0.00] C1[0.3209] C2[5.3209]</t>
  </si>
  <si>
    <t>1(3-3): #[50] s[339.56] d[9.95] s_dot[17.94] s_dot2[0.54] s_dot3[0.50] d_dot[0.00] d_dot2[0.00] avg_d_dot[0.00] C1[0.2653] C2[5.2653]</t>
  </si>
  <si>
    <t>1(3-3): #[50] s[339.48] d[9.95] s_dot[17.58] s_dot2[-0.96] s_dot3[1.00] d_dot[0.00] d_dot2[0.00] avg_d_dot[0.00] C1[0.3383] C2[5.3383]</t>
  </si>
  <si>
    <t>1(3-3): #[50] s[339.42] d[9.95] s_dot[17.34] s_dot2[-1.96] s_dot3[2.00] d_dot[0.00] d_dot2[0.00] avg_d_dot[0.00] C1[0.4778] C2[5.4778]</t>
  </si>
  <si>
    <t>Plot</t>
  </si>
  <si>
    <t>1(99-2): #[50] s[126.27] d[6.16] s_dot[1.47] s_dot2[1.50] s_dot3[1.50] d_dot[0.00] d_dot2[0.00] avg_d_dot[0.00] C1[64.4055] C2[69.4055]</t>
  </si>
  <si>
    <t>5(2-1): #[111] s[142.41] d[2.92] s_dot[23.97] s_dot2[9.00] s_dot3[6.00] d_dot[7.07] d_dot2[0.02] avg_d_dot[0.11] C1[29.2419] C2[34.2419]</t>
  </si>
  <si>
    <t>5(2-1): #[122] s[148.16] d[2.93] s_dot[27.93] s_dot2[9.00] s_dot3[6.00] d_dot[6.29] d_dot2[0.01] avg_d_dot[0.08] C1[30.0574] C2[35.0574]</t>
  </si>
  <si>
    <t>5(2-1): #[128] s[151.67] d[2.97] s_dot[30.09] s_dot2[9.00] s_dot3[6.00] d_dot[6.05] d_dot2[0.01] avg_d_dot[0.08] C1[30.4893] C2[35.4893]</t>
  </si>
  <si>
    <t>5(2-1): #[148] s[129.21] d[6.02] s_dot[1.47] s_dot2[-0.00] s_dot3[3.00] d_dot[0.15] d_dot2[0.02] avg_d_dot[0.00] C1[78.1784] C2[83.1784]</t>
  </si>
  <si>
    <t>5(2-1): #[148] s[129.21] d[6.09] s_dot[1.47] s_dot2[-0.00] s_dot3[3.00] d_dot[0.08] d_dot2[0.01] avg_d_dot[0.00] C1[78.1662] C2[83.1662]</t>
  </si>
  <si>
    <t>5(2-1): #[148] s[129.21] d[6.12] s_dot[1.47] s_dot2[-0.00] s_dot3[3.00] d_dot[0.06] d_dot2[0.01] avg_d_dot[0.00] C1[78.1698] C2[83.1698]</t>
  </si>
  <si>
    <t>5(2-1): #[96] s[142.43] d[2.91] s_dot[31.87] s_dot2[16.00] s_dot3[13.00] d_dot[9.41] d_dot2[0.02] avg_d_dot[0.20] C1[35.8567] C2[40.8567]</t>
  </si>
  <si>
    <t>5(2-1): #[104] s[147.99] d[2.97] s_dot[36.99] s_dot2[16.00] s_dot3[13.00] d_dot[8.32] d_dot2[0.01] avg_d_dot[0.15] C1[36.6151] C2[46.5804]</t>
  </si>
  <si>
    <t>5(2-1): #[109] s[151.88] d[2.92] s_dot[40.19] s_dot2[16.00] s_dot3[13.00] d_dot[8.09] d_dot2[0.01] avg_d_dot[0.13] C1[36.9619] C2[52.1414]</t>
  </si>
  <si>
    <t>4(2-3): #[111] s[142.41] d[9.04] s_dot[23.97] s_dot2[9.00] s_dot3[6.00] d_dot[-5.52] d_dot2[0.02] avg_d_dot[-0.09] C1[29.2939] C2[34.2939]</t>
  </si>
  <si>
    <t>4(2-3): #[134] s[155.43] d[9.02] s_dot[32.25] s_dot2[9.00] s_dot3[6.00] d_dot[-1.72] d_dot2[0.01] avg_d_dot[-0.02] C1[30.8667] C2[35.8667]</t>
  </si>
  <si>
    <t>4(2-3): #[148] s[165.21] d[8.10] s_dot[37.29] s_dot2[9.00] s_dot3[6.00] d_dot[1.19] d_dot2[0.01] avg_d_dot[0.01] C1[32.6228] C2[42.5531]</t>
  </si>
  <si>
    <t>4(2-3): #[148] s[129.21] d[6.33] s_dot[1.47] s_dot2[-0.00] s_dot3[3.00] d_dot[-0.14] d_dot2[0.02] avg_d_dot[-0.00] C1[77.9752] C2[82.9752]</t>
  </si>
  <si>
    <t>4(2-3): #[148] s[129.21] d[6.25] s_dot[1.47] s_dot2[-0.00] s_dot3[3.00] d_dot[-0.07] d_dot2[0.01] avg_d_dot[-0.00] C1[77.9816] C2[82.9816]</t>
  </si>
  <si>
    <t>4(2-3): #[148] s[129.21] d[6.22] s_dot[1.47] s_dot2[-0.00] s_dot3[3.00] d_dot[-0.04] d_dot2[0.01] avg_d_dot[-0.00] C1[77.9911] C2[82.9911]</t>
  </si>
  <si>
    <t>4(2-3): #[96] s[142.43] d[9.04] s_dot[31.87] s_dot2[16.00] s_dot3[13.00] d_dot[-7.35] d_dot2[0.02] avg_d_dot[-0.15] C1[35.9100] C2[40.9100]</t>
  </si>
  <si>
    <t>4(2-3): #[113] s[155.23] d[9.01] s_dot[42.75] s_dot2[16.00] s_dot3[13.00] d_dot[-2.45] d_dot2[0.01] avg_d_dot[-0.04] C1[37.3484] C2[52.9384]</t>
  </si>
  <si>
    <t>4(2-3): #[148] s[193.21] d[3.99] s_dot[65.15] s_dot2[16.00] s_dot3[13.00] d_dot[12.31] d_dot2[0.01] avg_d_dot[0.12] C1[44.8122] C2[72.7524]</t>
  </si>
  <si>
    <t>1(2-2): #[50] s[126.30] d[6.18] s_dot[1.47] s_dot2[0.00] s_dot3[3.00] d_dot[0.00] d_dot2[0.00] avg_d_dot[0.00] C1[64.2334] C2[69.2334]</t>
  </si>
  <si>
    <t>1(2-2): #[50] s[126.30] d[6.18] s_dot[1.53] s_dot2[3.00] s_dot3[0.00] d_dot[0.00] d_dot2[0.00] avg_d_dot[0.00] C1[62.8985] C2[67.8985]</t>
  </si>
  <si>
    <t>1(2-2): #[50] s[126.31] d[6.18] s_dot[1.56] s_dot2[4.50] s_dot3[1.50] d_dot[0.00] d_dot2[0.00] avg_d_dot[0.00] C1[62.2611] C2[67.2611]</t>
  </si>
  <si>
    <t>1(2-2): #[50] s[126.31] d[6.18] s_dot[1.55] s_dot2[4.00] s_dot3[1.00] d_dot[0.00] d_dot2[0.00] avg_d_dot[0.00] C1[62.4714] C2[67.4714]</t>
  </si>
  <si>
    <t>1(2-2): #[50] s[126.30] d[6.18] s_dot[1.54] s_dot2[3.50] s_dot3[0.50] d_dot[0.00] d_dot2[0.00] avg_d_dot[0.00] C1[62.6839] C2[67.6839]</t>
  </si>
  <si>
    <t>1(2-2): #[50] s[126.30] d[6.18] s_dot[1.51] s_dot2[2.00] s_dot3[1.00] d_dot[0.00] d_dot2[0.00] avg_d_dot[0.00] C1[63.3344] C2[68.3344]</t>
  </si>
  <si>
    <t>1(2-2): #[50] s[126.30] d[6.18] s_dot[1.49] s_dot2[1.00] s_dot3[2.00] d_dot[0.00] d_dot2[0.00] avg_d_dot[0.00] C1[63.7793] C2[68.7793]</t>
  </si>
  <si>
    <t>1(99-2): #[50] s[126.27] d[6.16] s_dot[1.47] s_dot2[1.50] s_dot3[1.50] d_dot[0.00] d_dot2[0.00] avg_d_dot[0.00] C1[64.4055] C2[87.4120]</t>
  </si>
  <si>
    <t>5(2-1): #[111] s[142.41] d[2.92] s_dot[23.97] s_dot2[9.00] s_dot3[6.00] d_dot[7.07] d_dot2[0.02] avg_d_dot[0.11] C1[69.2419] C2[69.2419]</t>
  </si>
  <si>
    <t>5(2-1): #[122] s[148.16] d[2.93] s_dot[27.93] s_dot2[9.00] s_dot3[6.00] d_dot[6.29] d_dot2[0.01] avg_d_dot[0.08] C1[70.0574] C2[70.0574]</t>
  </si>
  <si>
    <t>5(2-1): #[128] s[151.67] d[2.97] s_dot[30.09] s_dot2[9.00] s_dot3[6.00] d_dot[6.05] d_dot2[0.01] avg_d_dot[0.08] C1[70.4893] C2[70.4893]</t>
  </si>
  <si>
    <t>5(2-1): #[148] s[129.21] d[6.02] s_dot[1.47] s_dot2[-0.00] s_dot3[3.00] d_dot[0.15] d_dot2[0.02] avg_d_dot[0.00] C1[78.1784] C2[78.1784]</t>
  </si>
  <si>
    <t>5(2-1): #[148] s[129.21] d[6.09] s_dot[1.47] s_dot2[-0.00] s_dot3[3.00] d_dot[0.08] d_dot2[0.01] avg_d_dot[0.00] C1[78.1662] C2[78.1662]</t>
  </si>
  <si>
    <t>5(2-1): #[148] s[129.21] d[6.12] s_dot[1.47] s_dot2[-0.00] s_dot3[3.00] d_dot[0.06] d_dot2[0.01] avg_d_dot[0.00] C1[78.1698] C2[78.1698]</t>
  </si>
  <si>
    <t>5(2-1): #[96] s[142.43] d[2.91] s_dot[31.87] s_dot2[16.00] s_dot3[13.00] d_dot[9.41] d_dot2[0.02] avg_d_dot[0.20] C1[75.8567] C2[75.8567]</t>
  </si>
  <si>
    <t>5(2-1): #[104] s[147.99] d[2.97] s_dot[36.99] s_dot2[16.00] s_dot3[13.00] d_dot[8.32] d_dot2[0.01] avg_d_dot[0.15] C1[76.6151] C2[76.6151]</t>
  </si>
  <si>
    <t>5(2-1): #[109] s[151.88] d[2.92] s_dot[40.19] s_dot2[16.00] s_dot3[13.00] d_dot[8.09] d_dot2[0.01] avg_d_dot[0.13] C1[76.9619] C2[76.9619]</t>
  </si>
  <si>
    <t>4(2-3): #[111] s[142.41] d[9.04] s_dot[23.97] s_dot2[9.00] s_dot3[6.00] d_dot[-5.52] d_dot2[0.02] avg_d_dot[-0.09] C1[69.2939] C2[69.2939]</t>
  </si>
  <si>
    <t>4(2-3): #[134] s[155.43] d[9.02] s_dot[32.25] s_dot2[9.00] s_dot3[6.00] d_dot[-1.72] d_dot2[0.01] avg_d_dot[-0.02] C1[70.8667] C2[71.8602]</t>
  </si>
  <si>
    <t>4(2-3): #[148] s[165.21] d[8.10] s_dot[37.29] s_dot2[9.00] s_dot3[6.00] d_dot[1.19] d_dot2[0.01] avg_d_dot[0.01] C1[72.6228] C2[82.4151]</t>
  </si>
  <si>
    <t>4(2-3): #[148] s[129.21] d[6.33] s_dot[1.47] s_dot2[-0.00] s_dot3[3.00] d_dot[-0.14] d_dot2[0.02] avg_d_dot[-0.00] C1[77.9752] C2[77.9752]</t>
  </si>
  <si>
    <t>4(2-3): #[148] s[129.21] d[6.25] s_dot[1.47] s_dot2[-0.00] s_dot3[3.00] d_dot[-0.07] d_dot2[0.01] avg_d_dot[-0.00] C1[77.9816] C2[77.9816]</t>
  </si>
  <si>
    <t>4(2-3): #[148] s[129.21] d[6.22] s_dot[1.47] s_dot2[-0.00] s_dot3[3.00] d_dot[-0.04] d_dot2[0.01] avg_d_dot[-0.00] C1[77.9911] C2[77.9911]</t>
  </si>
  <si>
    <t>4(2-3): #[96] s[142.43] d[9.04] s_dot[31.87] s_dot2[16.00] s_dot3[13.00] d_dot[-7.35] d_dot2[0.02] avg_d_dot[-0.15] C1[75.9100] C2[75.9100]</t>
  </si>
  <si>
    <t>4(2-3): #[113] s[155.23] d[9.01] s_dot[42.75] s_dot2[16.00] s_dot3[13.00] d_dot[-2.45] d_dot2[0.01] avg_d_dot[-0.04] C1[77.3484] C2[91.6890]</t>
  </si>
  <si>
    <t>4(2-3): #[148] s[193.21] d[3.99] s_dot[65.15] s_dot2[16.00] s_dot3[13.00] d_dot[12.31] d_dot2[0.01] avg_d_dot[0.12] C1[84.8122] C2[109.7099]</t>
  </si>
  <si>
    <t>1(2-2): #[50] s[126.30] d[6.18] s_dot[1.47] s_dot2[0.00] s_dot3[3.00] d_dot[0.00] d_dot2[0.00] avg_d_dot[0.00] C1[64.2334] C2[75.1018]</t>
  </si>
  <si>
    <t>1(2-2): #[50] s[126.30] d[6.18] s_dot[1.53] s_dot2[3.00] s_dot3[0.00] d_dot[0.00] d_dot2[0.00] avg_d_dot[0.00] C1[62.8985] C2[73.7614]</t>
  </si>
  <si>
    <t>1(2-2): #[50] s[126.31] d[6.18] s_dot[1.56] s_dot2[4.50] s_dot3[1.50] d_dot[0.00] d_dot2[0.00] avg_d_dot[0.00] C1[62.2611] C2[73.1212]</t>
  </si>
  <si>
    <t>1(2-2): #[50] s[126.31] d[6.18] s_dot[1.55] s_dot2[4.00] s_dot3[1.00] d_dot[0.00] d_dot2[0.00] avg_d_dot[0.00] C1[62.4714] C2[73.3324]</t>
  </si>
  <si>
    <t>1(2-2): #[50] s[126.30] d[6.18] s_dot[1.54] s_dot2[3.50] s_dot3[0.50] d_dot[0.00] d_dot2[0.00] avg_d_dot[0.00] C1[62.6839] C2[73.5458]</t>
  </si>
  <si>
    <t>1(2-2): #[50] s[126.30] d[6.18] s_dot[1.51] s_dot2[2.00] s_dot3[1.00] d_dot[0.00] d_dot2[0.00] avg_d_dot[0.00] C1[63.3344] C2[74.1991]</t>
  </si>
  <si>
    <t>1(2-2): #[50] s[126.30] d[6.18] s_dot[1.49] s_dot2[1.00] s_dot3[2.00] d_dot[0.00] d_dot2[0.00] avg_d_dot[0.00] C1[63.7793] C2[74.6458]</t>
  </si>
  <si>
    <t>1(2-2): #[50] s[126.31] d[6.18] s_dot[1.56] s_dot2[4.50] s_dot3[1.50] d_dot[0.00] d_dot2[0.00] avg_d_dot[0.00] C1[62.2611] C2[62.2611]</t>
  </si>
  <si>
    <t>5(2-1): #[127] s[129.55] d[5.99] s_dot[1.69] s_dot2[0.03] s_dot3[0.15] d_dot[0.19] d_dot2[0.03] avg_d_dot[0.00] C1[71.1318] C2[71.1318]</t>
  </si>
  <si>
    <t>5(2-1): #[127] s[129.55] d[6.08] s_dot[1.69] s_dot2[0.03] s_dot3[0.15] d_dot[0.10] d_dot2[0.01] avg_d_dot[0.00] C1[71.1242] C2[71.1242]</t>
  </si>
  <si>
    <t>5(2-1): #[127] s[129.55] d[6.11] s_dot[1.69] s_dot2[0.03] s_dot3[0.15] d_dot[0.07] d_dot2[0.01] avg_d_dot[0.00] C1[71.1298] C2[71.1298]</t>
  </si>
  <si>
    <t>5(2-1): #[127] s[129.42] d[6.00] s_dot[1.56] s_dot2[-0.00] s_dot3[0.18] d_dot[0.17] d_dot2[0.03] avg_d_dot[0.00] C1[74.4781] C2[74.4781]</t>
  </si>
  <si>
    <t>5(2-1): #[127] s[129.42] d[6.08] s_dot[1.56] s_dot2[-0.00] s_dot3[0.18] d_dot[0.09] d_dot2[0.01] avg_d_dot[0.00] C1[74.4615] C2[74.4615]</t>
  </si>
  <si>
    <t>5(2-1): #[127] s[129.43] d[6.11] s_dot[1.56] s_dot2[-0.00] s_dot3[0.18] d_dot[0.06] d_dot2[0.01] avg_d_dot[0.00] C1[74.4650] C2[74.4650]</t>
  </si>
  <si>
    <t>5(2-1): #[127] s[134.99] d[5.00] s_dot[7.10] s_dot2[1.39] s_dot3[1.21] d_dot[1.69] d_dot2[0.03] avg_d_dot[0.02] C1[26.3700] C2[26.3700]</t>
  </si>
  <si>
    <t>5(2-1): #[127] s[134.99] d[5.52] s_dot[7.10] s_dot2[1.39] s_dot3[1.21] d_dot[0.99] d_dot2[0.01] avg_d_dot[0.01] C1[26.7183] C2[26.7183]</t>
  </si>
  <si>
    <t>5(2-1): #[127] s[134.99] d[5.70] s_dot[7.10] s_dot2[1.39] s_dot3[1.21] d_dot[0.73] d_dot2[0.01] avg_d_dot[0.01] C1[26.8275] C2[26.8275]</t>
  </si>
  <si>
    <t>4(2-3): #[127] s[129.55] d[6.36] s_dot[1.69] s_dot2[0.03] s_dot3[0.15] d_dot[-0.18] d_dot2[0.02] avg_d_dot[-0.00] C1[70.9261] C2[91.4120]</t>
  </si>
  <si>
    <t>4(2-3): #[127] s[129.55] d[6.26] s_dot[1.69] s_dot2[0.03] s_dot3[0.15] d_dot[-0.08] d_dot2[0.01] avg_d_dot[-0.00] C1[70.9399] C2[91.4247]</t>
  </si>
  <si>
    <t>4(2-3): #[127] s[129.55] d[6.22] s_dot[1.69] s_dot2[0.03] s_dot3[0.15] d_dot[-0.05] d_dot2[0.01] avg_d_dot[-0.00] C1[70.9524] C2[91.4370]</t>
  </si>
  <si>
    <t>4(2-3): #[127] s[129.42] d[6.35] s_dot[1.56] s_dot2[-0.00] s_dot3[0.18] d_dot[-0.16] d_dot2[0.02] avg_d_dot[-0.00] C1[74.2719] C2[94.8386]</t>
  </si>
  <si>
    <t>4(2-3): #[127] s[129.42] d[6.25] s_dot[1.56] s_dot2[-0.00] s_dot3[0.18] d_dot[-0.07] d_dot2[0.01] avg_d_dot[-0.00] C1[74.2767] C2[94.8422]</t>
  </si>
  <si>
    <t>4(2-3): #[127] s[129.43] d[6.22] s_dot[1.56] s_dot2[-0.00] s_dot3[0.18] d_dot[-0.04] d_dot2[0.01] avg_d_dot[-0.00] C1[74.2869] C2[94.8522]</t>
  </si>
  <si>
    <t>4(2-3): #[127] s[134.99] d[7.28] s_dot[7.10] s_dot2[1.39] s_dot3[1.21] d_dot[-1.53] d_dot2[0.02] avg_d_dot[-0.02] C1[26.1534] C2[42.0271]</t>
  </si>
  <si>
    <t>4(2-3): #[127] s[134.99] d[6.70] s_dot[7.10] s_dot2[1.39] s_dot3[1.21] d_dot[-0.75] d_dot2[0.01] avg_d_dot[-0.01] C1[26.5797] C2[42.4515]</t>
  </si>
  <si>
    <t>4(2-3): #[127] s[134.99] d[6.48] s_dot[7.10] s_dot2[1.39] s_dot3[1.21] d_dot[-0.44] d_dot2[0.01] avg_d_dot[-0.00] C1[26.7211] C2[42.5926]</t>
  </si>
  <si>
    <t>1(2-2): #[50] s[126.99] d[6.18] s_dot[1.56] s_dot2[0.00] s_dot3[0.18] d_dot[0.00] d_dot2[0.00] avg_d_dot[0.00] C1[61.6986] C2[61.6986]</t>
  </si>
  <si>
    <t>1(2-2): #[50] s[127.03] d[6.18] s_dot[1.64] s_dot2[0.18] s_dot3[0.00] d_dot[0.00] d_dot2[0.00] avg_d_dot[0.00] C1[59.6335] C2[59.6335]</t>
  </si>
  <si>
    <t>1(2-2): #[50] s[127.32] d[6.18] s_dot[2.30] s_dot2[1.68] s_dot3[1.50] d_dot[0.00] d_dot2[0.00] avg_d_dot[0.00] C1[46.3218] C2[46.3218]</t>
  </si>
  <si>
    <t>1(2-2): #[50] s[127.22] d[6.18] s_dot[2.08] s_dot2[1.18] s_dot3[1.00] d_dot[0.00] d_dot2[0.00] avg_d_dot[0.00] C1[50.1161] C2[50.1161]</t>
  </si>
  <si>
    <t>1(2-2): #[50] s[127.12] d[6.18] s_dot[1.86] s_dot2[0.68] s_dot3[0.50] d_dot[0.00] d_dot2[0.00] avg_d_dot[0.00] C1[54.5039] C2[54.5039]</t>
  </si>
  <si>
    <t>1(2-2): #[50] s[126.83] d[6.18] s_dot[1.20] s_dot2[-0.82] s_dot3[1.00] d_dot[0.00] d_dot2[0.00] avg_d_dot[0.00] C1[73.2141] C2[73.2141]</t>
  </si>
  <si>
    <t>1(2-2): #[50] s[126.64] d[6.18] s_dot[0.76] s_dot2[-1.82] s_dot3[2.00] d_dot[0.00] d_dot2[0.00] avg_d_dot[0.00] C1[93.5929] C2[93.5929]</t>
  </si>
  <si>
    <t>5(2-1): #[129] s[130.03] d[5.93] s_dot[2.16] s_dot2[0.15] s_dot3[0.24] d_dot[0.27] d_dot2[0.03] avg_d_dot[0.00] C1[81.3186] C2[106.7503]</t>
  </si>
  <si>
    <t>5(2-1): #[129] s[130.03] d[6.04] s_dot[2.16] s_dot2[0.15] s_dot3[0.24] d_dot[0.15] d_dot2[0.01] avg_d_dot[0.00] C1[81.3395] C2[106.7704]</t>
  </si>
  <si>
    <t>5(2-1): #[129] s[130.03] d[6.08] s_dot[2.16] s_dot2[0.15] s_dot3[0.24] d_dot[0.11] d_dot2[0.01] avg_d_dot[0.00] C1[81.3521] C2[106.7829]</t>
  </si>
  <si>
    <t>5(2-1): #[129] s[129.42] d[6.00] s_dot[1.56] s_dot2[-0.00] s_dot3[0.39] d_dot[0.17] d_dot2[0.03] avg_d_dot[0.00] C1[94.6043] C2[120.2571]</t>
  </si>
  <si>
    <t>5(2-1): #[129] s[129.42] d[6.08] s_dot[1.56] s_dot2[-0.00] s_dot3[0.39] d_dot[0.09] d_dot2[0.01] avg_d_dot[0.00] C1[94.5877] C2[120.2398]</t>
  </si>
  <si>
    <t>5(2-1): #[129] s[129.43] d[6.11] s_dot[1.56] s_dot2[-0.00] s_dot3[0.39] d_dot[0.06] d_dot2[0.01] avg_d_dot[0.00] C1[94.5912] C2[120.2432]</t>
  </si>
  <si>
    <t>5(2-1): #[129] s[137.14] d[4.45] s_dot[9.23] s_dot2[1.93] s_dot3[1.54] d_dot[2.48] d_dot2[0.03] avg_d_dot[0.02] C1[41.5293] C2[62.9923]</t>
  </si>
  <si>
    <t>5(2-1): #[129] s[137.14] d[5.19] s_dot[9.24] s_dot2[1.93] s_dot3[1.54] d_dot[1.51] d_dot2[0.01] avg_d_dot[0.02] C1[42.1074] C2[63.5686]</t>
  </si>
  <si>
    <t>5(2-1): #[129] s[137.14] d[5.46] s_dot[9.24] s_dot2[1.93] s_dot3[1.54] d_dot[1.13] d_dot2[0.01] avg_d_dot[0.01] C1[42.2851] C2[63.7461]</t>
  </si>
  <si>
    <t>4(2-3): #[129] s[130.03] d[6.41] s_dot[2.16] s_dot2[0.15] s_dot3[0.24] d_dot[-0.26] d_dot2[0.02] avg_d_dot[-0.00] C1[81.1133] C2[81.1133]</t>
  </si>
  <si>
    <t>4(2-3): #[129] s[130.03] d[6.28] s_dot[2.16] s_dot2[0.15] s_dot3[0.24] d_dot[-0.12] d_dot2[0.01] avg_d_dot[-0.00] C1[81.1572] C2[81.1572]</t>
  </si>
  <si>
    <t>4(2-3): #[129] s[130.03] d[6.24] s_dot[2.16] s_dot2[0.15] s_dot3[0.24] d_dot[-0.07] d_dot2[0.01] avg_d_dot[-0.00] C1[81.1780] C2[81.1780]</t>
  </si>
  <si>
    <t>4(2-3): #[129] s[129.42] d[6.35] s_dot[1.56] s_dot2[-0.00] s_dot3[0.39] d_dot[-0.16] d_dot2[0.02] avg_d_dot[-0.00] C1[94.3982] C2[94.3982]</t>
  </si>
  <si>
    <t>4(2-3): #[129] s[129.42] d[6.25] s_dot[1.56] s_dot2[-0.00] s_dot3[0.39] d_dot[-0.07] d_dot2[0.01] avg_d_dot[-0.00] C1[94.4029] C2[94.4029]</t>
  </si>
  <si>
    <t>4(2-3): #[129] s[129.43] d[6.22] s_dot[1.56] s_dot2[-0.00] s_dot3[0.39] d_dot[-0.04] d_dot2[0.01] avg_d_dot[-0.00] C1[94.4131] C2[94.4131]</t>
  </si>
  <si>
    <t>4(2-3): #[129] s[137.14] d[7.77] s_dot[9.24] s_dot2[1.93] s_dot3[1.54] d_dot[-2.18] d_dot2[0.02] avg_d_dot[-0.02] C1[41.3327] C2[41.3327]</t>
  </si>
  <si>
    <t>4(2-3): #[129] s[137.14] d[6.94] s_dot[9.24] s_dot2[1.93] s_dot3[1.54] d_dot[-1.11] d_dot2[0.01] avg_d_dot[-0.01] C1[42.0151] C2[42.0151]</t>
  </si>
  <si>
    <t>4(2-3): #[129] s[137.14] d[6.62] s_dot[9.24] s_dot2[1.93] s_dot3[1.54] d_dot[-0.65] d_dot2[0.01] avg_d_dot[-0.01] C1[42.2368] C2[42.2368]</t>
  </si>
  <si>
    <t>1(2-2): #[50] s[126.93] d[6.18] s_dot[1.56] s_dot2[0.00] s_dot3[0.39] d_dot[0.00] d_dot2[0.00] avg_d_dot[0.00] C1[61.6987] C2[61.6987]</t>
  </si>
  <si>
    <t>1(2-2): #[50] s[126.99] d[6.18] s_dot[1.72] s_dot2[0.39] s_dot3[0.00] d_dot[0.00] d_dot2[0.00] avg_d_dot[0.00] C1[57.7623] C2[57.7623]</t>
  </si>
  <si>
    <t>1(2-2): #[50] s[127.23] d[6.18] s_dot[2.32] s_dot2[1.89] s_dot3[1.50] d_dot[0.00] d_dot2[0.00] avg_d_dot[0.00] C1[46.0818] C2[46.0818]</t>
  </si>
  <si>
    <t>1(2-2): #[50] s[127.15] d[6.18] s_dot[2.12] s_dot2[1.39] s_dot3[1.00] d_dot[0.00] d_dot2[0.00] avg_d_dot[0.00] C1[49.4674] C2[49.4674]</t>
  </si>
  <si>
    <t>1(2-2): #[50] s[127.07] d[6.18] s_dot[1.92] s_dot2[0.89] s_dot3[0.50] d_dot[0.00] d_dot2[0.00] avg_d_dot[0.00] C1[53.3261] C2[53.3261]</t>
  </si>
  <si>
    <t>1(2-2): #[50] s[126.83] d[6.18] s_dot[1.32] s_dot2[-0.61] s_dot3[1.00] d_dot[0.00] d_dot2[0.00] avg_d_dot[0.00] C1[69.1189] C2[69.1189]</t>
  </si>
  <si>
    <t>1(2-2): #[50] s[126.67] d[6.18] s_dot[0.92] s_dot2[-1.61] s_dot3[2.00] d_dot[0.00] d_dot2[0.00] avg_d_dot[0.00] C1[85.3038] C2[85.3038]</t>
  </si>
  <si>
    <t>1(2-2): #[50] s[127.41] d[6.18] s_dot[2.21] s_dot2[1.30] s_dot3[1.50] d_dot[0.00] d_dot2[0.00] avg_d_dot[0.00] C1[47.8129] C2[47.8129]</t>
  </si>
  <si>
    <t>5(2-1): #[95] s[143.61] d[2.91] s_dot[20.81] s_dot2[6.69] s_dot3[4.10] d_dot[6.16] d_dot2[0.05] avg_d_dot[0.09] C1[6.6798] C2[6.6798]</t>
  </si>
  <si>
    <t>5(2-1): #[107] s[149.03] d[2.93] s_dot[24.02] s_dot2[6.69] s_dot3[4.10] d_dot[5.54] d_dot2[0.02] avg_d_dot[0.07] C1[18.6463] C2[18.6463]</t>
  </si>
  <si>
    <t>5(2-1): #[114] s[152.54] d[2.98] s_dot[25.90] s_dot2[6.69] s_dot3[4.11] d_dot[5.30] d_dot2[0.01] avg_d_dot[0.06] C1[19.2482] C2[19.2482]</t>
  </si>
  <si>
    <t>5(2-1): #[125] s[131.81] d[5.85] s_dot[2.20] s_dot2[-0.00] s_dot3[2.59] d_dot[0.32] d_dot2[0.05] avg_d_dot[0.00] C1[85.3323] C2[106.6104]</t>
  </si>
  <si>
    <t>5(2-1): #[125] s[131.82] d[6.00] s_dot[2.21] s_dot2[-0.00] s_dot3[2.59] d_dot[0.18] d_dot2[0.02] avg_d_dot[0.00] C1[85.2643] C2[106.5398]</t>
  </si>
  <si>
    <t>5(2-1): #[125] s[131.82] d[6.05] s_dot[2.21] s_dot2[-0.00] s_dot3[2.59] d_dot[0.13] d_dot2[0.01] avg_d_dot[0.00] C1[85.2671] C2[106.5422]</t>
  </si>
  <si>
    <t>5(2-1): #[77] s[143.62] d[2.90] s_dot[28.71] s_dot2[12.86] s_dot3[10.28] d_dot[8.50] d_dot2[0.05] avg_d_dot[0.16] C1[77.6277] C2[79.0550]</t>
  </si>
  <si>
    <t>5(2-1): #[86] s[149.25] d[2.87] s_dot[33.34] s_dot2[12.87] s_dot3[10.28] d_dot[7.69] d_dot2[0.02] avg_d_dot[0.13] C1[78.4850] C2[88.5411]</t>
  </si>
  <si>
    <t>5(2-1): #[91] s[152.74] d[2.93] s_dot[35.92] s_dot2[12.87] s_dot3[10.28] d_dot[7.35] d_dot2[0.01] avg_d_dot[0.11] C1[79.0311] C2[92.3847]</t>
  </si>
  <si>
    <t>4(2-3): #[95] s[143.61] d[9.06] s_dot[20.81] s_dot2[6.69] s_dot3[4.10] d_dot[-4.75] d_dot2[0.05] avg_d_dot[-0.07] C1[6.7211] C2[6.7211]</t>
  </si>
  <si>
    <t>4(2-3): #[125] s[158.59] d[8.98] s_dot[28.84] s_dot2[6.69] s_dot3[4.10] d_dot[-0.55] d_dot2[0.02] avg_d_dot[-0.01] C1[20.0746] C2[20.0746]</t>
  </si>
  <si>
    <t>4(2-3): #[125] s[158.59] d[8.02] s_dot[28.84] s_dot2[6.69] s_dot3[4.11] d_dot[-0.96] d_dot2[0.01] avg_d_dot[-0.01] C1[21.1211] C2[21.1211]</t>
  </si>
  <si>
    <t>4(2-3): #[125] s[131.82] d[6.51] s_dot[2.20] s_dot2[-0.00] s_dot3[2.59] d_dot[-0.30] d_dot2[0.05] avg_d_dot[-0.00] C1[85.0886] C2[85.0886]</t>
  </si>
  <si>
    <t>4(2-3): #[125] s[131.82] d[6.33] s_dot[2.21] s_dot2[-0.00] s_dot3[2.59] d_dot[-0.14] d_dot2[0.02] avg_d_dot[-0.00] C1[85.0746] C2[85.0746]</t>
  </si>
  <si>
    <t>4(2-3): #[125] s[131.82] d[6.27] s_dot[2.21] s_dot2[-0.00] s_dot3[2.59] d_dot[-0.08] d_dot2[0.01] avg_d_dot[-0.00] C1[85.0890] C2[85.0890]</t>
  </si>
  <si>
    <t>4(2-3): #[77] s[143.62] d[9.06] s_dot[28.71] s_dot2[12.86] s_dot3[10.28] d_dot[-6.57] d_dot2[0.05] avg_d_dot[-0.13] C1[77.6702] C2[77.6702]</t>
  </si>
  <si>
    <t>4(2-3): #[125] s[183.29] d[5.98] s_dot[53.41] s_dot2[12.87] s_dot3[10.28] d_dot[11.01] d_dot2[0.02] avg_d_dot[0.11] C1[111.4181] C2[130.8141]</t>
  </si>
  <si>
    <t>4(2-3): #[125] s[183.29] d[5.85] s_dot[53.41] s_dot2[12.87] s_dot3[10.28] d_dot[9.78] d_dot2[0.01] avg_d_dot[0.10] C1[111.4810] C2[130.8776]</t>
  </si>
  <si>
    <t>1(2-2): #[50] s[128.47] d[6.18] s_dot[2.21] s_dot2[0.00] s_dot3[2.59] d_dot[0.00] d_dot2[0.00] avg_d_dot[0.00] C1[47.6614] C2[47.6614]</t>
  </si>
  <si>
    <t>1(2-2): #[50] s[129.07] d[6.18] s_dot[3.45] s_dot2[2.59] s_dot3[0.00] d_dot[0.00] d_dot2[0.00] avg_d_dot[0.00] C1[32.4894] C2[32.4894]</t>
  </si>
  <si>
    <t>1(2-2): #[50] s[129.41] d[6.18] s_dot[4.17] s_dot2[4.09] s_dot3[1.50] d_dot[0.00] d_dot2[0.00] avg_d_dot[0.00] C1[27.1010] C2[27.1010]</t>
  </si>
  <si>
    <t>1(2-2): #[50] s[129.30] d[6.18] s_dot[3.93] s_dot2[3.59] s_dot3[1.00] d_dot[0.00] d_dot2[0.00] avg_d_dot[0.00] C1[28.7162] C2[28.7162]</t>
  </si>
  <si>
    <t>1(2-2): #[50] s[129.18] d[6.18] s_dot[3.69] s_dot2[3.09] s_dot3[0.50] d_dot[0.00] d_dot2[0.00] avg_d_dot[0.00] C1[30.5031] C2[30.5031]</t>
  </si>
  <si>
    <t>1(2-2): #[50] s[128.83] d[6.18] s_dot[2.97] s_dot2[1.59] s_dot3[1.00] d_dot[0.00] d_dot2[0.00] avg_d_dot[0.00] C1[37.2050] C2[37.2050]</t>
  </si>
  <si>
    <t>1(2-2): #[50] s[128.60] d[6.18] s_dot[2.49] s_dot2[0.59] s_dot3[2.00] d_dot[0.00] d_dot2[0.00] avg_d_dot[0.00] C1[43.2520] C2[43.2520]</t>
  </si>
  <si>
    <t>1(3-3): #[50] s[648.11] d[10.02] s_dot[16.70] s_dot2[-1.09] s_dot3[1.00] d_dot[0.00] d_dot2[0.00] avg_d_dot[0.00] C1[2.1581] C2[2.1581]</t>
  </si>
  <si>
    <t>5(3-2): #[135] s[653.87] d[9.43] s_dot[-10.80] s_dot2[-6.91] s_dot3[6.01] d_dot[-1.92] d_dot2[2.78] avg_d_dot[-0.02] C1[183.5137] C2[204.3823]</t>
  </si>
  <si>
    <t>5(3-2): #[109] s[671.26] d[6.96] s_dot[14.60] s_dot2[-0.71] s_dot3[0.19] d_dot[2.49] d_dot2[1.24] avg_d_dot[0.03] C1[36.6628] C2[36.6628]</t>
  </si>
  <si>
    <t>5(3-2): #[120] s[677.45] d[6.99] s_dot[17.81] s_dot2[0.33] s_dot3[1.23] d_dot[2.29] d_dot2[0.69] avg_d_dot[0.03] C1[39.0460] C2[39.0460]</t>
  </si>
  <si>
    <t>5(3-2): #[135] s[650.61] d[9.87] s_dot[-14.04] s_dot2[-7.72] s_dot3[6.82] d_dot[-1.31] d_dot2[2.78] avg_d_dot[-0.01] C1[183.8918] C2[205.4263]</t>
  </si>
  <si>
    <t>5(3-2): #[116] s[671.16] d[6.98] s_dot[11.78] s_dot2[-1.53] s_dot3[0.62] d_dot[2.01] d_dot2[1.24] avg_d_dot[0.02] C1[42.2250] C2[44.3420]</t>
  </si>
  <si>
    <t>5(3-2): #[128] s[677.50] d[6.98] s_dot[14.91] s_dot2[-0.48] s_dot3[0.42] d_dot[1.91] d_dot2[0.69] avg_d_dot[0.02] C1[43.6889] C2[43.6889]</t>
  </si>
  <si>
    <t>5(3-2): #[135] s[650.65] d[9.86] s_dot[-14.00] s_dot2[-7.71] s_dot3[6.81] d_dot[-1.33] d_dot2[2.78] avg_d_dot[-0.01] C1[183.8885] C2[205.4160]</t>
  </si>
  <si>
    <t>5(3-2): #[116] s[671.18] d[6.97] s_dot[11.81] s_dot2[-1.52] s_dot3[0.61] d_dot[2.02] d_dot2[1.24] avg_d_dot[0.02] C1[42.1849] C2[44.2665]</t>
  </si>
  <si>
    <t>5(3-2): #[128] s[677.53] d[6.98] s_dot[14.95] s_dot2[-0.47] s_dot3[0.43] d_dot[1.92] d_dot2[0.69] avg_d_dot[0.02] C1[43.6575] C2[43.6575]</t>
  </si>
  <si>
    <t>1(3-3): #[50] s[652.79] d[9.99] s_dot[16.70] s_dot2[-0.00] s_dot3[0.90] d_dot[0.00] d_dot2[0.00] avg_d_dot[0.00] C1[1.9942] C2[1.9942]</t>
  </si>
  <si>
    <t>1(3-3): #[50] s[652.72] d[9.99] s_dot[16.44] s_dot2[-0.90] s_dot3[0.00] d_dot[0.00] d_dot2[0.00] avg_d_dot[0.00] C1[2.2687] C2[2.2687]</t>
  </si>
  <si>
    <t>1(3-3): #[50] s[652.83] d[9.99] s_dot[16.86] s_dot2[0.60] s_dot3[1.50] d_dot[0.00] d_dot2[0.00] avg_d_dot[0.00] C1[1.9853] C2[1.9968]</t>
  </si>
  <si>
    <t>1(3-3): #[50] s[652.79] d[9.99] s_dot[16.72] s_dot2[0.10] s_dot3[1.00] d_dot[0.00] d_dot2[0.00] avg_d_dot[0.00] C1[1.9926] C2[1.9926]</t>
  </si>
  <si>
    <t>1(3-3): #[50] s[652.76] d[9.99] s_dot[16.58] s_dot2[-0.40] s_dot3[0.50] d_dot[0.00] d_dot2[0.00] avg_d_dot[0.00] C1[2.1160] C2[2.1160]</t>
  </si>
  <si>
    <t>1(3-3): #[50] s[652.64] d[9.99] s_dot[16.16] s_dot2[-1.90] s_dot3[1.00] d_dot[0.00] d_dot2[0.00] avg_d_dot[0.00] C1[2.5781] C2[2.5781]</t>
  </si>
  <si>
    <t>1(3-3): #[50] s[652.56] d[9.99] s_dot[15.88] s_dot2[-2.90] s_dot3[2.00] d_dot[0.00] d_dot2[0.00] avg_d_dot[0.00] C1[2.8930] C2[2.8930]</t>
  </si>
  <si>
    <t>Change Lane Left</t>
  </si>
  <si>
    <t>Lane Change Multiplier</t>
  </si>
  <si>
    <t>Unnecessary Lane Change</t>
  </si>
  <si>
    <t>Unnecesary Lane Change</t>
  </si>
  <si>
    <t>Distance Buffer</t>
  </si>
  <si>
    <t>1(3-3): #[50] s[338.36] d[10.15] s_dot[20.90] s_dot2[-0.00] s_dot3[0.03] d_dot[0.00] d_dot2[0.00] avg_d_dot[0.00] C1[0.0525] C2[0.8048]</t>
  </si>
  <si>
    <t>1(3-3): #[50] s[330.08] d[10.22] s_dot[20.90] s_dot2[-0.00] s_dot3[0.11] d_dot[0.00] d_dot2[0.00] avg_d_dot[0.00] C1[0.0525] C2[0.4551]</t>
  </si>
  <si>
    <t>5(3-2): #[132] s[295.18] d[9.96] s_dot[-56.58] s_dot2[-19.47] s_dot3[19.49] d_dot[0.13] d_dot2[4.41] avg_d_dot[0.00] C1[127.5913] C2[127.5913]</t>
  </si>
  <si>
    <t>5(3-2): #[132] s[357.67] d[7.70] s_dot[5.60] s_dot2[-3.85] s_dot3[3.87] d_dot[0.39] d_dot2[1.96] avg_d_dot[0.00] C1[23.6010] C2[23.6010]</t>
  </si>
  <si>
    <t>5(3-2): #[132] s[368.19] d[8.34] s_dot[16.06] s_dot2[-1.22] s_dot3[1.24] d_dot[-0.12] d_dot2[1.10] avg_d_dot[-0.00] C1[26.7503] C2[26.7503]</t>
  </si>
  <si>
    <t>5(3-2): #[132] s[295.18] d[9.96] s_dot[-56.59] s_dot2[-19.47] s_dot3[19.50] d_dot[0.13] d_dot2[4.41] avg_d_dot[0.00] C1[127.5914] C2[127.5914]</t>
  </si>
  <si>
    <t>5(3-2): #[132] s[357.67] d[7.70] s_dot[5.59] s_dot2[-3.85] s_dot3[3.87] d_dot[0.39] d_dot2[1.96] avg_d_dot[0.00] C1[23.6145] C2[23.6145]</t>
  </si>
  <si>
    <t>5(3-2): #[132] s[368.19] d[8.34] s_dot[16.06] s_dot2[-1.22] s_dot3[1.24] d_dot[-0.12] d_dot2[1.10] avg_d_dot[-0.00] C1[26.7524] C2[26.7524]</t>
  </si>
  <si>
    <t>5(3-2): #[132] s[299.39] d[9.97] s_dot[-52.39] s_dot2[-18.42] s_dot3[18.44] d_dot[0.12] d_dot2[4.41] avg_d_dot[0.00] C1[127.4409] C2[127.4409]</t>
  </si>
  <si>
    <t>5(3-2): #[132] s[361.88] d[7.51] s_dot[9.79] s_dot2[-2.79] s_dot3[2.82] d_dot[0.21] d_dot2[1.96] avg_d_dot[0.00] C1[11.1166] C2[11.1166]</t>
  </si>
  <si>
    <t>5(3-2): #[132] s[372.40] d[8.46] s_dot[20.25] s_dot2[-0.16] s_dot3[0.19] d_dot[-0.92] d_dot2[1.10] avg_d_dot[-0.01] C1[24.1786] C2[24.1786]</t>
  </si>
  <si>
    <t>1(3-3): #[50] s[338.36] d[10.15] s_dot[20.91] s_dot2[0.03] s_dot3[0.00] d_dot[0.00] d_dot2[0.00] avg_d_dot[0.00] C1[0.0524] C2[0.8051]</t>
  </si>
  <si>
    <t>1(3-3): #[50] s[338.53] d[10.16] s_dot[21.42] s_dot2[1.53] s_dot3[1.50] d_dot[0.00] d_dot2[0.00] avg_d_dot[0.00] C1[15.2181] C2[15.9969]</t>
  </si>
  <si>
    <t>1(3-3): #[50] s[338.48] d[10.15] s_dot[21.25] s_dot2[1.03] s_dot3[1.00] d_dot[0.00] d_dot2[0.00] avg_d_dot[0.00] C1[15.1466] C2[15.9166]</t>
  </si>
  <si>
    <t>1(3-3): #[50] s[338.42] d[10.15] s_dot[21.08] s_dot2[0.53] s_dot3[0.50] d_dot[0.00] d_dot2[0.00] avg_d_dot[0.00] C1[15.0752] C2[15.8365]</t>
  </si>
  <si>
    <t>1(3-3): #[50] s[338.24] d[10.15] s_dot[20.57] s_dot2[-0.97] s_dot3[1.00] d_dot[0.00] d_dot2[0.00] avg_d_dot[0.00] C1[0.3384] C2[1.0745]</t>
  </si>
  <si>
    <t>1(3-3): #[50] s[338.13] d[10.14] s_dot[20.23] s_dot2[-1.97] s_dot3[2.00] d_dot[0.00] d_dot2[0.00] avg_d_dot[0.00] C1[0.6368] C2[1.3569]</t>
  </si>
  <si>
    <t>1(99-2): #[50] s[125.79] d[6.16] s_dot[0.98] s_dot2[1.00] s_dot3[1.00] d_dot[0.00] d_dot2[0.00] avg_d_dot[0.00] C1[96.4441] C2[127.4441]</t>
  </si>
  <si>
    <t>5(2-1): #[142] s[141.77] d[2.96] s_dot[15.94] s_dot2[4.00] s_dot3[2.00] d_dot[4.70] d_dot2[0.01] avg_d_dot[0.05] C1[4.2969] C2[35.2969]</t>
  </si>
  <si>
    <t>5(2-1): #[148] s[143.75] d[3.82] s_dot[16.90] s_dot2[4.00] s_dot3[2.00] d_dot[3.61] d_dot2[0.00] avg_d_dot[0.04] C1[3.6660] C2[34.6660]</t>
  </si>
  <si>
    <t>5(2-1): #[148] s[143.75] d[4.39] s_dot[16.90] s_dot2[4.00] s_dot3[2.00] d_dot[2.91] d_dot2[0.00] avg_d_dot[0.03] C1[26.6660] C2[57.6660]</t>
  </si>
  <si>
    <t>5(2-1): #[148] s[127.75] d[6.10] s_dot[0.98] s_dot2[-0.00] s_dot3[2.00] d_dot[0.07] d_dot2[0.01] avg_d_dot[0.00] C1[120.2263] C2[151.2263]</t>
  </si>
  <si>
    <t>5(2-1): #[148] s[127.75] d[6.14] s_dot[0.98] s_dot2[-0.00] s_dot3[2.00] d_dot[0.04] d_dot2[0.00] avg_d_dot[0.00] C1[120.2091] C2[151.2091]</t>
  </si>
  <si>
    <t>5(2-1): #[148] s[127.75] d[6.15] s_dot[0.98] s_dot2[-0.00] s_dot3[2.00] d_dot[0.03] d_dot2[0.00] avg_d_dot[0.00] C1[120.2063] C2[151.2063]</t>
  </si>
  <si>
    <t>5(2-1): #[122] s[142.05] d[2.88] s_dot[20.85] s_dot2[6.76] s_dot3[4.76] d_dot[6.14] d_dot2[0.01] avg_d_dot[0.08] C1[1.7791] C2[32.7791]</t>
  </si>
  <si>
    <t>5(2-1): #[135] s[147.97] d[2.90] s_dot[24.37] s_dot2[6.76] s_dot3[4.76] d_dot[5.44] d_dot2[0.00] avg_d_dot[0.06] C1[16.7950] C2[47.7950]</t>
  </si>
  <si>
    <t>5(2-1): #[142] s[151.53] d[2.92] s_dot[26.26] s_dot2[6.76] s_dot3[4.76] d_dot[5.26] d_dot2[0.00] avg_d_dot[0.06] C1[16.8368] C2[47.8368]</t>
  </si>
  <si>
    <t>4(2-3): #[143] s[142.10] d[9.07] s_dot[16.10] s_dot2[4.00] s_dot3[2.00] d_dot[-3.68] d_dot2[0.01] avg_d_dot[-0.04] C1[4.1868] C2[35.1868]</t>
  </si>
  <si>
    <t>4(2-3): #[148] s[143.75] d[7.90] s_dot[16.90] s_dot2[4.00] s_dot3[2.00] d_dot[-2.30] d_dot2[0.00] avg_d_dot[-0.02] C1[26.6660] C2[57.6660]</t>
  </si>
  <si>
    <t>4(2-3): #[148] s[143.75] d[7.19] s_dot[16.90] s_dot2[4.00] s_dot3[2.00] d_dot[-1.44] d_dot2[0.00] avg_d_dot[-0.01] C1[26.6660] C2[57.6660]</t>
  </si>
  <si>
    <t>4(2-3): #[148] s[127.75] d[6.24] s_dot[0.98] s_dot2[-0.00] s_dot3[2.00] d_dot[-0.07] d_dot2[0.01] avg_d_dot[-0.00] C1[120.2229] C2[151.2229]</t>
  </si>
  <si>
    <t>4(2-3): #[148] s[127.75] d[6.20] s_dot[0.98] s_dot2[-0.00] s_dot3[2.00] d_dot[-0.03] d_dot2[0.00] avg_d_dot[-0.00] C1[120.2085] C2[151.2085]</t>
  </si>
  <si>
    <t>4(2-3): #[148] s[127.75] d[6.19] s_dot[0.98] s_dot2[-0.00] s_dot3[2.00] d_dot[-0.02] d_dot2[0.00] avg_d_dot[-0.00] C1[120.2060] C2[151.2060]</t>
  </si>
  <si>
    <t>4(2-3): #[122] s[142.05] d[9.06] s_dot[20.85] s_dot2[6.76] s_dot3[4.76] d_dot[-4.79] d_dot2[0.01] avg_d_dot[-0.06] C1[1.7791] C2[32.7791]</t>
  </si>
  <si>
    <t>4(2-3): #[147] s[154.24] d[9.03] s_dot[27.61] s_dot2[6.76] s_dot3[4.76] d_dot[-1.77] d_dot2[0.00] avg_d_dot[-0.02] C1[16.8642] C2[47.8642]</t>
  </si>
  <si>
    <t>4(2-3): #[148] s[154.79] d[8.01] s_dot[27.88] s_dot2[6.76] s_dot3[4.76] d_dot[-1.49] d_dot2[0.00] avg_d_dot[-0.01] C1[16.8694] C2[47.8694]</t>
  </si>
  <si>
    <t>1(2-2): #[50] s[125.81] d[6.17] s_dot[0.98] s_dot2[0.00] s_dot3[2.00] d_dot[0.00] d_dot2[0.00] avg_d_dot[0.00] C1[96.3012] C2[96.3012]</t>
  </si>
  <si>
    <t>1(2-2): #[50] s[125.81] d[6.17] s_dot[1.02] s_dot2[2.00] s_dot3[0.00] d_dot[0.00] d_dot2[0.00] avg_d_dot[0.00] C1[94.4916] C2[94.4916]</t>
  </si>
  <si>
    <t>1(2-2): #[50] s[125.81] d[6.17] s_dot[1.04] s_dot2[3.00] s_dot3[1.00] d_dot[0.00] d_dot2[0.00] avg_d_dot[0.00] C1[93.6176] C2[93.6176]</t>
  </si>
  <si>
    <t>1(2-2): #[50] s[125.81] d[6.17] s_dot[1.03] s_dot2[2.60] s_dot3[0.60] d_dot[0.00] d_dot2[0.00] avg_d_dot[0.00] C1[93.9648] C2[93.9648]</t>
  </si>
  <si>
    <t>1(2-2): #[50] s[125.81] d[6.17] s_dot[1.03] s_dot2[2.30] s_dot3[0.30] d_dot[0.00] d_dot2[0.00] avg_d_dot[0.00] C1[94.2273] C2[94.2273]</t>
  </si>
  <si>
    <t>1(2-2): #[50] s[125.81] d[6.17] s_dot[1.00] s_dot2[1.00] s_dot3[1.00] d_dot[0.00] d_dot2[0.00] avg_d_dot[0.00] C1[95.3859] C2[95.3859]</t>
  </si>
  <si>
    <t>1(2-2): #[50] s[125.81] d[6.17] s_dot[0.98] s_dot2[-0.00] s_dot3[2.00] d_dot[0.00] d_dot2[0.00] avg_d_dot[0.00] C1[96.3012] C2[96.3012]</t>
  </si>
  <si>
    <t>1(1-1): #[50] s[652.18] d[2.46] s_dot[19.24] s_dot2[-0.21] s_dot3[0.41] d_dot[0.00] d_dot2[0.33] avg_d_dot[0.00] C1[0.8635] C2[7.7480]</t>
  </si>
  <si>
    <t>4(1-2): #[135] s[640.23] d[2.20] s_dot[-30.92] s_dot2[-12.60] s_dot3[12.65] d_dot[-0.10] d_dot2[3.55] avg_d_dot[-0.00] C1[126.4044] C2[126.4044]</t>
  </si>
  <si>
    <t>4(1-2): #[87] s[669.48] d[5.00] s_dot[14.11] s_dot2[-2.49] s_dot3[2.53] d_dot[-3.65] d_dot2[1.58] avg_d_dot[-0.07] C1[5.0899] C2[21.8405]</t>
  </si>
  <si>
    <t>4(1-2): #[93] s[673.42] d[5.06] s_dot[17.42] s_dot2[-0.79] s_dot3[0.83] d_dot[-3.77] d_dot2[0.89] avg_d_dot[-0.06] C1[2.4420] C2[7.4420]</t>
  </si>
  <si>
    <t>4(1-2): #[135] s[640.22] d[2.20] s_dot[-30.93] s_dot2[-12.60] s_dot3[12.65] d_dot[-0.10] d_dot2[3.55] avg_d_dot[-0.00] C1[126.4047] C2[126.4047]</t>
  </si>
  <si>
    <t>4(1-2): #[87] s[669.47] d[5.00] s_dot[14.10] s_dot2[-2.49] s_dot3[2.54] d_dot[-3.64] d_dot2[1.58] avg_d_dot[-0.07] C1[5.0943] C2[21.8402]</t>
  </si>
  <si>
    <t>4(1-2): #[93] s[673.42] d[5.06] s_dot[17.42] s_dot2[-0.79] s_dot3[0.83] d_dot[-3.77] d_dot2[0.89] avg_d_dot[-0.06] C1[2.4454] C2[7.4454]</t>
  </si>
  <si>
    <t>4(1-2): #[135] s[641.89] d[2.19] s_dot[-29.26] s_dot2[-12.18] s_dot3[12.23] d_dot[-0.09] d_dot2[3.55] avg_d_dot[-0.00] C1[126.3524] C2[126.3565]</t>
  </si>
  <si>
    <t>4(1-2): #[86] s[669.63] d[5.04] s_dot[15.05] s_dot2[-2.07] s_dot3[2.12] d_dot[-3.90] d_dot2[1.58] avg_d_dot[-0.08] C1[4.2149] C2[21.2809]</t>
  </si>
  <si>
    <t>4(1-2): #[91] s[673.24] d[5.02] s_dot[18.41] s_dot2[-0.37] s_dot3[0.42] d_dot[-3.97] d_dot2[0.89] avg_d_dot[-0.07] C1[1.7917] C2[6.7917]</t>
  </si>
  <si>
    <t>1(1-1): #[50] s[657.54] d[2.26] s_dot[19.17] s_dot2[-0.33] s_dot3[0.38] d_dot[0.00] d_dot2[0.21] avg_d_dot[0.00] C1[0.9134] C2[8.7157]</t>
  </si>
  <si>
    <t>1(1-1): #[50] s[657.54] d[2.26] s_dot[19.19] s_dot2[-0.26] s_dot3[0.30] d_dot[0.00] d_dot2[0.21] avg_d_dot[0.00] C1[0.8972] C2[8.7102]</t>
  </si>
  <si>
    <t>1(1-1): #[50] s[657.62] d[2.26] s_dot[19.47] s_dot2[1.36] s_dot3[1.31] d_dot[0.00] d_dot2[0.21] avg_d_dot[0.00] C1[0.8929] C2[8.9202]</t>
  </si>
  <si>
    <t>1(1-1): #[50] s[657.59] d[2.26] s_dot[19.35] s_dot2[0.71] s_dot3[0.67] d_dot[0.00] d_dot2[0.21] avg_d_dot[0.00] C1[0.8684] C2[8.8131]</t>
  </si>
  <si>
    <t>1(1-1): #[50] s[657.56] d[2.26] s_dot[19.27] s_dot2[0.23] s_dot3[0.18] d_dot[0.00] d_dot2[0.21] avg_d_dot[0.00] C1[0.8503] C2[8.7304]</t>
  </si>
  <si>
    <t>1(1-1): #[50] s[657.46] d[2.26] s_dot[18.91] s_dot2[-1.88] s_dot3[1.92] d_dot[0.00] d_dot2[0.21] avg_d_dot[0.00] C1[1.2454] C2[8.8149]</t>
  </si>
  <si>
    <t>1(1-1): #[50] s[657.38] d[2.25] s_dot[18.63] s_dot2[-3.49] s_dot3[3.54] d_dot[0.00] d_dot2[0.21] avg_d_dot[0.00] C1[1.5978] C2[8.8879]</t>
  </si>
  <si>
    <t>Sheet13</t>
  </si>
  <si>
    <t>Same Lane Keep Speed or Break</t>
  </si>
  <si>
    <t>1(2-2): #[50] s[5071.11] d[5.80] s_dot[16.03] s_dot2[-0.00] s_dot3[0.02] d_dot[0.00] d_dot2[0.00] avg_d_dot[0.00] C1[2.7861] C2[2.9501]</t>
  </si>
  <si>
    <t>5(2-1): #[111] s[5084.05] d[2.99] s_dot[1.33] s_dot2[-4.94] s_dot3[4.91] d_dot[0.40] d_dot2[2.22] avg_d_dot[0.01] C1[81.5937] C2[81.5937]</t>
  </si>
  <si>
    <t>5(2-1): #[94] s[5088.39] d[2.97] s_dot[13.81] s_dot2[-0.97] s_dot3[0.94] d_dot[3.17] d_dot2[0.99] avg_d_dot[0.05] C1[5.2532] C2[5.2532]</t>
  </si>
  <si>
    <t>5(2-1): #[102] s[5091.74] d[2.98] s_dot[15.24] s_dot2[-0.31] s_dot3[0.28] d_dot[2.95] d_dot2[0.56] avg_d_dot[0.04] C1[3.9962] C2[3.9962]</t>
  </si>
  <si>
    <t>5(2-1): #[111] s[5084.05] d[3.00] s_dot[1.33] s_dot2[-4.94] s_dot3[4.91] d_dot[0.40] d_dot2[2.22] avg_d_dot[0.01] C1[81.7153] C2[81.7153]</t>
  </si>
  <si>
    <t>5(2-1): #[94] s[5088.39] d[2.97] s_dot[13.81] s_dot2[-0.98] s_dot3[0.94] d_dot[3.17] d_dot2[0.99] avg_d_dot[0.05] C1[5.2557] C2[5.2557]</t>
  </si>
  <si>
    <t>5(2-1): #[102] s[5091.73] d[2.98] s_dot[15.24] s_dot2[-0.31] s_dot3[0.28] d_dot[2.95] d_dot2[0.56] avg_d_dot[0.04] C1[3.9985] C2[3.9985]</t>
  </si>
  <si>
    <t>5(2-1): #[100] s[5084.06] d[2.99] s_dot[4.32] s_dot2[-4.62] s_dot3[4.59] d_dot[1.30] d_dot2[2.22] avg_d_dot[0.02] C1[30.9964] C2[30.9964]</t>
  </si>
  <si>
    <t>5(2-1): #[93] s[5088.53] d[2.93] s_dot[14.57] s_dot2[-0.65] s_dot3[0.62] d_dot[3.35] d_dot2[0.99] avg_d_dot[0.06] C1[4.5086] C2[4.5086]</t>
  </si>
  <si>
    <t>5(2-1): #[100] s[5091.65] d[2.99] s_dot[16.08] s_dot2[0.01] s_dot3[0.05] d_dot[3.11] d_dot2[0.56] avg_d_dot[0.05] C1[3.3065] C2[3.3065]</t>
  </si>
  <si>
    <t>4(2-3): #[136] s[5068.87] d[5.45] s_dot[-18.10] s_dot2[-8.58] s_dot3[8.55] d_dot[-0.03] d_dot2[2.93] avg_d_dot[-0.00] C1[125.9080] C2[125.9080]</t>
  </si>
  <si>
    <t>4(2-3): #[136] s[5096.41] d[7.61] s_dot[9.31] s_dot2[-1.69] s_dot3[1.66] d_dot[-0.82] d_dot2[1.30] avg_d_dot[-0.01] C1[34.8588] C2[34.8588]</t>
  </si>
  <si>
    <t>4(2-3): #[136] s[5101.05] d[7.06] s_dot[13.92] s_dot2[-0.54] s_dot3[0.50] d_dot[-0.72] d_dot2[0.73] avg_d_dot[-0.01] C1[28.4316] C2[28.4316]</t>
  </si>
  <si>
    <t>4(2-3): #[136] s[5068.86] d[5.45] s_dot[-18.10] s_dot2[-8.58] s_dot3[8.55] d_dot[-0.03] d_dot2[2.93] avg_d_dot[-0.00] C1[125.9081] C2[125.9081]</t>
  </si>
  <si>
    <t>4(2-3): #[136] s[5096.41] d[7.61] s_dot[9.30] s_dot2[-1.69] s_dot3[1.66] d_dot[-0.82] d_dot2[1.30] avg_d_dot[-0.01] C1[34.8672] C2[34.8672]</t>
  </si>
  <si>
    <t>4(2-3): #[136] s[5101.04] d[7.06] s_dot[13.92] s_dot2[-0.54] s_dot3[0.50] d_dot[-0.72] d_dot2[0.73] avg_d_dot[-0.01] C1[28.4357] C2[28.4357]</t>
  </si>
  <si>
    <t>4(2-3): #[136] s[5070.15] d[5.45] s_dot[-16.82] s_dot2[-8.26] s_dot3[8.23] d_dot[-0.03] d_dot2[2.93] avg_d_dot[-0.00] C1[125.8678] C2[125.8678]</t>
  </si>
  <si>
    <t>4(2-3): #[136] s[5097.69] d[7.72] s_dot[10.59] s_dot2[-1.37] s_dot3[1.34] d_dot[-0.84] d_dot2[1.30] avg_d_dot[-0.01] C1[32.5774] C2[32.5774]</t>
  </si>
  <si>
    <t>4(2-3): #[136] s[5102.33] d[7.12] s_dot[15.20] s_dot2[-0.21] s_dot3[0.18] d_dot[-0.70] d_dot2[0.73] avg_d_dot[-0.01] C1[27.2838] C2[27.2838]</t>
  </si>
  <si>
    <t>1(2-2): #[50] s[5075.26] d[5.41] s_dot[16.05] s_dot2[-0.00] s_dot3[0.03] d_dot[0.00] d_dot2[0.00] avg_d_dot[0.00] C1[2.7746] C2[5.1473]</t>
  </si>
  <si>
    <t>1(2-2): #[50] s[5075.26] d[5.41] s_dot[16.04] s_dot2[-0.05] s_dot3[0.02] d_dot[0.00] d_dot2[0.00] avg_d_dot[0.00] C1[2.7873] C2[5.0996]</t>
  </si>
  <si>
    <t>1(2-2): #[50] s[5075.33] d[5.41] s_dot[16.30] s_dot2[1.57] s_dot3[1.60] d_dot[0.00] d_dot2[0.00] avg_d_dot[0.00] C1[2.7916] C2[6.7963]</t>
  </si>
  <si>
    <t>1(2-2): #[50] s[5075.30] d[5.41] s_dot[16.20] s_dot2[0.92] s_dot3[0.95] d_dot[0.00] d_dot2[0.00] avg_d_dot[0.00] C1[2.7840] C2[6.1503]</t>
  </si>
  <si>
    <t>1(2-2): #[50] s[5075.28] d[5.41] s_dot[16.12] s_dot2[0.43] s_dot3[0.47] d_dot[0.00] d_dot2[0.00] avg_d_dot[0.00] C1[2.7788] C2[5.6337]</t>
  </si>
  <si>
    <t>1(2-2): #[50] s[5075.19] d[5.41] s_dot[15.78] s_dot2[-1.67] s_dot3[1.64] d_dot[0.00] d_dot2[0.00] avg_d_dot[0.00] C1[3.1800] C2[3.4200]</t>
  </si>
  <si>
    <t>1(2-2): #[50] s[5075.12] d[5.41] s_dot[15.52] s_dot2[-3.29] s_dot3[3.26] d_dot[0.00] d_dot2[0.00] avg_d_dot[0.00] C1[3.5788] C2[3.7687]</t>
  </si>
  <si>
    <t>Sheet14</t>
  </si>
  <si>
    <t>Same Lane or Change Right</t>
  </si>
  <si>
    <t>1(2-2): #[50] s[1900.73] d[6.12] s_dot[20.22] s_dot2[0.00] s_dot3[0.06] d_dot[0.00] d_dot2[0.00] avg_d_dot[0.00] C1[0.3579] C2[1.9106]</t>
  </si>
  <si>
    <t>5(2-1): #[137] s[1869.81] d[6.06] s_dot[-50.77] s_dot2[-17.83] s_dot3[17.80] d_dot[0.13] d_dot2[4.22] avg_d_dot[0.00] C1[127.0706] C2[127.0706]</t>
  </si>
  <si>
    <t>5(2-1): #[109] s[1922.52] d[2.98] s_dot[10.13] s_dot2[-3.52] s_dot3[3.49] d_dot[2.08] d_dot2[1.88] avg_d_dot[0.03] C1[10.3857] C2[70.3857]</t>
  </si>
  <si>
    <t>5(2-1): #[107] s[1926.83] d[2.98] s_dot[17.11] s_dot2[-1.11] s_dot3[1.08] d_dot[2.98] d_dot2[1.06] avg_d_dot[0.04] C1[2.8151] C2[2.8151]</t>
  </si>
  <si>
    <t>5(2-1): #[137] s[1869.80] d[6.06] s_dot[-50.77] s_dot2[-17.83] s_dot3[17.80] d_dot[0.13] d_dot2[4.22] avg_d_dot[0.00] C1[127.0707] C2[127.0707]</t>
  </si>
  <si>
    <t>5(2-1): #[109] s[1922.52] d[2.98] s_dot[10.13] s_dot2[-3.52] s_dot3[3.49] d_dot[2.08] d_dot2[1.88] avg_d_dot[0.03] C1[10.3905] C2[70.3905]</t>
  </si>
  <si>
    <t>5(2-1): #[107] s[1926.83] d[2.98] s_dot[17.10] s_dot2[-1.11] s_dot3[1.08] d_dot[2.98] d_dot2[1.06] avg_d_dot[0.04] C1[2.8170] C2[2.8170]</t>
  </si>
  <si>
    <t>5(2-1): #[137] s[1871.10] d[6.07] s_dot[-49.48] s_dot2[-17.51] s_dot3[17.48] d_dot[0.12] d_dot2[4.22] avg_d_dot[0.00] C1[127.0303] C2[127.0303]</t>
  </si>
  <si>
    <t>5(2-1): #[106] s[1922.52] d[2.98] s_dot[11.44] s_dot2[-3.20] s_dot3[3.17] d_dot[2.35] d_dot2[1.88] avg_d_dot[0.03] C1[8.3410] C2[68.3410]</t>
  </si>
  <si>
    <t>5(2-1): #[105] s[1926.74] d[2.99] s_dot[18.07] s_dot2[-0.79] s_dot3[0.76] d_dot[3.15] d_dot2[1.06] avg_d_dot[0.05] C1[2.1740] C2[2.1740]</t>
  </si>
  <si>
    <t>4(2-3): #[137] s[1879.06] d[6.19] s_dot[-41.56] s_dot2[-15.52] s_dot3[15.49] d_dot[-0.10] d_dot2[3.94] avg_d_dot[-0.00] C1[126.7816] C2[126.7816]</t>
  </si>
  <si>
    <t>4(2-3): #[125] s[1926.79] d[9.01] s_dot[9.48] s_dot2[-3.06] s_dot3[3.03] d_dot[-1.09] d_dot2[1.75] avg_d_dot[-0.01] C1[11.6321] C2[11.6321]</t>
  </si>
  <si>
    <t>4(2-3): #[137] s[1937.26] d[8.77] s_dot[16.35] s_dot2[-0.97] s_dot3[0.94] d_dot[-0.74] d_dot2[0.98] avg_d_dot[-0.01] C1[3.5280] C2[3.5280]</t>
  </si>
  <si>
    <t>4(2-3): #[137] s[1879.05] d[6.19] s_dot[-41.57] s_dot2[-15.52] s_dot3[15.49] d_dot[-0.10] d_dot2[3.94] avg_d_dot[-0.00] C1[126.7817] C2[126.7817]</t>
  </si>
  <si>
    <t>4(2-3): #[125] s[1926.79] d[9.01] s_dot[9.47] s_dot2[-3.07] s_dot3[3.03] d_dot[-1.09] d_dot2[1.75] avg_d_dot[-0.01] C1[11.6387] C2[11.6387]</t>
  </si>
  <si>
    <t>4(2-3): #[137] s[1937.26] d[8.77] s_dot[16.34] s_dot2[-0.97] s_dot3[0.94] d_dot[-0.74] d_dot2[0.98] avg_d_dot[-0.01] C1[3.5308] C2[3.5308]</t>
  </si>
  <si>
    <t>4(2-3): #[137] s[1880.35] d[6.19] s_dot[-40.28] s_dot2[-15.20] s_dot3[15.17] d_dot[-0.10] d_dot2[3.94] avg_d_dot[-0.00] C1[126.7412] C2[126.7412]</t>
  </si>
  <si>
    <t>4(2-3): #[120] s[1926.71] d[9.01] s_dot[11.15] s_dot2[-2.74] s_dot3[2.71] d_dot[-1.29] d_dot2[1.75] avg_d_dot[-0.02] C1[8.7932] C2[8.7932]</t>
  </si>
  <si>
    <t>4(2-3): #[137] s[1938.55] d[8.82] s_dot[17.63] s_dot2[-0.65] s_dot3[0.62] d_dot[-0.64] d_dot2[0.98] avg_d_dot[-0.01] C1[2.6547] C2[2.6547]</t>
  </si>
  <si>
    <t>1(2-2): #[50] s[1905.58] d[6.12] s_dot[20.20] s_dot2[0.00] s_dot3[0.03] d_dot[0.00] d_dot2[0.00] avg_d_dot[0.00] C1[0.3680] C2[2.2408]</t>
  </si>
  <si>
    <t>1(2-2): #[50] s[1905.58] d[6.12] s_dot[20.19] s_dot2[-0.05] s_dot3[0.02] d_dot[0.00] d_dot2[0.00] avg_d_dot[0.00] C1[0.3777] C2[2.2501]</t>
  </si>
  <si>
    <t>1(2-2): #[50] s[1905.64] d[6.12] s_dot[20.43] s_dot2[1.57] s_dot3[1.60] d_dot[0.00] d_dot2[0.00] avg_d_dot[0.00] C1[0.4567] C2[9.3824]</t>
  </si>
  <si>
    <t>1(2-2): #[50] s[1905.61] d[6.12] s_dot[20.34] s_dot2[0.92] s_dot3[0.95] d_dot[0.00] d_dot2[0.00] avg_d_dot[0.00] C1[0.4198] C2[6.2262]</t>
  </si>
  <si>
    <t>1(2-2): #[50] s[1905.59] d[6.12] s_dot[20.27] s_dot2[0.44] s_dot3[0.47] d_dot[0.00] d_dot2[0.00] avg_d_dot[0.00] C1[0.3924] C2[3.6551]</t>
  </si>
  <si>
    <t>1(2-2): #[50] s[1905.52] d[6.12] s_dot[19.95] s_dot2[-1.67] s_dot3[1.64] d_dot[0.00] d_dot2[0.00] avg_d_dot[0.00] C1[0.6932] C2[2.5505]</t>
  </si>
  <si>
    <t>1(2-2): #[50] s[1905.46] d[6.12] s_dot[19.71] s_dot2[-3.29] s_dot3[3.26] d_dot[0.00] d_dot2[0.00] avg_d_dot[0.00] C1[1.0113] C2[2.8537]</t>
  </si>
  <si>
    <t>Side Collision</t>
  </si>
  <si>
    <t>Sheet15</t>
  </si>
  <si>
    <t>Same Lane Keep Speed or Change Right</t>
  </si>
  <si>
    <t>1(2-2): #[50] s[953.17] d[6.00] s_dot[18.40] s_dot2[0.00] s_dot3[0.24] d_dot[0.00] d_dot2[0.00] avg_d_dot[0.00] C1[1.2881] C2[4.9751]</t>
  </si>
  <si>
    <t>5(2-1): #[135] s[944.39] d[5.96] s_dot[-27.00] s_dot2[-11.42] s_dot3[11.32] d_dot[0.06] d_dot2[3.38] avg_d_dot[0.00] C1[126.2564] C2[141.1992]</t>
  </si>
  <si>
    <t>5(2-1): #[109] s[975.54] d[2.99] s_dot[11.83] s_dot2[-2.25] s_dot3[2.16] d_dot[2.12] d_dot2[1.50] avg_d_dot[0.03] C1[7.7302] C2[16.4368]</t>
  </si>
  <si>
    <t>5(2-1): #[117] s[981.52] d[2.97] s_dot[16.14] s_dot2[-0.71] s_dot3[0.61] d_dot[2.22] d_dot2[0.85] avg_d_dot[0.03] C1[3.4986] C2[5.4986]</t>
  </si>
  <si>
    <t>5(2-1): #[135] s[944.36] d[5.96] s_dot[-27.03] s_dot2[-11.43] s_dot3[11.33] d_dot[0.06] d_dot2[3.38] avg_d_dot[0.00] C1[126.2574] C2[141.1859]</t>
  </si>
  <si>
    <t>5(2-1): #[109] s[975.52] d[2.99] s_dot[11.81] s_dot2[-2.26] s_dot3[2.16] d_dot[2.12] d_dot2[1.50] avg_d_dot[0.03] C1[7.7629] C2[16.4831]</t>
  </si>
  <si>
    <t>5(2-1): #[117] s[981.50] d[2.97] s_dot[16.11] s_dot2[-0.71] s_dot3[0.62] d_dot[2.22] d_dot2[0.85] avg_d_dot[0.03] C1[3.5193] C2[5.5193]</t>
  </si>
  <si>
    <t>5(2-1): #[135] s[945.39] d[5.96] s_dot[-26.00] s_dot2[-11.17] s_dot3[11.07] d_dot[0.06] d_dot2[3.38] avg_d_dot[0.00] C1[126.2251] C2[141.6243]</t>
  </si>
  <si>
    <t>5(2-1): #[107] s[975.58] d[2.98] s_dot[12.73] s_dot2[-2.00] s_dot3[1.91] d_dot[2.28] d_dot2[1.50] avg_d_dot[0.03] C1[6.6179] C2[14.7446]</t>
  </si>
  <si>
    <t>5(2-1): #[115] s[981.51] d[2.97] s_dot[16.99] s_dot2[-0.46] s_dot3[0.36] d_dot[2.34] d_dot2[0.85] avg_d_dot[0.03] C1[2.8735] C2[4.8735]</t>
  </si>
  <si>
    <t>4(2-3): #[135] s[943.24] d[6.00] s_dot[-28.14] s_dot2[-11.70] s_dot3[11.61] d_dot[-0.06] d_dot2[3.42] avg_d_dot[-0.00] C1[126.2923] C2[137.7578]</t>
  </si>
  <si>
    <t>4(2-3): #[118] s[977.43] d[9.02] s_dot[10.84] s_dot2[-2.31] s_dot3[2.21] d_dot[-1.68] d_dot2[1.52] avg_d_dot[-0.02] C1[9.1864] C2[17.3904]</t>
  </si>
  <si>
    <t>4(2-3): #[128] s[984.97] d[9.02] s_dot[15.77] s_dot2[-0.72] s_dot3[0.63] d_dot[-1.71] d_dot2[0.86] avg_d_dot[-0.02] C1[3.8569] C2[11.3317]</t>
  </si>
  <si>
    <t>4(2-3): #[135] s[943.21] d[6.00] s_dot[-28.17] s_dot2[-11.71] s_dot3[11.62] d_dot[-0.06] d_dot2[3.42] avg_d_dot[-0.00] C1[126.2934] C2[137.7592]</t>
  </si>
  <si>
    <t>4(2-3): #[118] s[977.41] d[9.01] s_dot[10.81] s_dot2[-2.31] s_dot3[2.22] d_dot[-1.67] d_dot2[1.52] avg_d_dot[-0.02] C1[9.2292] C2[17.4677]</t>
  </si>
  <si>
    <t>4(2-3): #[128] s[984.94] d[9.01] s_dot[15.73] s_dot2[-0.73] s_dot3[0.64] d_dot[-1.70] d_dot2[0.86] avg_d_dot[-0.02] C1[3.8813] C2[11.3342]</t>
  </si>
  <si>
    <t>4(2-3): #[135] s[944.24] d[5.99] s_dot[-27.15] s_dot2[-11.45] s_dot3[11.36] d_dot[-0.06] d_dot2[3.42] avg_d_dot[-0.00] C1[126.2611] C2[137.7139]</t>
  </si>
  <si>
    <t>4(2-3): #[115] s[977.42] d[9.01] s_dot[11.91] s_dot2[-2.06] s_dot3[1.96] d_dot[-1.84] d_dot2[1.52] avg_d_dot[-0.02] C1[7.6626] C2[13.6861]</t>
  </si>
  <si>
    <t>4(2-3): #[125] s[984.83] d[9.00] s_dot[16.75] s_dot2[-0.47] s_dot3[0.38] d_dot[-1.82] d_dot2[0.86] avg_d_dot[-0.02] C1[3.1138] C2[10.4859]</t>
  </si>
  <si>
    <t>1(2-2): #[50] s[958.34] d[5.97] s_dot[18.44] s_dot2[0.00] s_dot3[0.09] d_dot[0.00] d_dot2[0.00] avg_d_dot[0.00] C1[1.2623] C2[8.0107]</t>
  </si>
  <si>
    <t>1(2-2): #[50] s[958.33] d[5.97] s_dot[18.42] s_dot2[-0.15] s_dot3[0.06] d_dot[0.00] d_dot2[0.00] avg_d_dot[0.00] C1[1.2952] C2[7.1177]</t>
  </si>
  <si>
    <t>1(2-2): #[50] s[958.41] d[5.97] s_dot[18.70] s_dot2[1.47] s_dot3[1.56] d_dot[0.00] d_dot2[0.00] avg_d_dot[0.00] C1[1.3069] C2[16.0477]</t>
  </si>
  <si>
    <t>1(2-2): #[50] s[958.38] d[5.97] s_dot[18.58] s_dot2[0.82] s_dot3[0.91] d_dot[0.00] d_dot2[0.00] avg_d_dot[0.00] C1[1.2868] C2[12.7461]</t>
  </si>
  <si>
    <t>1(2-2): #[50] s[958.35] d[5.97] s_dot[18.50] s_dot2[0.34] s_dot3[0.43] d_dot[0.00] d_dot2[0.00] avg_d_dot[0.00] C1[1.2722] C2[10.0307]</t>
  </si>
  <si>
    <t>1(2-2): #[50] s[958.25] d[5.97] s_dot[18.14] s_dot2[-1.77] s_dot3[1.67] d_dot[0.00] d_dot2[0.00] avg_d_dot[0.00] C1[1.6553] C2[5.5421]</t>
  </si>
  <si>
    <t>1(2-2): #[50] s[958.17] d[5.97] s_dot[17.86] s_dot2[-3.38] s_dot3[3.29] d_dot[0.00] d_dot2[0.00] avg_d_dot[0.00] C1[2.0201] C2[5.8864]</t>
  </si>
  <si>
    <t>Sheet16</t>
  </si>
  <si>
    <t>Same Lane Keep or Increase Accel</t>
  </si>
  <si>
    <t>1(1-1): #[50] s[748.50] d[1.89] s_dot[17.56] s_dot2[-0.00] s_dot3[0.75] d_dot[0.00] d_dot2[0.00] avg_d_dot[0.00] C1[2.2151] C2[4.2151]</t>
  </si>
  <si>
    <t>4(1-2): #[137] s[745.31] d[1.90] s_dot[-20.51] s_dot2[-9.57] s_dot3[10.26] d_dot[-0.04] d_dot2[3.17] avg_d_dot[-0.00] C1[177.3001] C2[190.5784]</t>
  </si>
  <si>
    <t>4(1-2): #[117] s[772.70] d[5.03] s_dot[12.78] s_dot2[-1.51] s_dot3[2.20] d_dot[-2.04] d_dot2[1.41] avg_d_dot[-0.03] C1[9.0619] C2[18.3818]</t>
  </si>
  <si>
    <t>4(1-2): #[125] s[778.90] d[5.00] s_dot[17.04] s_dot2[-0.15] s_dot3[0.84] d_dot[-2.05] d_dot2[0.79] avg_d_dot[-0.02] C1[4.5477] C2[9.6105]</t>
  </si>
  <si>
    <t>4(1-2): #[137] s[743.39] d[1.90] s_dot[-22.42] s_dot2[-10.05] s_dot3[10.74] d_dot[-0.05] d_dot2[3.17] avg_d_dot[-0.00] C1[177.3599] C2[190.2230]</t>
  </si>
  <si>
    <t>4(1-2): #[122] s[772.57] d[5.01] s_dot[10.86] s_dot2[-1.98] s_dot3[2.68] d_dot[-1.74] d_dot2[1.41] avg_d_dot[-0.02] C1[12.2943] C2[22.1940]</t>
  </si>
  <si>
    <t>4(1-2): #[130] s[778.95] d[5.01] s_dot[15.24] s_dot2[-0.63] s_dot3[1.32] d_dot[-1.83] d_dot2[0.79] avg_d_dot[-0.02] C1[6.3037] C2[14.1509]</t>
  </si>
  <si>
    <t>4(1-2): #[137] s[750.07] d[1.94] s_dot[-15.78] s_dot2[-8.38] s_dot3[9.07] d_dot[1.03] d_dot2[3.17] avg_d_dot[0.01] C1[177.1513] C2[191.9164]</t>
  </si>
  <si>
    <t>4(1-2): #[108] s[772.76] d[5.04] s_dot[16.67] s_dot2[-0.32] s_dot3[1.01] d_dot[-2.66] d_dot2[1.41] avg_d_dot[-0.04] C1[4.5329] C2[10.4309]</t>
  </si>
  <si>
    <t>4(1-2): #[117] s[779.22] d[5.04] s_dot[20.87] s_dot2[1.04] s_dot3[0.35] d_dot[-2.49] d_dot2[0.79] avg_d_dot[-0.03] C1[1.9653] C2[3.9653]</t>
  </si>
  <si>
    <t>1(1-1): #[50] s[752.67] d[1.89] s_dot[17.56] s_dot2[-0.00] s_dot3[0.69] d_dot[0.00] d_dot2[0.00] avg_d_dot[0.00] C1[2.2151] C2[4.2151]</t>
  </si>
  <si>
    <t>1(1-1): #[50] s[752.71] d[1.89] s_dot[17.73] s_dot2[1.12] s_dot3[0.43] d_dot[0.00] d_dot2[0.00] avg_d_dot[0.00] C1[2.2300] C2[4.2300]</t>
  </si>
  <si>
    <t>1(1-1): #[50] s[752.76] d[1.89] s_dot[17.97] s_dot2[2.74] s_dot3[2.05] d_dot[0.00] d_dot2[0.00] avg_d_dot[0.00] C1[2.2554] C2[4.2554]</t>
  </si>
  <si>
    <t>1(1-1): #[50] s[752.74] d[1.89] s_dot[17.87] s_dot2[2.09] s_dot3[1.40] d_dot[0.00] d_dot2[0.00] avg_d_dot[0.00] C1[2.2447] C2[4.2447]</t>
  </si>
  <si>
    <t>1(1-1): #[50] s[752.72] d[1.89] s_dot[17.80] s_dot2[1.60] s_dot3[0.91] d_dot[0.00] d_dot2[0.00] avg_d_dot[0.00] C1[2.2371] C2[4.2371]</t>
  </si>
  <si>
    <t>1(1-1): #[50] s[752.65] d[1.89] s_dot[17.49] s_dot2[-0.50] s_dot3[1.19] d_dot[0.00] d_dot2[0.00] avg_d_dot[0.00] C1[2.3339] C2[4.3339]</t>
  </si>
  <si>
    <t>1(1-1): #[50] s[752.59] d[1.89] s_dot[17.25] s_dot2[-2.12] s_dot3[2.81] d_dot[0.00] d_dot2[0.00] avg_d_dot[0.00] C1[2.7224] C2[4.7224]</t>
  </si>
  <si>
    <t>Sheet17</t>
  </si>
  <si>
    <t>1(2-2): #[50] s[316.38] d[6.54] s_dot[22.36] s_dot2[0.00] s_dot3[0.13] d_dot[0.00] d_dot2[0.00] avg_d_dot[0.00] C1[30.0000] C2[32.0000]</t>
  </si>
  <si>
    <t>5(2-1): #[124] s[265.27] d[5.77] s_dot[-73.07] s_dot2[-24.00] s_dot3[24.16] d_dot[0.18] d_dot2[4.90] avg_d_dot[0.00] C1[178.8870] C2[310.1401]</t>
  </si>
  <si>
    <t>5(2-1): #[124] s[342.38] d[3.95] s_dot[3.66] s_dot2[-4.72] s_dot3[4.88] d_dot[0.15] d_dot2[2.18] avg_d_dot[0.00] C1[46.8157] C2[174.4670]</t>
  </si>
  <si>
    <t>5(2-1): #[124] s[355.36] d[5.10] s_dot[16.57] s_dot2[-1.47] s_dot3[1.64] d_dot[-1.24] d_dot2[1.23] avg_d_dot[-0.01] C1[28.0869] C2[150.0869]</t>
  </si>
  <si>
    <t>5(2-1): #[124] s[265.17] d[5.77] s_dot[-73.17] s_dot2[-24.02] s_dot3[24.19] d_dot[0.18] d_dot2[4.90] avg_d_dot[0.00] C1[178.8903] C2[310.1443]</t>
  </si>
  <si>
    <t>5(2-1): #[124] s[342.28] d[3.95] s_dot[3.55] s_dot2[-4.75] s_dot3[4.91] d_dot[0.15] d_dot2[2.18] avg_d_dot[0.00] C1[48.1331] C2[175.8133]</t>
  </si>
  <si>
    <t>5(2-1): #[124] s[355.25] d[5.09] s_dot[16.46] s_dot2[-1.50] s_dot3[1.66] d_dot[-1.21] d_dot2[1.23] avg_d_dot[-0.01] C1[28.1810] C2[150.1810]</t>
  </si>
  <si>
    <t>5(2-1): #[124] s[267.50] d[5.78] s_dot[-70.85] s_dot2[-23.44] s_dot3[23.60] d_dot[0.17] d_dot2[4.90] avg_d_dot[0.00] C1[178.8174] C2[310.0523]</t>
  </si>
  <si>
    <t>5(2-1): #[124] s[344.61] d[3.89] s_dot[5.87] s_dot2[-4.16] s_dot3[4.33] d_dot[0.09] d_dot2[2.18] avg_d_dot[0.00] C1[28.6311] C2[155.5797]</t>
  </si>
  <si>
    <t>5(2-1): #[124] s[357.58] d[5.29] s_dot[18.78] s_dot2[-0.92] s_dot3[1.08] d_dot[-1.85] d_dot2[1.23] avg_d_dot[-0.02] C1[26.3493] C2[148.3493]</t>
  </si>
  <si>
    <t>4(2-3): #[124] s[254.56] d[6.11] s_dot[-83.73] s_dot2[-26.67] s_dot3[26.84] d_dot[-0.30] d_dot2[5.17] avg_d_dot[-0.00] C1[179.2218] C2[315.4196]</t>
  </si>
  <si>
    <t>4(2-3): #[79] s[334.72] d[9.05] s_dot[11.00] s_dot2[-5.25] s_dot3[5.41] d_dot[-2.98] d_dot2[2.30] avg_d_dot[-0.05] C1[11.4389] C2[137.6237]</t>
  </si>
  <si>
    <t>4(2-3): #[76] s[337.94] d[9.07] s_dot[19.05] s_dot2[-1.64] s_dot3[1.81] d_dot[-4.55] d_dot2[1.29] avg_d_dot[-0.09] C1[2.1349] C2[124.1349]</t>
  </si>
  <si>
    <t>4(2-3): #[124] s[254.45] d[6.11] s_dot[-83.83] s_dot2[-26.70] s_dot3[26.86] d_dot[-0.30] d_dot2[5.17] avg_d_dot[-0.00] C1[179.2251] C2[315.3576]</t>
  </si>
  <si>
    <t>4(2-3): #[79] s[334.68] d[9.04] s_dot[10.94] s_dot2[-5.27] s_dot3[5.44] d_dot[-2.96] d_dot2[2.30] avg_d_dot[-0.05] C1[11.5488] C2[137.7727]</t>
  </si>
  <si>
    <t>4(2-3): #[76] s[337.91] d[9.07] s_dot[19.00] s_dot2[-1.67] s_dot3[1.83] d_dot[-4.53] d_dot2[1.29] avg_d_dot[-0.09] C1[2.1742] C2[124.1742]</t>
  </si>
  <si>
    <t>4(2-3): #[124] s[256.78] d[6.11] s_dot[-81.51] s_dot2[-26.12] s_dot3[26.28] d_dot[-0.29] d_dot2[5.17] avg_d_dot[-0.00] C1[179.1522] C2[317.0108]</t>
  </si>
  <si>
    <t>4(2-3): #[76] s[334.64] d[9.03] s_dot[12.77] s_dot2[-4.69] s_dot3[4.85] d_dot[-3.46] d_dot2[2.30] avg_d_dot[-0.07] C1[8.4720] C2[133.1409]</t>
  </si>
  <si>
    <t>4(2-3): #[74] s[337.74] d[9.02] s_dot[20.29] s_dot2[-1.09] s_dot3[1.25] d_dot[-4.83] d_dot2[1.29] avg_d_dot[-0.10] C1[1.2528] C2[123.2528]</t>
  </si>
  <si>
    <t>1(2-2): #[50] s[327.60] d[6.23] s_dot[22.44] s_dot2[0.00] s_dot3[0.16] d_dot[0.00] d_dot2[0.00] avg_d_dot[0.00] C1[30.0000] C2[32.0000]</t>
  </si>
  <si>
    <t>1(2-2): #[50] s[327.64] d[6.23] s_dot[22.52] s_dot2[0.26] s_dot3[0.10] d_dot[0.00] d_dot2[0.00] avg_d_dot[0.00] C1[30.0331] C2[32.0331]</t>
  </si>
  <si>
    <t>1(2-2): #[50] s[327.89] d[6.24] s_dot[23.02] s_dot2[1.88] s_dot3[1.72] d_dot[0.00] d_dot2[0.00] avg_d_dot[0.00] C1[30.2353] C2[32.2353]</t>
  </si>
  <si>
    <t>1(2-2): #[50] s[327.79] d[6.24] s_dot[22.82] s_dot2[1.24] s_dot3[1.07] d_dot[0.00] d_dot2[0.00] avg_d_dot[0.00] C1[30.1544] C2[32.1544]</t>
  </si>
  <si>
    <t>1(2-2): #[50] s[327.72] d[6.23] s_dot[22.67] s_dot2[0.75] s_dot3[0.59] d_dot[0.00] d_dot2[0.00] avg_d_dot[0.00] C1[30.0937] C2[32.0937]</t>
  </si>
  <si>
    <t>1(2-2): #[50] s[327.39] d[6.22] s_dot[22.02] s_dot2[-1.35] s_dot3[1.52] d_dot[0.00] d_dot2[0.00] avg_d_dot[0.00] C1[30.1692] C2[32.1692]</t>
  </si>
  <si>
    <t>1(2-2): #[50] s[327.14] d[6.20] s_dot[21.52] s_dot2[-2.97] s_dot3[3.14] d_dot[0.00] d_dot2[0.00] avg_d_dot[0.00] C1[30.3714] C2[32.3714]</t>
  </si>
  <si>
    <t>Sheet18</t>
  </si>
  <si>
    <t>Same Lane Break</t>
  </si>
  <si>
    <t>Same Lane</t>
  </si>
  <si>
    <t>1(2-2): #[50] s[127.40] d[6.17] s_dot[3.40] s_dot2[6.08] s_dot3[4.04] d_dot[0.00] d_dot2[0.00] avg_d_dot[0.00] C1[47.6400] C2[47.6400]</t>
  </si>
  <si>
    <t>5(2-1): #[64] s[143.47] d[2.94] s_dot[41.97] s_dot2[27.79] s_dot3[22.51] d_dot[12.44] d_dot2[0.23] avg_d_dot[0.37] C1[71.4173] C2[191.4173]</t>
  </si>
  <si>
    <t>5(2-1): #[70] s[149.00] d[2.93] s_dot[48.71] s_dot2[27.83] s_dot3[22.56] d_dot[11.20] d_dot2[0.10] avg_d_dot[0.28] C1[71.5921] C2[191.5921]</t>
  </si>
  <si>
    <t>5(2-1): #[74] s[153.12] d[2.85] s_dot[53.18] s_dot2[27.84] s_dot3[22.56] d_dot[10.91] d_dot2[0.06] avg_d_dot[0.25] C1[71.7065] C2[191.7065]</t>
  </si>
  <si>
    <t>5(2-1): #[130] s[136.65] d[4.87] s_dot[4.52] s_dot2[-0.06] s_dot3[5.33] d_dot[1.12] d_dot2[0.23] avg_d_dot[0.01] C1[60.5794] C2[188.4897]</t>
  </si>
  <si>
    <t>5(2-1): #[130] s[136.82] d[5.40] s_dot[4.69] s_dot2[-0.01] s_dot3[5.29] d_dot[0.71] d_dot2[0.10] avg_d_dot[0.01] C1[59.1127] C2[187.0011]</t>
  </si>
  <si>
    <t>5(2-1): #[130] s[136.85] d[5.62] s_dot[4.72] s_dot2[-0.00] s_dot3[5.28] d_dot[0.53] d_dot2[0.06] avg_d_dot[0.01] C1[58.8747] C2[186.7594]</t>
  </si>
  <si>
    <t>5(2-1): #[61] s[143.59] d[2.91] s_dot[46.80] s_dot2[34.48] s_dot3[29.20] d_dot[13.86] d_dot2[0.23] avg_d_dot[0.45] C1[71.3287] C2[191.3287]</t>
  </si>
  <si>
    <t>5(2-1): #[66] s[148.70] d[3.00] s_dot[53.76] s_dot2[34.53] s_dot3[29.25] d_dot[12.34] d_dot2[0.10] avg_d_dot[0.34] C1[71.4759] C2[191.4759]</t>
  </si>
  <si>
    <t>5(2-1): #[70] s[153.29] d[2.82] s_dot[59.30] s_dot2[34.53] s_dot3[29.26] d_dot[12.17] d_dot2[0.06] avg_d_dot[0.30] C1[71.5921] C2[191.5921]</t>
  </si>
  <si>
    <t>4(2-3): #[64] s[143.47] d[9.03] s_dot[41.99] s_dot2[27.80] s_dot3[22.52] d_dot[-9.70] d_dot2[0.21] avg_d_dot[-0.29] C1[71.4173] C2[191.4173]</t>
  </si>
  <si>
    <t>4(2-3): #[130] s[248.21] d[-8.05] s_dot[115.52] s_dot2[27.84] s_dot3[22.56] d_dot[24.99] d_dot2[0.10] avg_d_dot[0.25] C1[95.9921] C2[215.9921]</t>
  </si>
  <si>
    <t>4(2-3): #[130] s[248.23] d[-6.83] s_dot[115.54] s_dot2[27.84] s_dot3[22.56] d_dot[22.60] d_dot2[0.05] avg_d_dot[0.23] C1[95.9921] C2[215.9921]</t>
  </si>
  <si>
    <t>4(2-3): #[130] s[136.68] d[7.42] s_dot[4.55] s_dot2[-0.05] s_dot3[5.32] d_dot[-1.02] d_dot2[0.21] avg_d_dot[-0.01] C1[60.2612] C2[188.2219]</t>
  </si>
  <si>
    <t>4(2-3): #[130] s[136.83] d[6.77] s_dot[4.70] s_dot2[-0.01] s_dot3[5.29] d_dot[-0.51] d_dot2[0.10] avg_d_dot[-0.01] C1[59.0533] C2[186.9966]</t>
  </si>
  <si>
    <t>4(2-3): #[130] s[136.86] d[6.53] s_dot[4.72] s_dot2[-0.00] s_dot3[5.28] d_dot[-0.30] d_dot2[0.05] avg_d_dot[-0.00] C1[58.8561] C2[186.7964]</t>
  </si>
  <si>
    <t>4(2-3): #[61] s[143.59] d[9.06] s_dot[46.81] s_dot2[34.49] s_dot3[29.21] d_dot[-10.78] d_dot2[0.21] avg_d_dot[-0.35] C1[71.3287] C2[191.3287]</t>
  </si>
  <si>
    <t>4(2-3): #[130] s[274.98] d[-13.84] s_dot[142.15] s_dot2[34.53] s_dot3[29.25] d_dot[30.75] d_dot2[0.10] avg_d_dot[0.31] C1[95.9921] C2[215.9921]</t>
  </si>
  <si>
    <t>4(2-3): #[130] s[275.00] d[-12.07] s_dot[142.18] s_dot2[34.53] s_dot3[29.26] d_dot[27.81] d_dot2[0.05] avg_d_dot[0.28] C1[95.9921] C2[215.9921]</t>
  </si>
  <si>
    <t>1(2-2): #[50] s[129.20] d[6.18] s_dot[4.73] s_dot2[0.00] s_dot3[5.28] d_dot[0.00] d_dot2[0.00] avg_d_dot[0.00] C1[33.7733] C2[33.7733]</t>
  </si>
  <si>
    <t>1(2-2): #[50] s[129.96] d[6.18] s_dot[6.74] s_dot2[10.55] s_dot3[5.28] d_dot[0.00] d_dot2[0.00] avg_d_dot[0.00] C1[61.9432] C2[61.9432]</t>
  </si>
  <si>
    <t>1(2-2): #[50] s[130.10] d[6.18] s_dot[7.12] s_dot2[12.55] s_dot3[7.28] d_dot[0.00] d_dot2[0.00] avg_d_dot[0.00] C1[60.3598] C2[60.3598]</t>
  </si>
  <si>
    <t>1(2-2): #[50] s[130.05] d[6.18] s_dot[6.97] s_dot2[11.75] s_dot3[6.48] d_dot[0.00] d_dot2[0.00] avg_d_dot[0.00] C1[60.9750] C2[60.9750]</t>
  </si>
  <si>
    <t>1(2-2): #[50] s[130.00] d[6.18] s_dot[6.85] s_dot2[11.15] s_dot3[5.88] d_dot[0.00] d_dot2[0.00] avg_d_dot[0.00] C1[61.4521] C2[61.4521]</t>
  </si>
  <si>
    <t>1(2-2): #[50] s[129.81] d[6.18] s_dot[6.36] s_dot2[8.55] s_dot3[3.28] d_dot[0.00] d_dot2[0.00] avg_d_dot[0.00] C1[63.6901] C2[63.6901]</t>
  </si>
  <si>
    <t>1(2-2): #[50] s[129.67] d[6.18] s_dot[5.98] s_dot2[6.55] s_dot3[1.28] d_dot[0.00] d_dot2[0.00] avg_d_dot[0.00] C1[25.6272] C2[25.6272]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</si>
</sst>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vertical="center"/>
    </xf>
    <xf numFmtId="0" fontId="0" fillId="0" borderId="0" xfId="0" applyAlignment="1">
      <alignment horizontal="center" wrapText="1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Sheet0!$B$32:$B$33</c:f>
              <c:numCache>
                <c:formatCode>General</c:formatCode>
                <c:ptCount val="2"/>
                <c:pt idx="0">
                  <c:v>2079.56</c:v>
                </c:pt>
                <c:pt idx="1">
                  <c:v>2091.8000000000002</c:v>
                </c:pt>
              </c:numCache>
            </c:numRef>
          </c:xVal>
          <c:yVal>
            <c:numRef>
              <c:f>Sheet0!$C$32:$C$33</c:f>
              <c:numCache>
                <c:formatCode>General</c:formatCode>
                <c:ptCount val="2"/>
                <c:pt idx="0">
                  <c:v>5.96</c:v>
                </c:pt>
                <c:pt idx="1">
                  <c:v>3.95</c:v>
                </c:pt>
              </c:numCache>
            </c:numRef>
          </c:yVal>
          <c:smooth val="0"/>
        </c:ser>
        <c:ser>
          <c:idx val="1"/>
          <c:order val="1"/>
          <c:tx>
            <c:v>Adversary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Sheet0!$B$34</c:f>
              <c:numCache>
                <c:formatCode>General</c:formatCode>
                <c:ptCount val="1"/>
                <c:pt idx="0">
                  <c:v>2093</c:v>
                </c:pt>
              </c:numCache>
            </c:numRef>
          </c:xVal>
          <c:yVal>
            <c:numRef>
              <c:f>Sheet0!$C$34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61160"/>
        <c:axId val="355365080"/>
      </c:scatterChart>
      <c:valAx>
        <c:axId val="355361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65080"/>
        <c:crosses val="autoZero"/>
        <c:crossBetween val="midCat"/>
      </c:valAx>
      <c:valAx>
        <c:axId val="35536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61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Sheet2!$B$45:$B$56</c:f>
              <c:numCache>
                <c:formatCode>General</c:formatCode>
                <c:ptCount val="12"/>
                <c:pt idx="0">
                  <c:v>169.32593700000001</c:v>
                </c:pt>
                <c:pt idx="1">
                  <c:v>397.49980900000003</c:v>
                </c:pt>
                <c:pt idx="2">
                  <c:v>355.68035200000003</c:v>
                </c:pt>
                <c:pt idx="3">
                  <c:v>391.23416600000002</c:v>
                </c:pt>
                <c:pt idx="4">
                  <c:v>157.97602800000001</c:v>
                </c:pt>
                <c:pt idx="5">
                  <c:v>357.96424999999999</c:v>
                </c:pt>
                <c:pt idx="6">
                  <c:v>334.21799199999998</c:v>
                </c:pt>
                <c:pt idx="7">
                  <c:v>143.04671300000001</c:v>
                </c:pt>
                <c:pt idx="8">
                  <c:v>304.059349</c:v>
                </c:pt>
                <c:pt idx="9">
                  <c:v>101.531802</c:v>
                </c:pt>
                <c:pt idx="10">
                  <c:v>132.428504</c:v>
                </c:pt>
                <c:pt idx="11">
                  <c:v>101.955281</c:v>
                </c:pt>
              </c:numCache>
            </c:numRef>
          </c:xVal>
          <c:yVal>
            <c:numRef>
              <c:f>Sheet2!$C$45:$C$56</c:f>
              <c:numCache>
                <c:formatCode>General</c:formatCode>
                <c:ptCount val="12"/>
                <c:pt idx="0">
                  <c:v>10.182410000000001</c:v>
                </c:pt>
                <c:pt idx="1">
                  <c:v>9.9901160000000004</c:v>
                </c:pt>
                <c:pt idx="2">
                  <c:v>1.613426</c:v>
                </c:pt>
                <c:pt idx="3">
                  <c:v>1.975554</c:v>
                </c:pt>
                <c:pt idx="4">
                  <c:v>2.023552</c:v>
                </c:pt>
                <c:pt idx="5">
                  <c:v>9.6419329999999999</c:v>
                </c:pt>
                <c:pt idx="6">
                  <c:v>1.4813050000000001</c:v>
                </c:pt>
                <c:pt idx="7">
                  <c:v>10.033810000000001</c:v>
                </c:pt>
                <c:pt idx="8">
                  <c:v>6.0357250000000002</c:v>
                </c:pt>
                <c:pt idx="9">
                  <c:v>9.9859740000000006</c:v>
                </c:pt>
                <c:pt idx="10">
                  <c:v>2.0141879999999999</c:v>
                </c:pt>
                <c:pt idx="11">
                  <c:v>1.9874670000000001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Sheet2!$E$15</c:f>
              <c:numCache>
                <c:formatCode>General</c:formatCode>
                <c:ptCount val="1"/>
                <c:pt idx="0">
                  <c:v>151.43</c:v>
                </c:pt>
              </c:numCache>
            </c:numRef>
          </c:xVal>
          <c:yVal>
            <c:numRef>
              <c:f>Sheet2!$F$15</c:f>
              <c:numCache>
                <c:formatCode>General</c:formatCode>
                <c:ptCount val="1"/>
                <c:pt idx="0">
                  <c:v>5.87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5368"/>
        <c:axId val="498384952"/>
      </c:scatterChart>
      <c:valAx>
        <c:axId val="178885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4952"/>
        <c:crosses val="autoZero"/>
        <c:crossBetween val="midCat"/>
      </c:valAx>
      <c:valAx>
        <c:axId val="498384952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85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Sheet3!$B$45:$B$56</c:f>
              <c:numCache>
                <c:formatCode>General</c:formatCode>
                <c:ptCount val="12"/>
                <c:pt idx="0">
                  <c:v>169.668903</c:v>
                </c:pt>
                <c:pt idx="1">
                  <c:v>312.97964300000001</c:v>
                </c:pt>
                <c:pt idx="2">
                  <c:v>312.19946099999999</c:v>
                </c:pt>
                <c:pt idx="3">
                  <c:v>89.074736999999999</c:v>
                </c:pt>
                <c:pt idx="4">
                  <c:v>326.27715599999999</c:v>
                </c:pt>
                <c:pt idx="5">
                  <c:v>298.87373600000001</c:v>
                </c:pt>
              </c:numCache>
            </c:numRef>
          </c:xVal>
          <c:yVal>
            <c:numRef>
              <c:f>Sheet3!$C$45:$C$56</c:f>
              <c:numCache>
                <c:formatCode>General</c:formatCode>
                <c:ptCount val="12"/>
                <c:pt idx="0">
                  <c:v>10.171900000000001</c:v>
                </c:pt>
                <c:pt idx="1">
                  <c:v>10.133150000000001</c:v>
                </c:pt>
                <c:pt idx="2">
                  <c:v>2.0068459999999999</c:v>
                </c:pt>
                <c:pt idx="3">
                  <c:v>9.9908920000000006</c:v>
                </c:pt>
                <c:pt idx="4">
                  <c:v>1.3180829999999999</c:v>
                </c:pt>
                <c:pt idx="5">
                  <c:v>10.037839999999999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Sheet3!$E$15</c:f>
              <c:numCache>
                <c:formatCode>General</c:formatCode>
                <c:ptCount val="1"/>
                <c:pt idx="0">
                  <c:v>145.46</c:v>
                </c:pt>
              </c:numCache>
            </c:numRef>
          </c:xVal>
          <c:yVal>
            <c:numRef>
              <c:f>Sheet3!$F$15</c:f>
              <c:numCache>
                <c:formatCode>General</c:formatCode>
                <c:ptCount val="1"/>
                <c:pt idx="0">
                  <c:v>6.05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Sheet3!$B$12</c:f>
              <c:numCache>
                <c:formatCode>General</c:formatCode>
                <c:ptCount val="1"/>
                <c:pt idx="0">
                  <c:v>147.19</c:v>
                </c:pt>
              </c:numCache>
            </c:numRef>
          </c:xVal>
          <c:yVal>
            <c:numRef>
              <c:f>Sheet3!$C$12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64296"/>
        <c:axId val="355361552"/>
      </c:scatterChart>
      <c:valAx>
        <c:axId val="355364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61552"/>
        <c:crosses val="autoZero"/>
        <c:crossBetween val="midCat"/>
      </c:valAx>
      <c:valAx>
        <c:axId val="3553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64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Sheet4!$B$45:$B$56</c:f>
              <c:numCache>
                <c:formatCode>General</c:formatCode>
                <c:ptCount val="12"/>
                <c:pt idx="0">
                  <c:v>324.91515800000002</c:v>
                </c:pt>
                <c:pt idx="1">
                  <c:v>310.33366799999999</c:v>
                </c:pt>
                <c:pt idx="2">
                  <c:v>328.46083499999997</c:v>
                </c:pt>
                <c:pt idx="3">
                  <c:v>254.18126599999999</c:v>
                </c:pt>
                <c:pt idx="4">
                  <c:v>240.362798</c:v>
                </c:pt>
                <c:pt idx="5">
                  <c:v>476.950604</c:v>
                </c:pt>
                <c:pt idx="6">
                  <c:v>500.83835599999998</c:v>
                </c:pt>
                <c:pt idx="7">
                  <c:v>428.64759500000002</c:v>
                </c:pt>
                <c:pt idx="8">
                  <c:v>461.42428000000001</c:v>
                </c:pt>
                <c:pt idx="9">
                  <c:v>281.45693899999998</c:v>
                </c:pt>
                <c:pt idx="10">
                  <c:v>286.75045999999998</c:v>
                </c:pt>
                <c:pt idx="11">
                  <c:v>213.33882600000001</c:v>
                </c:pt>
              </c:numCache>
            </c:numRef>
          </c:xVal>
          <c:yVal>
            <c:numRef>
              <c:f>Sheet4!$C$45:$C$56</c:f>
              <c:numCache>
                <c:formatCode>General</c:formatCode>
                <c:ptCount val="12"/>
                <c:pt idx="0">
                  <c:v>5.4840229999999996</c:v>
                </c:pt>
                <c:pt idx="1">
                  <c:v>10.041029999999999</c:v>
                </c:pt>
                <c:pt idx="2">
                  <c:v>1.1663520000000001</c:v>
                </c:pt>
                <c:pt idx="3">
                  <c:v>6.2744169999999997</c:v>
                </c:pt>
                <c:pt idx="4">
                  <c:v>10.455120000000001</c:v>
                </c:pt>
                <c:pt idx="5">
                  <c:v>9.9286670000000008</c:v>
                </c:pt>
                <c:pt idx="6">
                  <c:v>9.85337</c:v>
                </c:pt>
                <c:pt idx="7">
                  <c:v>1.9864809999999999</c:v>
                </c:pt>
                <c:pt idx="8">
                  <c:v>5.9587680000000001</c:v>
                </c:pt>
                <c:pt idx="9">
                  <c:v>9.8928170000000009</c:v>
                </c:pt>
                <c:pt idx="10">
                  <c:v>1.793785</c:v>
                </c:pt>
                <c:pt idx="11">
                  <c:v>2.4478610000000001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Sheet4!$E$15</c:f>
              <c:numCache>
                <c:formatCode>General</c:formatCode>
                <c:ptCount val="1"/>
                <c:pt idx="0">
                  <c:v>335.26</c:v>
                </c:pt>
              </c:numCache>
            </c:numRef>
          </c:xVal>
          <c:yVal>
            <c:numRef>
              <c:f>Sheet4!$F$15</c:f>
              <c:numCache>
                <c:formatCode>General</c:formatCode>
                <c:ptCount val="1"/>
                <c:pt idx="0">
                  <c:v>10.07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64688"/>
        <c:axId val="355365864"/>
      </c:scatterChart>
      <c:valAx>
        <c:axId val="35536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65864"/>
        <c:crosses val="autoZero"/>
        <c:crossBetween val="midCat"/>
      </c:valAx>
      <c:valAx>
        <c:axId val="355365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6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"Adversaries"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Sheet5!$B$45:$B$56</c:f>
              <c:numCache>
                <c:formatCode>General</c:formatCode>
                <c:ptCount val="12"/>
                <c:pt idx="0">
                  <c:v>296.92046699999997</c:v>
                </c:pt>
                <c:pt idx="1">
                  <c:v>265.59593100000001</c:v>
                </c:pt>
                <c:pt idx="2">
                  <c:v>295.47113200000001</c:v>
                </c:pt>
              </c:numCache>
            </c:numRef>
          </c:xVal>
          <c:yVal>
            <c:numRef>
              <c:f>Sheet5!$C$45:$C$56</c:f>
              <c:numCache>
                <c:formatCode>General</c:formatCode>
                <c:ptCount val="12"/>
                <c:pt idx="0">
                  <c:v>2.0000589999999998</c:v>
                </c:pt>
                <c:pt idx="1">
                  <c:v>1.997887</c:v>
                </c:pt>
                <c:pt idx="2">
                  <c:v>10.00165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Sheet5!$E$15</c:f>
              <c:numCache>
                <c:formatCode>General</c:formatCode>
                <c:ptCount val="1"/>
                <c:pt idx="0">
                  <c:v>126.27</c:v>
                </c:pt>
              </c:numCache>
            </c:numRef>
          </c:xVal>
          <c:yVal>
            <c:numRef>
              <c:f>Sheet5!$F$15</c:f>
              <c:numCache>
                <c:formatCode>General</c:formatCode>
                <c:ptCount val="1"/>
                <c:pt idx="0">
                  <c:v>6.16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Sheet5!$B$12</c:f>
              <c:numCache>
                <c:formatCode>General</c:formatCode>
                <c:ptCount val="1"/>
                <c:pt idx="0">
                  <c:v>126.31</c:v>
                </c:pt>
              </c:numCache>
            </c:numRef>
          </c:xVal>
          <c:yVal>
            <c:numRef>
              <c:f>Sheet5!$C$12</c:f>
              <c:numCache>
                <c:formatCode>General</c:formatCode>
                <c:ptCount val="1"/>
                <c:pt idx="0">
                  <c:v>6.18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366648"/>
        <c:axId val="355367040"/>
      </c:scatterChart>
      <c:valAx>
        <c:axId val="355366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67040"/>
        <c:crosses val="autoZero"/>
        <c:crossBetween val="midCat"/>
      </c:valAx>
      <c:valAx>
        <c:axId val="35536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36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Sheet6!$B$45:$B$56</c:f>
              <c:numCache>
                <c:formatCode>General</c:formatCode>
                <c:ptCount val="12"/>
                <c:pt idx="0">
                  <c:v>267.24925400000001</c:v>
                </c:pt>
                <c:pt idx="1">
                  <c:v>88.281942000000001</c:v>
                </c:pt>
              </c:numCache>
            </c:numRef>
          </c:xVal>
          <c:yVal>
            <c:numRef>
              <c:f>Sheet6!$C$45:$C$56</c:f>
              <c:numCache>
                <c:formatCode>General</c:formatCode>
                <c:ptCount val="12"/>
                <c:pt idx="0">
                  <c:v>9.9825029999999995</c:v>
                </c:pt>
                <c:pt idx="1">
                  <c:v>5.9944360000000003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Sheet6!$E$15</c:f>
              <c:numCache>
                <c:formatCode>General</c:formatCode>
                <c:ptCount val="1"/>
                <c:pt idx="0">
                  <c:v>126.27</c:v>
                </c:pt>
              </c:numCache>
            </c:numRef>
          </c:xVal>
          <c:yVal>
            <c:numRef>
              <c:f>Sheet6!$F$15</c:f>
              <c:numCache>
                <c:formatCode>General</c:formatCode>
                <c:ptCount val="1"/>
                <c:pt idx="0">
                  <c:v>6.16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Sheet6!$B$12</c:f>
              <c:numCache>
                <c:formatCode>General</c:formatCode>
                <c:ptCount val="1"/>
                <c:pt idx="0">
                  <c:v>126.31</c:v>
                </c:pt>
              </c:numCache>
            </c:numRef>
          </c:xVal>
          <c:yVal>
            <c:numRef>
              <c:f>Sheet6!$C$12</c:f>
              <c:numCache>
                <c:formatCode>General</c:formatCode>
                <c:ptCount val="1"/>
                <c:pt idx="0">
                  <c:v>6.18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467320"/>
        <c:axId val="386464576"/>
      </c:scatterChart>
      <c:valAx>
        <c:axId val="386467320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4576"/>
        <c:crosses val="autoZero"/>
        <c:crossBetween val="midCat"/>
      </c:valAx>
      <c:valAx>
        <c:axId val="386464576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7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Sheet7!$B$45:$B$56</c:f>
              <c:numCache>
                <c:formatCode>General</c:formatCode>
                <c:ptCount val="12"/>
                <c:pt idx="0">
                  <c:v>53.038981999999997</c:v>
                </c:pt>
              </c:numCache>
            </c:numRef>
          </c:xVal>
          <c:yVal>
            <c:numRef>
              <c:f>Sheet7!$C$45:$C$56</c:f>
              <c:numCache>
                <c:formatCode>General</c:formatCode>
                <c:ptCount val="12"/>
                <c:pt idx="0">
                  <c:v>10.08517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Sheet7!$E$15</c:f>
              <c:numCache>
                <c:formatCode>General</c:formatCode>
                <c:ptCount val="1"/>
                <c:pt idx="0">
                  <c:v>126.31</c:v>
                </c:pt>
              </c:numCache>
            </c:numRef>
          </c:xVal>
          <c:yVal>
            <c:numRef>
              <c:f>Sheet7!$F$15</c:f>
              <c:numCache>
                <c:formatCode>General</c:formatCode>
                <c:ptCount val="1"/>
                <c:pt idx="0">
                  <c:v>6.18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467712"/>
        <c:axId val="386461440"/>
      </c:scatterChart>
      <c:valAx>
        <c:axId val="386467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1440"/>
        <c:crosses val="autoZero"/>
        <c:crossBetween val="midCat"/>
      </c:valAx>
      <c:valAx>
        <c:axId val="38646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Sheet8!$B$45:$B$56</c:f>
              <c:numCache>
                <c:formatCode>General</c:formatCode>
                <c:ptCount val="12"/>
                <c:pt idx="0">
                  <c:v>83.721532999999994</c:v>
                </c:pt>
              </c:numCache>
            </c:numRef>
          </c:xVal>
          <c:yVal>
            <c:numRef>
              <c:f>Sheet8!$C$45:$C$56</c:f>
              <c:numCache>
                <c:formatCode>General</c:formatCode>
                <c:ptCount val="12"/>
                <c:pt idx="0">
                  <c:v>1.9894130000000001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Sheet8!$E$15</c:f>
              <c:numCache>
                <c:formatCode>General</c:formatCode>
                <c:ptCount val="1"/>
                <c:pt idx="0">
                  <c:v>126.31</c:v>
                </c:pt>
              </c:numCache>
            </c:numRef>
          </c:xVal>
          <c:yVal>
            <c:numRef>
              <c:f>Sheet8!$F$15</c:f>
              <c:numCache>
                <c:formatCode>General</c:formatCode>
                <c:ptCount val="1"/>
                <c:pt idx="0">
                  <c:v>6.18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464968"/>
        <c:axId val="386463400"/>
      </c:scatterChart>
      <c:valAx>
        <c:axId val="38646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3400"/>
        <c:crosses val="autoZero"/>
        <c:crossBetween val="midCat"/>
      </c:valAx>
      <c:valAx>
        <c:axId val="386463400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4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Sheet9!$B$45:$B$56</c:f>
              <c:numCache>
                <c:formatCode>General</c:formatCode>
                <c:ptCount val="12"/>
                <c:pt idx="0">
                  <c:v>271.025463</c:v>
                </c:pt>
                <c:pt idx="1">
                  <c:v>94.003262000000007</c:v>
                </c:pt>
                <c:pt idx="2">
                  <c:v>290.08482299999997</c:v>
                </c:pt>
                <c:pt idx="3">
                  <c:v>255.38629299999999</c:v>
                </c:pt>
              </c:numCache>
            </c:numRef>
          </c:xVal>
          <c:yVal>
            <c:numRef>
              <c:f>Sheet9!$C$45:$C$56</c:f>
              <c:numCache>
                <c:formatCode>General</c:formatCode>
                <c:ptCount val="12"/>
                <c:pt idx="0">
                  <c:v>1.9550019999999999</c:v>
                </c:pt>
                <c:pt idx="1">
                  <c:v>1.9868159999999999</c:v>
                </c:pt>
                <c:pt idx="2">
                  <c:v>10.01681</c:v>
                </c:pt>
                <c:pt idx="3">
                  <c:v>1.9851110000000001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Sheet9!$E$15</c:f>
              <c:numCache>
                <c:formatCode>General</c:formatCode>
                <c:ptCount val="1"/>
                <c:pt idx="0">
                  <c:v>127.41</c:v>
                </c:pt>
              </c:numCache>
            </c:numRef>
          </c:xVal>
          <c:yVal>
            <c:numRef>
              <c:f>Sheet9!$F$15</c:f>
              <c:numCache>
                <c:formatCode>General</c:formatCode>
                <c:ptCount val="1"/>
                <c:pt idx="0">
                  <c:v>6.18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468496"/>
        <c:axId val="386462616"/>
      </c:scatterChart>
      <c:valAx>
        <c:axId val="38646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2616"/>
        <c:crosses val="autoZero"/>
        <c:crossBetween val="midCat"/>
      </c:valAx>
      <c:valAx>
        <c:axId val="386462616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Sheet10!$B$45:$B$56</c:f>
              <c:numCache>
                <c:formatCode>General</c:formatCode>
                <c:ptCount val="12"/>
                <c:pt idx="0">
                  <c:v>593.37705200000005</c:v>
                </c:pt>
                <c:pt idx="1">
                  <c:v>568.89505899999995</c:v>
                </c:pt>
                <c:pt idx="2">
                  <c:v>695.41357100000005</c:v>
                </c:pt>
                <c:pt idx="3">
                  <c:v>763.95478400000002</c:v>
                </c:pt>
                <c:pt idx="4">
                  <c:v>730.17376400000001</c:v>
                </c:pt>
                <c:pt idx="5">
                  <c:v>512.48226999999997</c:v>
                </c:pt>
                <c:pt idx="6">
                  <c:v>690.75187100000005</c:v>
                </c:pt>
                <c:pt idx="7">
                  <c:v>810.32151999999996</c:v>
                </c:pt>
                <c:pt idx="8">
                  <c:v>557.91824899999995</c:v>
                </c:pt>
                <c:pt idx="9">
                  <c:v>672.79832299999998</c:v>
                </c:pt>
                <c:pt idx="10">
                  <c:v>541.03934800000002</c:v>
                </c:pt>
                <c:pt idx="11">
                  <c:v>670.09189800000001</c:v>
                </c:pt>
              </c:numCache>
            </c:numRef>
          </c:xVal>
          <c:yVal>
            <c:numRef>
              <c:f>Sheet10!$C$45:$C$56</c:f>
              <c:numCache>
                <c:formatCode>General</c:formatCode>
                <c:ptCount val="12"/>
                <c:pt idx="0">
                  <c:v>6.1475499999999998</c:v>
                </c:pt>
                <c:pt idx="1">
                  <c:v>5.7652960000000002</c:v>
                </c:pt>
                <c:pt idx="2">
                  <c:v>10.01179</c:v>
                </c:pt>
                <c:pt idx="3">
                  <c:v>2.104133</c:v>
                </c:pt>
                <c:pt idx="4">
                  <c:v>5.9709240000000001</c:v>
                </c:pt>
                <c:pt idx="5">
                  <c:v>5.9626049999999999</c:v>
                </c:pt>
                <c:pt idx="6">
                  <c:v>2.0655800000000002</c:v>
                </c:pt>
                <c:pt idx="7">
                  <c:v>5.9195330000000004</c:v>
                </c:pt>
                <c:pt idx="8">
                  <c:v>1.5968169999999999</c:v>
                </c:pt>
                <c:pt idx="9">
                  <c:v>9.9834890000000005</c:v>
                </c:pt>
                <c:pt idx="10">
                  <c:v>6.0092160000000003</c:v>
                </c:pt>
                <c:pt idx="11">
                  <c:v>2.0066609999999998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Sheet10!$E$15</c:f>
              <c:numCache>
                <c:formatCode>General</c:formatCode>
                <c:ptCount val="1"/>
                <c:pt idx="0">
                  <c:v>648.11</c:v>
                </c:pt>
              </c:numCache>
            </c:numRef>
          </c:xVal>
          <c:yVal>
            <c:numRef>
              <c:f>Sheet10!$F$15</c:f>
              <c:numCache>
                <c:formatCode>General</c:formatCode>
                <c:ptCount val="1"/>
                <c:pt idx="0">
                  <c:v>10.02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Sheet10!$B$12</c:f>
              <c:numCache>
                <c:formatCode>General</c:formatCode>
                <c:ptCount val="1"/>
                <c:pt idx="0">
                  <c:v>677.45</c:v>
                </c:pt>
              </c:numCache>
            </c:numRef>
          </c:xVal>
          <c:yVal>
            <c:numRef>
              <c:f>Sheet10!$C$12</c:f>
              <c:numCache>
                <c:formatCode>General</c:formatCode>
                <c:ptCount val="1"/>
                <c:pt idx="0">
                  <c:v>6.99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462224"/>
        <c:axId val="386468888"/>
      </c:scatterChart>
      <c:valAx>
        <c:axId val="386462224"/>
        <c:scaling>
          <c:orientation val="minMax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8888"/>
        <c:crosses val="autoZero"/>
        <c:crossBetween val="midCat"/>
      </c:valAx>
      <c:valAx>
        <c:axId val="38646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Sheet11!$B$45:$B$56</c:f>
              <c:numCache>
                <c:formatCode>General</c:formatCode>
                <c:ptCount val="12"/>
                <c:pt idx="0">
                  <c:v>487.68577199999999</c:v>
                </c:pt>
                <c:pt idx="1">
                  <c:v>301.68491499999999</c:v>
                </c:pt>
                <c:pt idx="2">
                  <c:v>444.63361500000002</c:v>
                </c:pt>
                <c:pt idx="3">
                  <c:v>251.88951299999999</c:v>
                </c:pt>
                <c:pt idx="4">
                  <c:v>343.868109</c:v>
                </c:pt>
                <c:pt idx="5">
                  <c:v>416.84676000000002</c:v>
                </c:pt>
                <c:pt idx="6">
                  <c:v>449.43311299999999</c:v>
                </c:pt>
                <c:pt idx="7">
                  <c:v>378.71045299999997</c:v>
                </c:pt>
                <c:pt idx="8">
                  <c:v>424.47167200000001</c:v>
                </c:pt>
                <c:pt idx="9">
                  <c:v>245.64654200000001</c:v>
                </c:pt>
                <c:pt idx="10">
                  <c:v>279.23703899999998</c:v>
                </c:pt>
              </c:numCache>
            </c:numRef>
          </c:xVal>
          <c:yVal>
            <c:numRef>
              <c:f>Sheet11!$C$45:$C$56</c:f>
              <c:numCache>
                <c:formatCode>General</c:formatCode>
                <c:ptCount val="12"/>
                <c:pt idx="0">
                  <c:v>9.7953399999999995</c:v>
                </c:pt>
                <c:pt idx="1">
                  <c:v>2.183878</c:v>
                </c:pt>
                <c:pt idx="2">
                  <c:v>2.0101939999999998</c:v>
                </c:pt>
                <c:pt idx="3">
                  <c:v>2.4085009999999998</c:v>
                </c:pt>
                <c:pt idx="4">
                  <c:v>9.5368440000000003</c:v>
                </c:pt>
                <c:pt idx="5">
                  <c:v>9.9561930000000007</c:v>
                </c:pt>
                <c:pt idx="6">
                  <c:v>9.9820209999999996</c:v>
                </c:pt>
                <c:pt idx="7">
                  <c:v>9.7852510000000006</c:v>
                </c:pt>
                <c:pt idx="8">
                  <c:v>1.9700930000000001</c:v>
                </c:pt>
                <c:pt idx="9">
                  <c:v>6.5907359999999997</c:v>
                </c:pt>
                <c:pt idx="10">
                  <c:v>9.8101719999999997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Sheet11!$E$15</c:f>
              <c:numCache>
                <c:formatCode>General</c:formatCode>
                <c:ptCount val="1"/>
                <c:pt idx="0">
                  <c:v>330.08</c:v>
                </c:pt>
              </c:numCache>
            </c:numRef>
          </c:xVal>
          <c:yVal>
            <c:numRef>
              <c:f>Sheet11!$F$15</c:f>
              <c:numCache>
                <c:formatCode>General</c:formatCode>
                <c:ptCount val="1"/>
                <c:pt idx="0">
                  <c:v>10.220000000000001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Sheet11!$B$12</c:f>
              <c:numCache>
                <c:formatCode>General</c:formatCode>
                <c:ptCount val="1"/>
                <c:pt idx="0">
                  <c:v>361.88</c:v>
                </c:pt>
              </c:numCache>
            </c:numRef>
          </c:xVal>
          <c:yVal>
            <c:numRef>
              <c:f>Sheet11!$C$12</c:f>
              <c:numCache>
                <c:formatCode>General</c:formatCode>
                <c:ptCount val="1"/>
                <c:pt idx="0">
                  <c:v>7.51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465360"/>
        <c:axId val="386466144"/>
      </c:scatterChart>
      <c:valAx>
        <c:axId val="386465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6144"/>
        <c:crosses val="autoZero"/>
        <c:crossBetween val="midCat"/>
      </c:valAx>
      <c:valAx>
        <c:axId val="38646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Sheet12!$B$45:$B$56</c:f>
              <c:numCache>
                <c:formatCode>General</c:formatCode>
                <c:ptCount val="12"/>
                <c:pt idx="0">
                  <c:v>53.851109999999998</c:v>
                </c:pt>
                <c:pt idx="1">
                  <c:v>263.161272</c:v>
                </c:pt>
                <c:pt idx="2">
                  <c:v>293.34591</c:v>
                </c:pt>
              </c:numCache>
            </c:numRef>
          </c:xVal>
          <c:yVal>
            <c:numRef>
              <c:f>Sheet12!$C$45:$C$56</c:f>
              <c:numCache>
                <c:formatCode>General</c:formatCode>
                <c:ptCount val="12"/>
                <c:pt idx="0">
                  <c:v>2.0003549999999999</c:v>
                </c:pt>
                <c:pt idx="1">
                  <c:v>5.9980200000000004</c:v>
                </c:pt>
                <c:pt idx="2">
                  <c:v>10.001480000000001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Sheet12!$E$15</c:f>
              <c:numCache>
                <c:formatCode>General</c:formatCode>
                <c:ptCount val="1"/>
                <c:pt idx="0">
                  <c:v>125.79</c:v>
                </c:pt>
              </c:numCache>
            </c:numRef>
          </c:xVal>
          <c:yVal>
            <c:numRef>
              <c:f>Sheet12!$F$15</c:f>
              <c:numCache>
                <c:formatCode>General</c:formatCode>
                <c:ptCount val="1"/>
                <c:pt idx="0">
                  <c:v>6.16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Sheet12!$B$12</c:f>
              <c:numCache>
                <c:formatCode>General</c:formatCode>
                <c:ptCount val="1"/>
                <c:pt idx="0">
                  <c:v>125.81</c:v>
                </c:pt>
              </c:numCache>
            </c:numRef>
          </c:xVal>
          <c:yVal>
            <c:numRef>
              <c:f>Sheet12!$C$12</c:f>
              <c:numCache>
                <c:formatCode>General</c:formatCode>
                <c:ptCount val="1"/>
                <c:pt idx="0">
                  <c:v>6.17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466536"/>
        <c:axId val="386466928"/>
      </c:scatterChart>
      <c:valAx>
        <c:axId val="386466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6928"/>
        <c:crosses val="autoZero"/>
        <c:crossBetween val="midCat"/>
      </c:valAx>
      <c:valAx>
        <c:axId val="38646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6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Sheet13!$B$45:$B$56</c:f>
              <c:numCache>
                <c:formatCode>General</c:formatCode>
                <c:ptCount val="12"/>
                <c:pt idx="0">
                  <c:v>770.62231099999997</c:v>
                </c:pt>
                <c:pt idx="1">
                  <c:v>666.45748100000003</c:v>
                </c:pt>
                <c:pt idx="2">
                  <c:v>736.70840799999996</c:v>
                </c:pt>
                <c:pt idx="3">
                  <c:v>594.58100899999999</c:v>
                </c:pt>
                <c:pt idx="4">
                  <c:v>670.28795100000002</c:v>
                </c:pt>
                <c:pt idx="5">
                  <c:v>596.14907200000005</c:v>
                </c:pt>
                <c:pt idx="6">
                  <c:v>767.06356200000005</c:v>
                </c:pt>
                <c:pt idx="7">
                  <c:v>671.69766600000003</c:v>
                </c:pt>
                <c:pt idx="8">
                  <c:v>568.42162499999995</c:v>
                </c:pt>
                <c:pt idx="9">
                  <c:v>546.69195400000001</c:v>
                </c:pt>
                <c:pt idx="10">
                  <c:v>691.50837100000001</c:v>
                </c:pt>
                <c:pt idx="11">
                  <c:v>731.01629600000001</c:v>
                </c:pt>
              </c:numCache>
            </c:numRef>
          </c:xVal>
          <c:yVal>
            <c:numRef>
              <c:f>Sheet13!$C$45:$C$56</c:f>
              <c:numCache>
                <c:formatCode>General</c:formatCode>
                <c:ptCount val="12"/>
                <c:pt idx="0">
                  <c:v>10.08928</c:v>
                </c:pt>
                <c:pt idx="1">
                  <c:v>9.9210569999999993</c:v>
                </c:pt>
                <c:pt idx="2">
                  <c:v>2.0841430000000001</c:v>
                </c:pt>
                <c:pt idx="3">
                  <c:v>2.2715380000000001</c:v>
                </c:pt>
                <c:pt idx="4">
                  <c:v>2.002802</c:v>
                </c:pt>
                <c:pt idx="5">
                  <c:v>6.1827990000000002</c:v>
                </c:pt>
                <c:pt idx="6">
                  <c:v>6.1000719999999999</c:v>
                </c:pt>
                <c:pt idx="7">
                  <c:v>5.9916660000000004</c:v>
                </c:pt>
                <c:pt idx="8">
                  <c:v>0.81635599999999997</c:v>
                </c:pt>
                <c:pt idx="9">
                  <c:v>6.0258630000000002</c:v>
                </c:pt>
                <c:pt idx="10">
                  <c:v>10.022309999999999</c:v>
                </c:pt>
                <c:pt idx="11">
                  <c:v>9.9691299999999998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Sheet13!$E$15</c:f>
              <c:numCache>
                <c:formatCode>General</c:formatCode>
                <c:ptCount val="1"/>
                <c:pt idx="0">
                  <c:v>652.17999999999995</c:v>
                </c:pt>
              </c:numCache>
            </c:numRef>
          </c:xVal>
          <c:yVal>
            <c:numRef>
              <c:f>Sheet13!$F$15</c:f>
              <c:numCache>
                <c:formatCode>General</c:formatCode>
                <c:ptCount val="1"/>
                <c:pt idx="0">
                  <c:v>2.46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Sheet13!$B$12</c:f>
              <c:numCache>
                <c:formatCode>General</c:formatCode>
                <c:ptCount val="1"/>
                <c:pt idx="0">
                  <c:v>657.38</c:v>
                </c:pt>
              </c:numCache>
            </c:numRef>
          </c:xVal>
          <c:yVal>
            <c:numRef>
              <c:f>Sheet13!$C$12</c:f>
              <c:numCache>
                <c:formatCode>General</c:formatCode>
                <c:ptCount val="1"/>
                <c:pt idx="0">
                  <c:v>2.25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388648"/>
        <c:axId val="588390216"/>
      </c:scatterChart>
      <c:valAx>
        <c:axId val="588388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390216"/>
        <c:crosses val="autoZero"/>
        <c:crossBetween val="midCat"/>
      </c:valAx>
      <c:valAx>
        <c:axId val="588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388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Adversaries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Sheet14!$B$45:$B$54</c:f>
              <c:numCache>
                <c:formatCode>General</c:formatCode>
                <c:ptCount val="10"/>
                <c:pt idx="0">
                  <c:v>5065.7678130000004</c:v>
                </c:pt>
                <c:pt idx="1">
                  <c:v>5050.0418369999998</c:v>
                </c:pt>
                <c:pt idx="2">
                  <c:v>5171.091617</c:v>
                </c:pt>
                <c:pt idx="3">
                  <c:v>4993.8950809999997</c:v>
                </c:pt>
                <c:pt idx="4">
                  <c:v>4969.5449660000004</c:v>
                </c:pt>
                <c:pt idx="5">
                  <c:v>5006.4680230000004</c:v>
                </c:pt>
                <c:pt idx="6">
                  <c:v>4982.6110920000001</c:v>
                </c:pt>
                <c:pt idx="7">
                  <c:v>4944.8992619999999</c:v>
                </c:pt>
                <c:pt idx="8">
                  <c:v>5119.7591519999996</c:v>
                </c:pt>
                <c:pt idx="9">
                  <c:v>5098.2492670000001</c:v>
                </c:pt>
              </c:numCache>
            </c:numRef>
          </c:xVal>
          <c:yVal>
            <c:numRef>
              <c:f>Sheet14!$C$45:$C$54</c:f>
              <c:numCache>
                <c:formatCode>General</c:formatCode>
                <c:ptCount val="10"/>
                <c:pt idx="0">
                  <c:v>2.4149630000000002</c:v>
                </c:pt>
                <c:pt idx="1">
                  <c:v>6.4332719999999997</c:v>
                </c:pt>
                <c:pt idx="2">
                  <c:v>10.21358</c:v>
                </c:pt>
                <c:pt idx="3">
                  <c:v>6.5146369999999996</c:v>
                </c:pt>
                <c:pt idx="4">
                  <c:v>6.2055829999999998</c:v>
                </c:pt>
                <c:pt idx="5">
                  <c:v>10.230420000000001</c:v>
                </c:pt>
                <c:pt idx="6">
                  <c:v>10.23104</c:v>
                </c:pt>
                <c:pt idx="7">
                  <c:v>6.7270820000000002</c:v>
                </c:pt>
                <c:pt idx="8">
                  <c:v>6.3625600000000002</c:v>
                </c:pt>
                <c:pt idx="9">
                  <c:v>6.4995839999999996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Sheet14!$E$15</c:f>
              <c:numCache>
                <c:formatCode>General</c:formatCode>
                <c:ptCount val="1"/>
                <c:pt idx="0">
                  <c:v>5071.1099999999997</c:v>
                </c:pt>
              </c:numCache>
            </c:numRef>
          </c:xVal>
          <c:yVal>
            <c:numRef>
              <c:f>Sheet14!$F$15</c:f>
              <c:numCache>
                <c:formatCode>General</c:formatCode>
                <c:ptCount val="1"/>
                <c:pt idx="0">
                  <c:v>5.8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Sheet14!$B$12</c:f>
              <c:numCache>
                <c:formatCode>General</c:formatCode>
                <c:ptCount val="1"/>
                <c:pt idx="0">
                  <c:v>5075.1899999999996</c:v>
                </c:pt>
              </c:numCache>
            </c:numRef>
          </c:xVal>
          <c:yVal>
            <c:numRef>
              <c:f>Sheet14!$C$12</c:f>
              <c:numCache>
                <c:formatCode>General</c:formatCode>
                <c:ptCount val="1"/>
                <c:pt idx="0">
                  <c:v>5.41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851816"/>
        <c:axId val="484852600"/>
      </c:scatterChart>
      <c:valAx>
        <c:axId val="484851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52600"/>
        <c:crosses val="autoZero"/>
        <c:crossBetween val="midCat"/>
      </c:valAx>
      <c:valAx>
        <c:axId val="484852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51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Sheet15!$B$45:$B$56</c:f>
              <c:numCache>
                <c:formatCode>General</c:formatCode>
                <c:ptCount val="12"/>
                <c:pt idx="0">
                  <c:v>1924.4275299999999</c:v>
                </c:pt>
                <c:pt idx="1">
                  <c:v>1782.680257</c:v>
                </c:pt>
                <c:pt idx="2">
                  <c:v>1825.0092970000001</c:v>
                </c:pt>
                <c:pt idx="3">
                  <c:v>1785.9026220000001</c:v>
                </c:pt>
                <c:pt idx="4">
                  <c:v>1831.7112790000001</c:v>
                </c:pt>
                <c:pt idx="5">
                  <c:v>1878.4933329999999</c:v>
                </c:pt>
                <c:pt idx="6">
                  <c:v>1709.105532</c:v>
                </c:pt>
                <c:pt idx="7">
                  <c:v>1736.0802120000001</c:v>
                </c:pt>
                <c:pt idx="8">
                  <c:v>1920.155767</c:v>
                </c:pt>
                <c:pt idx="9">
                  <c:v>1707.7798009999999</c:v>
                </c:pt>
                <c:pt idx="10">
                  <c:v>1759.623756</c:v>
                </c:pt>
                <c:pt idx="11">
                  <c:v>2038.7379840000001</c:v>
                </c:pt>
              </c:numCache>
            </c:numRef>
          </c:xVal>
          <c:yVal>
            <c:numRef>
              <c:f>Sheet15!$C$45:$C$56</c:f>
              <c:numCache>
                <c:formatCode>General</c:formatCode>
                <c:ptCount val="12"/>
                <c:pt idx="0">
                  <c:v>6.0008439999999998</c:v>
                </c:pt>
                <c:pt idx="1">
                  <c:v>1.883621</c:v>
                </c:pt>
                <c:pt idx="2">
                  <c:v>6.3339270000000001</c:v>
                </c:pt>
                <c:pt idx="3">
                  <c:v>9.9471220000000002</c:v>
                </c:pt>
                <c:pt idx="4">
                  <c:v>2.4006729999999998</c:v>
                </c:pt>
                <c:pt idx="5">
                  <c:v>6.0019070000000001</c:v>
                </c:pt>
                <c:pt idx="6">
                  <c:v>2.01681</c:v>
                </c:pt>
                <c:pt idx="7">
                  <c:v>5.7359549999999997</c:v>
                </c:pt>
                <c:pt idx="8">
                  <c:v>2.0089090000000001</c:v>
                </c:pt>
                <c:pt idx="9">
                  <c:v>6.0066410000000001</c:v>
                </c:pt>
                <c:pt idx="10">
                  <c:v>5.8422879999999999</c:v>
                </c:pt>
                <c:pt idx="11">
                  <c:v>1.879739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Sheet15!$E$15</c:f>
              <c:numCache>
                <c:formatCode>General</c:formatCode>
                <c:ptCount val="1"/>
                <c:pt idx="0">
                  <c:v>1900.73</c:v>
                </c:pt>
              </c:numCache>
            </c:numRef>
          </c:xVal>
          <c:yVal>
            <c:numRef>
              <c:f>Sheet15!$F$15</c:f>
              <c:numCache>
                <c:formatCode>General</c:formatCode>
                <c:ptCount val="1"/>
                <c:pt idx="0">
                  <c:v>6.12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Sheet15!$B$12</c:f>
              <c:numCache>
                <c:formatCode>General</c:formatCode>
                <c:ptCount val="1"/>
                <c:pt idx="0">
                  <c:v>1905.58</c:v>
                </c:pt>
              </c:numCache>
            </c:numRef>
          </c:xVal>
          <c:yVal>
            <c:numRef>
              <c:f>Sheet15!$C$12</c:f>
              <c:numCache>
                <c:formatCode>General</c:formatCode>
                <c:ptCount val="1"/>
                <c:pt idx="0">
                  <c:v>6.12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265664"/>
        <c:axId val="499268408"/>
      </c:scatterChart>
      <c:valAx>
        <c:axId val="49926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8408"/>
        <c:crosses val="autoZero"/>
        <c:crossBetween val="midCat"/>
      </c:valAx>
      <c:valAx>
        <c:axId val="49926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265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Sheet16!$B$45:$B$56</c:f>
              <c:numCache>
                <c:formatCode>General</c:formatCode>
                <c:ptCount val="12"/>
                <c:pt idx="0">
                  <c:v>1075.669674</c:v>
                </c:pt>
                <c:pt idx="1">
                  <c:v>1027.3659709999999</c:v>
                </c:pt>
                <c:pt idx="2">
                  <c:v>931.44250599999998</c:v>
                </c:pt>
                <c:pt idx="3">
                  <c:v>995.70296800000006</c:v>
                </c:pt>
                <c:pt idx="4">
                  <c:v>977.04517099999998</c:v>
                </c:pt>
                <c:pt idx="5">
                  <c:v>930.23300099999994</c:v>
                </c:pt>
                <c:pt idx="6">
                  <c:v>879.76710700000001</c:v>
                </c:pt>
                <c:pt idx="7">
                  <c:v>933.50233600000001</c:v>
                </c:pt>
                <c:pt idx="8">
                  <c:v>909.49576200000001</c:v>
                </c:pt>
                <c:pt idx="9">
                  <c:v>890.26190099999997</c:v>
                </c:pt>
                <c:pt idx="10">
                  <c:v>850.51510199999996</c:v>
                </c:pt>
                <c:pt idx="11">
                  <c:v>958.77835000000005</c:v>
                </c:pt>
              </c:numCache>
            </c:numRef>
          </c:xVal>
          <c:yVal>
            <c:numRef>
              <c:f>Sheet16!$C$45:$C$56</c:f>
              <c:numCache>
                <c:formatCode>General</c:formatCode>
                <c:ptCount val="12"/>
                <c:pt idx="0">
                  <c:v>6.4424939999999999</c:v>
                </c:pt>
                <c:pt idx="1">
                  <c:v>5.9522209999999998</c:v>
                </c:pt>
                <c:pt idx="2">
                  <c:v>5.8801550000000002</c:v>
                </c:pt>
                <c:pt idx="3">
                  <c:v>10.043900000000001</c:v>
                </c:pt>
                <c:pt idx="4">
                  <c:v>6.0643500000000001</c:v>
                </c:pt>
                <c:pt idx="5">
                  <c:v>9.9727300000000003</c:v>
                </c:pt>
                <c:pt idx="6">
                  <c:v>9.8603679999999994</c:v>
                </c:pt>
                <c:pt idx="7">
                  <c:v>1.822149</c:v>
                </c:pt>
                <c:pt idx="8">
                  <c:v>10.12866</c:v>
                </c:pt>
                <c:pt idx="9">
                  <c:v>5.8751059999999997</c:v>
                </c:pt>
                <c:pt idx="10">
                  <c:v>9.9304860000000001</c:v>
                </c:pt>
                <c:pt idx="11">
                  <c:v>2.0700219999999998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Sheet16!$E$15</c:f>
              <c:numCache>
                <c:formatCode>General</c:formatCode>
                <c:ptCount val="1"/>
                <c:pt idx="0">
                  <c:v>953.17</c:v>
                </c:pt>
              </c:numCache>
            </c:numRef>
          </c:xVal>
          <c:yVal>
            <c:numRef>
              <c:f>Sheet16!$F$15</c:f>
              <c:numCache>
                <c:formatCode>General</c:formatCode>
                <c:ptCount val="1"/>
                <c:pt idx="0">
                  <c:v>6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Sheet16!$B$12</c:f>
              <c:numCache>
                <c:formatCode>General</c:formatCode>
                <c:ptCount val="1"/>
                <c:pt idx="0">
                  <c:v>958.25</c:v>
                </c:pt>
              </c:numCache>
            </c:numRef>
          </c:xVal>
          <c:yVal>
            <c:numRef>
              <c:f>Sheet16!$C$12</c:f>
              <c:numCache>
                <c:formatCode>General</c:formatCode>
                <c:ptCount val="1"/>
                <c:pt idx="0">
                  <c:v>5.97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2784"/>
        <c:axId val="36243176"/>
      </c:scatterChart>
      <c:valAx>
        <c:axId val="36242784"/>
        <c:scaling>
          <c:orientation val="minMax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3176"/>
        <c:crosses val="autoZero"/>
        <c:crossBetween val="midCat"/>
      </c:valAx>
      <c:valAx>
        <c:axId val="3624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4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Sheet17!$B$45:$B$56</c:f>
              <c:numCache>
                <c:formatCode>General</c:formatCode>
                <c:ptCount val="12"/>
                <c:pt idx="0">
                  <c:v>810.58161500000006</c:v>
                </c:pt>
                <c:pt idx="1">
                  <c:v>764.67190400000004</c:v>
                </c:pt>
                <c:pt idx="2">
                  <c:v>729.81929300000002</c:v>
                </c:pt>
                <c:pt idx="3">
                  <c:v>705.58853699999997</c:v>
                </c:pt>
                <c:pt idx="4">
                  <c:v>817.43798500000003</c:v>
                </c:pt>
                <c:pt idx="5">
                  <c:v>768.84598800000003</c:v>
                </c:pt>
                <c:pt idx="6">
                  <c:v>681.20217300000002</c:v>
                </c:pt>
                <c:pt idx="7">
                  <c:v>665.19058900000005</c:v>
                </c:pt>
                <c:pt idx="8">
                  <c:v>746.69571900000005</c:v>
                </c:pt>
                <c:pt idx="9">
                  <c:v>646.64285500000005</c:v>
                </c:pt>
                <c:pt idx="10">
                  <c:v>798.05903999999998</c:v>
                </c:pt>
                <c:pt idx="11">
                  <c:v>714.68328899999995</c:v>
                </c:pt>
              </c:numCache>
            </c:numRef>
          </c:xVal>
          <c:yVal>
            <c:numRef>
              <c:f>Sheet17!$C$45:$C$56</c:f>
              <c:numCache>
                <c:formatCode>General</c:formatCode>
                <c:ptCount val="12"/>
                <c:pt idx="0">
                  <c:v>9.9397970000000004</c:v>
                </c:pt>
                <c:pt idx="1">
                  <c:v>6.0888520000000002</c:v>
                </c:pt>
                <c:pt idx="2">
                  <c:v>5.9721380000000002</c:v>
                </c:pt>
                <c:pt idx="3">
                  <c:v>10.01684</c:v>
                </c:pt>
                <c:pt idx="4">
                  <c:v>2.0919460000000001</c:v>
                </c:pt>
                <c:pt idx="5">
                  <c:v>10.081469999999999</c:v>
                </c:pt>
                <c:pt idx="6">
                  <c:v>2.0748530000000001</c:v>
                </c:pt>
                <c:pt idx="7">
                  <c:v>9.9224979999999992</c:v>
                </c:pt>
                <c:pt idx="8">
                  <c:v>10.06706</c:v>
                </c:pt>
                <c:pt idx="9">
                  <c:v>1.8540650000000001</c:v>
                </c:pt>
                <c:pt idx="10">
                  <c:v>1.8997889999999999</c:v>
                </c:pt>
                <c:pt idx="11">
                  <c:v>1.9832939999999999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Sheet17!$E$15</c:f>
              <c:numCache>
                <c:formatCode>General</c:formatCode>
                <c:ptCount val="1"/>
                <c:pt idx="0">
                  <c:v>748.5</c:v>
                </c:pt>
              </c:numCache>
            </c:numRef>
          </c:xVal>
          <c:yVal>
            <c:numRef>
              <c:f>Sheet17!$F$15</c:f>
              <c:numCache>
                <c:formatCode>General</c:formatCode>
                <c:ptCount val="1"/>
                <c:pt idx="0">
                  <c:v>1.89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Sheet17!$B$12</c:f>
              <c:numCache>
                <c:formatCode>General</c:formatCode>
                <c:ptCount val="1"/>
                <c:pt idx="0">
                  <c:v>752.76</c:v>
                </c:pt>
              </c:numCache>
            </c:numRef>
          </c:xVal>
          <c:yVal>
            <c:numRef>
              <c:f>Sheet17!$C$12</c:f>
              <c:numCache>
                <c:formatCode>General</c:formatCode>
                <c:ptCount val="1"/>
                <c:pt idx="0">
                  <c:v>1.89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65496"/>
        <c:axId val="497362752"/>
      </c:scatterChart>
      <c:valAx>
        <c:axId val="497365496"/>
        <c:scaling>
          <c:orientation val="minMax"/>
          <c:min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2752"/>
        <c:crosses val="autoZero"/>
        <c:crossBetween val="midCat"/>
      </c:valAx>
      <c:valAx>
        <c:axId val="4973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6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Sheet18!$B$45:$B$56</c:f>
              <c:numCache>
                <c:formatCode>General</c:formatCode>
                <c:ptCount val="12"/>
                <c:pt idx="0">
                  <c:v>266.45333199999999</c:v>
                </c:pt>
                <c:pt idx="1">
                  <c:v>456.07585699999998</c:v>
                </c:pt>
                <c:pt idx="2">
                  <c:v>236.87383700000001</c:v>
                </c:pt>
                <c:pt idx="3">
                  <c:v>447.45886899999999</c:v>
                </c:pt>
                <c:pt idx="4">
                  <c:v>415.64140900000001</c:v>
                </c:pt>
                <c:pt idx="5">
                  <c:v>480.99231099999997</c:v>
                </c:pt>
                <c:pt idx="6">
                  <c:v>247.19758400000001</c:v>
                </c:pt>
                <c:pt idx="7">
                  <c:v>188.86050800000001</c:v>
                </c:pt>
                <c:pt idx="8">
                  <c:v>419.49357900000001</c:v>
                </c:pt>
                <c:pt idx="9">
                  <c:v>458.69219299999997</c:v>
                </c:pt>
                <c:pt idx="10">
                  <c:v>214.14017999999999</c:v>
                </c:pt>
                <c:pt idx="11">
                  <c:v>401.21080599999999</c:v>
                </c:pt>
              </c:numCache>
            </c:numRef>
          </c:xVal>
          <c:yVal>
            <c:numRef>
              <c:f>Sheet18!$C$45:$C$56</c:f>
              <c:numCache>
                <c:formatCode>General</c:formatCode>
                <c:ptCount val="12"/>
                <c:pt idx="0">
                  <c:v>9.8851420000000001</c:v>
                </c:pt>
                <c:pt idx="1">
                  <c:v>5.9597769999999999</c:v>
                </c:pt>
                <c:pt idx="2">
                  <c:v>10.51515</c:v>
                </c:pt>
                <c:pt idx="3">
                  <c:v>1.9762740000000001</c:v>
                </c:pt>
                <c:pt idx="4">
                  <c:v>9.9580339999999996</c:v>
                </c:pt>
                <c:pt idx="5">
                  <c:v>9.7744389999999992</c:v>
                </c:pt>
                <c:pt idx="6">
                  <c:v>2.5263610000000001</c:v>
                </c:pt>
                <c:pt idx="7">
                  <c:v>10.06592</c:v>
                </c:pt>
                <c:pt idx="8">
                  <c:v>1.9535260000000001</c:v>
                </c:pt>
                <c:pt idx="9">
                  <c:v>9.9643990000000002</c:v>
                </c:pt>
                <c:pt idx="10">
                  <c:v>6.3069199999999999</c:v>
                </c:pt>
                <c:pt idx="11">
                  <c:v>5.9494400000000001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Sheet18!$E$15</c:f>
              <c:numCache>
                <c:formatCode>General</c:formatCode>
                <c:ptCount val="1"/>
                <c:pt idx="0">
                  <c:v>316.38</c:v>
                </c:pt>
              </c:numCache>
            </c:numRef>
          </c:xVal>
          <c:yVal>
            <c:numRef>
              <c:f>Sheet18!$F$15</c:f>
              <c:numCache>
                <c:formatCode>General</c:formatCode>
                <c:ptCount val="1"/>
                <c:pt idx="0">
                  <c:v>6.54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Sheet18!$B$12</c:f>
              <c:numCache>
                <c:formatCode>General</c:formatCode>
                <c:ptCount val="1"/>
                <c:pt idx="0">
                  <c:v>327.14</c:v>
                </c:pt>
              </c:numCache>
            </c:numRef>
          </c:xVal>
          <c:yVal>
            <c:numRef>
              <c:f>Sheet18!$C$12</c:f>
              <c:numCache>
                <c:formatCode>General</c:formatCode>
                <c:ptCount val="1"/>
                <c:pt idx="0">
                  <c:v>6.2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187392"/>
        <c:axId val="594403776"/>
      </c:scatterChart>
      <c:valAx>
        <c:axId val="60418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403776"/>
        <c:crosses val="autoZero"/>
        <c:crossBetween val="midCat"/>
      </c:valAx>
      <c:valAx>
        <c:axId val="5944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18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Sheet19!$B$45:$B$56</c:f>
              <c:numCache>
                <c:formatCode>General</c:formatCode>
                <c:ptCount val="12"/>
                <c:pt idx="0">
                  <c:v>91.983315000000005</c:v>
                </c:pt>
                <c:pt idx="1">
                  <c:v>270.73156699999998</c:v>
                </c:pt>
                <c:pt idx="2">
                  <c:v>92.416458000000006</c:v>
                </c:pt>
              </c:numCache>
            </c:numRef>
          </c:xVal>
          <c:yVal>
            <c:numRef>
              <c:f>Sheet19!$C$45:$C$56</c:f>
              <c:numCache>
                <c:formatCode>General</c:formatCode>
                <c:ptCount val="12"/>
                <c:pt idx="0">
                  <c:v>1.986086</c:v>
                </c:pt>
                <c:pt idx="1">
                  <c:v>5.9547809999999997</c:v>
                </c:pt>
                <c:pt idx="2">
                  <c:v>9.9860140000000008</c:v>
                </c:pt>
              </c:numCache>
            </c:numRef>
          </c:yVal>
          <c:smooth val="0"/>
        </c:ser>
        <c:ser>
          <c:idx val="1"/>
          <c:order val="1"/>
          <c:tx>
            <c:v>Current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Sheet19!$E$15</c:f>
              <c:numCache>
                <c:formatCode>General</c:formatCode>
                <c:ptCount val="1"/>
                <c:pt idx="0">
                  <c:v>127.4</c:v>
                </c:pt>
              </c:numCache>
            </c:numRef>
          </c:xVal>
          <c:yVal>
            <c:numRef>
              <c:f>Sheet19!$F$15</c:f>
              <c:numCache>
                <c:formatCode>General</c:formatCode>
                <c:ptCount val="1"/>
                <c:pt idx="0">
                  <c:v>6.17</c:v>
                </c:pt>
              </c:numCache>
            </c:numRef>
          </c:yVal>
          <c:smooth val="0"/>
        </c:ser>
        <c:ser>
          <c:idx val="2"/>
          <c:order val="2"/>
          <c:tx>
            <c:v>Target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Sheet19!$B$12</c:f>
              <c:numCache>
                <c:formatCode>General</c:formatCode>
                <c:ptCount val="1"/>
                <c:pt idx="0">
                  <c:v>129.66999999999999</c:v>
                </c:pt>
              </c:numCache>
            </c:numRef>
          </c:xVal>
          <c:yVal>
            <c:numRef>
              <c:f>Sheet19!$C$12</c:f>
              <c:numCache>
                <c:formatCode>General</c:formatCode>
                <c:ptCount val="1"/>
                <c:pt idx="0">
                  <c:v>6.18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388480"/>
        <c:axId val="498385344"/>
      </c:scatterChart>
      <c:valAx>
        <c:axId val="49838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5344"/>
        <c:crosses val="autoZero"/>
        <c:crossBetween val="midCat"/>
      </c:valAx>
      <c:valAx>
        <c:axId val="49838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8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26</xdr:row>
      <xdr:rowOff>176212</xdr:rowOff>
    </xdr:from>
    <xdr:to>
      <xdr:col>12</xdr:col>
      <xdr:colOff>533400</xdr:colOff>
      <xdr:row>41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74083</xdr:colOff>
      <xdr:row>42</xdr:row>
      <xdr:rowOff>73024</xdr:rowOff>
    </xdr:from>
    <xdr:to>
      <xdr:col>11</xdr:col>
      <xdr:colOff>687917</xdr:colOff>
      <xdr:row>56</xdr:row>
      <xdr:rowOff>149224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74083</xdr:colOff>
      <xdr:row>42</xdr:row>
      <xdr:rowOff>73024</xdr:rowOff>
    </xdr:from>
    <xdr:to>
      <xdr:col>11</xdr:col>
      <xdr:colOff>687917</xdr:colOff>
      <xdr:row>56</xdr:row>
      <xdr:rowOff>149224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10583</xdr:colOff>
      <xdr:row>43</xdr:row>
      <xdr:rowOff>83608</xdr:rowOff>
    </xdr:from>
    <xdr:to>
      <xdr:col>11</xdr:col>
      <xdr:colOff>624417</xdr:colOff>
      <xdr:row>57</xdr:row>
      <xdr:rowOff>159808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74083</xdr:colOff>
      <xdr:row>42</xdr:row>
      <xdr:rowOff>73024</xdr:rowOff>
    </xdr:from>
    <xdr:to>
      <xdr:col>11</xdr:col>
      <xdr:colOff>687917</xdr:colOff>
      <xdr:row>56</xdr:row>
      <xdr:rowOff>149224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63499</xdr:colOff>
      <xdr:row>42</xdr:row>
      <xdr:rowOff>168274</xdr:rowOff>
    </xdr:from>
    <xdr:to>
      <xdr:col>11</xdr:col>
      <xdr:colOff>677333</xdr:colOff>
      <xdr:row>57</xdr:row>
      <xdr:rowOff>53974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4"/>
  <sheetViews>
    <sheetView workbookViewId="0">
      <selection activeCell="B1" sqref="B1:B25"/>
    </sheetView>
  </sheetViews>
  <sheetFormatPr defaultRowHeight="15" x14ac:dyDescent="0.25"/>
  <sheetData>
    <row r="1" spans="1:2" x14ac:dyDescent="0.25">
      <c r="A1" t="s">
        <v>530</v>
      </c>
      <c r="B1" s="4" t="str">
        <f>INDEX($A$1:$A$25,COUNTA($A$1:$A$25)+ROW($A$1:$A$25)-ROW(),1)</f>
        <v>1(2-2): #[50] s[129.67] d[6.18] s_dot[5.98] s_dot2[6.55] s_dot3[1.28] d_dot[0.00] d_dot2[0.00] avg_d_dot[0.00] C1[25.6272] C2[25.6272]</v>
      </c>
    </row>
    <row r="2" spans="1:2" x14ac:dyDescent="0.25">
      <c r="A2" t="s">
        <v>531</v>
      </c>
      <c r="B2" s="4" t="str">
        <f t="shared" ref="B2:B25" si="0">INDEX($A$1:$A$25,COUNTA($A$1:$A$25)+ROW($A$1:$A$25)-ROW(),1)</f>
        <v>1(2-2): #[50] s[129.81] d[6.18] s_dot[6.36] s_dot2[8.55] s_dot3[3.28] d_dot[0.00] d_dot2[0.00] avg_d_dot[0.00] C1[63.6901] C2[63.6901]</v>
      </c>
    </row>
    <row r="3" spans="1:2" x14ac:dyDescent="0.25">
      <c r="A3" t="s">
        <v>532</v>
      </c>
      <c r="B3" s="4" t="str">
        <f t="shared" si="0"/>
        <v>1(2-2): #[50] s[130.00] d[6.18] s_dot[6.85] s_dot2[11.15] s_dot3[5.88] d_dot[0.00] d_dot2[0.00] avg_d_dot[0.00] C1[61.4521] C2[61.4521]</v>
      </c>
    </row>
    <row r="4" spans="1:2" x14ac:dyDescent="0.25">
      <c r="A4" t="s">
        <v>533</v>
      </c>
      <c r="B4" s="4" t="str">
        <f t="shared" si="0"/>
        <v>1(2-2): #[50] s[130.05] d[6.18] s_dot[6.97] s_dot2[11.75] s_dot3[6.48] d_dot[0.00] d_dot2[0.00] avg_d_dot[0.00] C1[60.9750] C2[60.9750]</v>
      </c>
    </row>
    <row r="5" spans="1:2" x14ac:dyDescent="0.25">
      <c r="A5" t="s">
        <v>534</v>
      </c>
      <c r="B5" s="4" t="str">
        <f t="shared" si="0"/>
        <v>1(2-2): #[50] s[130.10] d[6.18] s_dot[7.12] s_dot2[12.55] s_dot3[7.28] d_dot[0.00] d_dot2[0.00] avg_d_dot[0.00] C1[60.3598] C2[60.3598]</v>
      </c>
    </row>
    <row r="6" spans="1:2" x14ac:dyDescent="0.25">
      <c r="A6" t="s">
        <v>535</v>
      </c>
      <c r="B6" s="4" t="str">
        <f t="shared" si="0"/>
        <v>1(2-2): #[50] s[129.96] d[6.18] s_dot[6.74] s_dot2[10.55] s_dot3[5.28] d_dot[0.00] d_dot2[0.00] avg_d_dot[0.00] C1[61.9432] C2[61.9432]</v>
      </c>
    </row>
    <row r="7" spans="1:2" x14ac:dyDescent="0.25">
      <c r="A7" t="s">
        <v>536</v>
      </c>
      <c r="B7" s="4" t="str">
        <f t="shared" si="0"/>
        <v>1(2-2): #[50] s[129.20] d[6.18] s_dot[4.73] s_dot2[0.00] s_dot3[5.28] d_dot[0.00] d_dot2[0.00] avg_d_dot[0.00] C1[33.7733] C2[33.7733]</v>
      </c>
    </row>
    <row r="8" spans="1:2" x14ac:dyDescent="0.25">
      <c r="A8" t="s">
        <v>537</v>
      </c>
      <c r="B8" s="4" t="str">
        <f t="shared" si="0"/>
        <v>4(2-3): #[130] s[275.00] d[-12.07] s_dot[142.18] s_dot2[34.53] s_dot3[29.26] d_dot[27.81] d_dot2[0.05] avg_d_dot[0.28] C1[95.9921] C2[215.9921]</v>
      </c>
    </row>
    <row r="9" spans="1:2" x14ac:dyDescent="0.25">
      <c r="A9" t="s">
        <v>538</v>
      </c>
      <c r="B9" s="4" t="str">
        <f t="shared" si="0"/>
        <v>4(2-3): #[130] s[274.98] d[-13.84] s_dot[142.15] s_dot2[34.53] s_dot3[29.25] d_dot[30.75] d_dot2[0.10] avg_d_dot[0.31] C1[95.9921] C2[215.9921]</v>
      </c>
    </row>
    <row r="10" spans="1:2" x14ac:dyDescent="0.25">
      <c r="A10" t="s">
        <v>539</v>
      </c>
      <c r="B10" s="4" t="str">
        <f t="shared" si="0"/>
        <v>4(2-3): #[61] s[143.59] d[9.06] s_dot[46.81] s_dot2[34.49] s_dot3[29.21] d_dot[-10.78] d_dot2[0.21] avg_d_dot[-0.35] C1[71.3287] C2[191.3287]</v>
      </c>
    </row>
    <row r="11" spans="1:2" x14ac:dyDescent="0.25">
      <c r="A11" t="s">
        <v>540</v>
      </c>
      <c r="B11" s="4" t="str">
        <f t="shared" si="0"/>
        <v>4(2-3): #[130] s[136.86] d[6.53] s_dot[4.72] s_dot2[-0.00] s_dot3[5.28] d_dot[-0.30] d_dot2[0.05] avg_d_dot[-0.00] C1[58.8561] C2[186.7964]</v>
      </c>
    </row>
    <row r="12" spans="1:2" x14ac:dyDescent="0.25">
      <c r="A12" t="s">
        <v>541</v>
      </c>
      <c r="B12" s="4" t="str">
        <f t="shared" si="0"/>
        <v>4(2-3): #[130] s[136.83] d[6.77] s_dot[4.70] s_dot2[-0.01] s_dot3[5.29] d_dot[-0.51] d_dot2[0.10] avg_d_dot[-0.01] C1[59.0533] C2[186.9966]</v>
      </c>
    </row>
    <row r="13" spans="1:2" x14ac:dyDescent="0.25">
      <c r="A13" t="s">
        <v>542</v>
      </c>
      <c r="B13" s="4" t="str">
        <f t="shared" si="0"/>
        <v>4(2-3): #[130] s[136.68] d[7.42] s_dot[4.55] s_dot2[-0.05] s_dot3[5.32] d_dot[-1.02] d_dot2[0.21] avg_d_dot[-0.01] C1[60.2612] C2[188.2219]</v>
      </c>
    </row>
    <row r="14" spans="1:2" x14ac:dyDescent="0.25">
      <c r="A14" t="s">
        <v>543</v>
      </c>
      <c r="B14" s="4" t="str">
        <f t="shared" si="0"/>
        <v>4(2-3): #[130] s[248.23] d[-6.83] s_dot[115.54] s_dot2[27.84] s_dot3[22.56] d_dot[22.60] d_dot2[0.05] avg_d_dot[0.23] C1[95.9921] C2[215.9921]</v>
      </c>
    </row>
    <row r="15" spans="1:2" x14ac:dyDescent="0.25">
      <c r="A15" t="s">
        <v>544</v>
      </c>
      <c r="B15" s="4" t="str">
        <f t="shared" si="0"/>
        <v>4(2-3): #[130] s[248.21] d[-8.05] s_dot[115.52] s_dot2[27.84] s_dot3[22.56] d_dot[24.99] d_dot2[0.10] avg_d_dot[0.25] C1[95.9921] C2[215.9921]</v>
      </c>
    </row>
    <row r="16" spans="1:2" x14ac:dyDescent="0.25">
      <c r="A16" t="s">
        <v>545</v>
      </c>
      <c r="B16" s="4" t="str">
        <f t="shared" si="0"/>
        <v>4(2-3): #[64] s[143.47] d[9.03] s_dot[41.99] s_dot2[27.80] s_dot3[22.52] d_dot[-9.70] d_dot2[0.21] avg_d_dot[-0.29] C1[71.4173] C2[191.4173]</v>
      </c>
    </row>
    <row r="17" spans="1:3" x14ac:dyDescent="0.25">
      <c r="A17" t="s">
        <v>546</v>
      </c>
      <c r="B17" s="4" t="str">
        <f t="shared" si="0"/>
        <v>5(2-1): #[70] s[153.29] d[2.82] s_dot[59.30] s_dot2[34.53] s_dot3[29.26] d_dot[12.17] d_dot2[0.06] avg_d_dot[0.30] C1[71.5921] C2[191.5921]</v>
      </c>
    </row>
    <row r="18" spans="1:3" x14ac:dyDescent="0.25">
      <c r="A18" t="s">
        <v>547</v>
      </c>
      <c r="B18" s="4" t="str">
        <f t="shared" si="0"/>
        <v>5(2-1): #[66] s[148.70] d[3.00] s_dot[53.76] s_dot2[34.53] s_dot3[29.25] d_dot[12.34] d_dot2[0.10] avg_d_dot[0.34] C1[71.4759] C2[191.4759]</v>
      </c>
    </row>
    <row r="19" spans="1:3" x14ac:dyDescent="0.25">
      <c r="A19" t="s">
        <v>548</v>
      </c>
      <c r="B19" s="4" t="str">
        <f t="shared" si="0"/>
        <v>5(2-1): #[61] s[143.59] d[2.91] s_dot[46.80] s_dot2[34.48] s_dot3[29.20] d_dot[13.86] d_dot2[0.23] avg_d_dot[0.45] C1[71.3287] C2[191.3287]</v>
      </c>
    </row>
    <row r="20" spans="1:3" x14ac:dyDescent="0.25">
      <c r="A20" t="s">
        <v>549</v>
      </c>
      <c r="B20" s="4" t="str">
        <f t="shared" si="0"/>
        <v>5(2-1): #[130] s[136.85] d[5.62] s_dot[4.72] s_dot2[-0.00] s_dot3[5.28] d_dot[0.53] d_dot2[0.06] avg_d_dot[0.01] C1[58.8747] C2[186.7594]</v>
      </c>
    </row>
    <row r="21" spans="1:3" x14ac:dyDescent="0.25">
      <c r="A21" t="s">
        <v>550</v>
      </c>
      <c r="B21" s="4" t="str">
        <f t="shared" si="0"/>
        <v>5(2-1): #[130] s[136.82] d[5.40] s_dot[4.69] s_dot2[-0.01] s_dot3[5.29] d_dot[0.71] d_dot2[0.10] avg_d_dot[0.01] C1[59.1127] C2[187.0011]</v>
      </c>
    </row>
    <row r="22" spans="1:3" x14ac:dyDescent="0.25">
      <c r="A22" t="s">
        <v>551</v>
      </c>
      <c r="B22" s="4" t="str">
        <f t="shared" si="0"/>
        <v>5(2-1): #[130] s[136.65] d[4.87] s_dot[4.52] s_dot2[-0.06] s_dot3[5.33] d_dot[1.12] d_dot2[0.23] avg_d_dot[0.01] C1[60.5794] C2[188.4897]</v>
      </c>
    </row>
    <row r="23" spans="1:3" x14ac:dyDescent="0.25">
      <c r="A23" t="s">
        <v>552</v>
      </c>
      <c r="B23" s="4" t="str">
        <f t="shared" si="0"/>
        <v>5(2-1): #[74] s[153.12] d[2.85] s_dot[53.18] s_dot2[27.84] s_dot3[22.56] d_dot[10.91] d_dot2[0.06] avg_d_dot[0.25] C1[71.7065] C2[191.7065]</v>
      </c>
    </row>
    <row r="24" spans="1:3" x14ac:dyDescent="0.25">
      <c r="A24" t="s">
        <v>553</v>
      </c>
      <c r="B24" s="4" t="str">
        <f t="shared" si="0"/>
        <v>5(2-1): #[70] s[149.00] d[2.93] s_dot[48.71] s_dot2[27.83] s_dot3[22.56] d_dot[11.20] d_dot2[0.10] avg_d_dot[0.28] C1[71.5921] C2[191.5921]</v>
      </c>
    </row>
    <row r="25" spans="1:3" x14ac:dyDescent="0.25">
      <c r="A25" t="s">
        <v>554</v>
      </c>
      <c r="B25" s="4" t="str">
        <f t="shared" si="0"/>
        <v>5(2-1): #[64] s[143.47] d[2.94] s_dot[41.97] s_dot2[27.79] s_dot3[22.51] d_dot[12.44] d_dot2[0.23] avg_d_dot[0.37] C1[71.4173] C2[191.4173]</v>
      </c>
    </row>
    <row r="32" spans="1:3" x14ac:dyDescent="0.25">
      <c r="A32" t="s">
        <v>77</v>
      </c>
      <c r="B32">
        <v>2079.56</v>
      </c>
      <c r="C32">
        <v>5.96</v>
      </c>
    </row>
    <row r="33" spans="1:3" x14ac:dyDescent="0.25">
      <c r="A33" t="s">
        <v>78</v>
      </c>
      <c r="B33">
        <v>2091.8000000000002</v>
      </c>
      <c r="C33">
        <v>3.95</v>
      </c>
    </row>
    <row r="34" spans="1:3" x14ac:dyDescent="0.25">
      <c r="B34">
        <v>2093</v>
      </c>
      <c r="C34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30"/>
  <sheetViews>
    <sheetView topLeftCell="A2" zoomScale="90" zoomScaleNormal="90" workbookViewId="0">
      <pane xSplit="3" topLeftCell="D1" activePane="topRight" state="frozen"/>
      <selection activeCell="P4" sqref="P4"/>
      <selection pane="topRight" activeCell="J4" sqref="J4:L4"/>
    </sheetView>
  </sheetViews>
  <sheetFormatPr defaultRowHeight="15" x14ac:dyDescent="0.25"/>
  <cols>
    <col min="1" max="1" width="24.42578125" bestFit="1" customWidth="1"/>
    <col min="2" max="2" width="36.5703125" bestFit="1" customWidth="1"/>
    <col min="3" max="3" width="30.42578125" bestFit="1" customWidth="1"/>
    <col min="4" max="4" width="12.140625" customWidth="1"/>
    <col min="5" max="6" width="12.7109375" customWidth="1"/>
    <col min="7" max="7" width="12.28515625" customWidth="1"/>
    <col min="8" max="10" width="11" customWidth="1"/>
    <col min="11" max="11" width="11.85546875" customWidth="1"/>
    <col min="12" max="20" width="12.140625" customWidth="1"/>
    <col min="21" max="21" width="12.140625" bestFit="1" customWidth="1"/>
    <col min="22" max="24" width="12.140625" customWidth="1"/>
    <col min="25" max="25" width="12" customWidth="1"/>
    <col min="26" max="26" width="11.85546875" customWidth="1"/>
    <col min="27" max="27" width="12" customWidth="1"/>
    <col min="28" max="28" width="12.7109375" customWidth="1"/>
    <col min="29" max="29" width="13.140625" customWidth="1"/>
    <col min="30" max="30" width="12.140625" customWidth="1"/>
  </cols>
  <sheetData>
    <row r="1" spans="1:26" x14ac:dyDescent="0.25">
      <c r="A1" s="7" t="s">
        <v>32</v>
      </c>
      <c r="B1" s="7"/>
    </row>
    <row r="2" spans="1:26" ht="60" x14ac:dyDescent="0.25">
      <c r="A2" t="s">
        <v>0</v>
      </c>
      <c r="B2">
        <v>50</v>
      </c>
      <c r="E2" s="5" t="s">
        <v>40</v>
      </c>
      <c r="F2" s="5" t="s">
        <v>62</v>
      </c>
      <c r="G2" s="5" t="s">
        <v>54</v>
      </c>
      <c r="H2" s="5" t="s">
        <v>43</v>
      </c>
      <c r="I2" s="5" t="s">
        <v>75</v>
      </c>
      <c r="J2" s="5" t="s">
        <v>55</v>
      </c>
      <c r="K2" s="5" t="s">
        <v>46</v>
      </c>
      <c r="L2" s="5" t="s">
        <v>44</v>
      </c>
      <c r="M2" s="5" t="s">
        <v>49</v>
      </c>
      <c r="N2" s="5" t="s">
        <v>47</v>
      </c>
      <c r="O2" s="5" t="s">
        <v>41</v>
      </c>
      <c r="P2" s="5" t="s">
        <v>111</v>
      </c>
      <c r="Q2" s="5" t="s">
        <v>88</v>
      </c>
      <c r="R2" s="5" t="s">
        <v>334</v>
      </c>
      <c r="S2" s="5" t="s">
        <v>332</v>
      </c>
      <c r="T2" s="5" t="s">
        <v>104</v>
      </c>
      <c r="U2" s="5" t="s">
        <v>105</v>
      </c>
      <c r="V2" s="5" t="s">
        <v>106</v>
      </c>
      <c r="W2" s="5" t="s">
        <v>107</v>
      </c>
      <c r="X2" s="5" t="s">
        <v>112</v>
      </c>
      <c r="Y2" s="5" t="s">
        <v>113</v>
      </c>
      <c r="Z2" s="5" t="s">
        <v>451</v>
      </c>
    </row>
    <row r="3" spans="1:26" x14ac:dyDescent="0.25">
      <c r="A3" t="s">
        <v>1</v>
      </c>
      <c r="B3">
        <v>21.22</v>
      </c>
      <c r="E3">
        <v>3</v>
      </c>
      <c r="F3">
        <v>100</v>
      </c>
      <c r="G3">
        <v>50</v>
      </c>
      <c r="H3">
        <v>250</v>
      </c>
      <c r="I3">
        <v>0</v>
      </c>
      <c r="J3">
        <v>30</v>
      </c>
      <c r="K3">
        <v>40</v>
      </c>
      <c r="L3">
        <v>0</v>
      </c>
      <c r="M3">
        <v>0</v>
      </c>
      <c r="N3">
        <v>1</v>
      </c>
      <c r="O3">
        <v>0</v>
      </c>
      <c r="P3">
        <v>23</v>
      </c>
      <c r="Q3">
        <v>0</v>
      </c>
      <c r="R3">
        <v>100</v>
      </c>
      <c r="S3">
        <v>120</v>
      </c>
      <c r="T3">
        <v>0</v>
      </c>
      <c r="U3">
        <v>10</v>
      </c>
      <c r="V3">
        <v>70</v>
      </c>
      <c r="W3">
        <v>0</v>
      </c>
      <c r="X3">
        <v>30</v>
      </c>
      <c r="Y3">
        <v>60</v>
      </c>
      <c r="Z3">
        <v>2</v>
      </c>
    </row>
    <row r="4" spans="1:26" x14ac:dyDescent="0.25">
      <c r="A4" t="s">
        <v>2</v>
      </c>
      <c r="B4">
        <v>8</v>
      </c>
    </row>
    <row r="5" spans="1:26" x14ac:dyDescent="0.25">
      <c r="A5" t="s">
        <v>48</v>
      </c>
      <c r="B5">
        <v>8</v>
      </c>
    </row>
    <row r="6" spans="1:26" x14ac:dyDescent="0.25">
      <c r="A6" t="s">
        <v>4</v>
      </c>
      <c r="B6">
        <v>4</v>
      </c>
    </row>
    <row r="7" spans="1:26" x14ac:dyDescent="0.25">
      <c r="A7" t="s">
        <v>10</v>
      </c>
      <c r="B7">
        <v>30</v>
      </c>
    </row>
    <row r="8" spans="1:26" x14ac:dyDescent="0.25">
      <c r="A8" t="s">
        <v>108</v>
      </c>
      <c r="B8">
        <v>5</v>
      </c>
    </row>
    <row r="9" spans="1:26" x14ac:dyDescent="0.25">
      <c r="A9" t="s">
        <v>45</v>
      </c>
      <c r="B9">
        <v>0.02</v>
      </c>
    </row>
    <row r="10" spans="1:26" x14ac:dyDescent="0.25">
      <c r="A10" t="s">
        <v>114</v>
      </c>
      <c r="B10">
        <v>10</v>
      </c>
    </row>
    <row r="11" spans="1:26" x14ac:dyDescent="0.25">
      <c r="A11" t="s">
        <v>331</v>
      </c>
      <c r="B11">
        <v>1</v>
      </c>
    </row>
    <row r="13" spans="1:26" x14ac:dyDescent="0.25">
      <c r="B13" t="s">
        <v>64</v>
      </c>
      <c r="C13" t="s">
        <v>7</v>
      </c>
    </row>
    <row r="14" spans="1:26" x14ac:dyDescent="0.25">
      <c r="A14" t="s">
        <v>65</v>
      </c>
      <c r="B14" t="s">
        <v>85</v>
      </c>
      <c r="C14" t="str">
        <f ca="1">INDIRECT(CONCATENATE(A14,"!B11"),TRUE)</f>
        <v>Same Lane Accel 2</v>
      </c>
    </row>
    <row r="15" spans="1:26" x14ac:dyDescent="0.25">
      <c r="A15" t="s">
        <v>66</v>
      </c>
      <c r="B15" t="s">
        <v>85</v>
      </c>
      <c r="C15" t="str">
        <f t="shared" ref="C15:C30" ca="1" si="0">INDIRECT(CONCATENATE(A15,"!B11"),TRUE)</f>
        <v>Same Lane Accel 2</v>
      </c>
    </row>
    <row r="16" spans="1:26" x14ac:dyDescent="0.25">
      <c r="A16" t="s">
        <v>73</v>
      </c>
      <c r="B16" t="s">
        <v>481</v>
      </c>
      <c r="C16" t="str">
        <f t="shared" ca="1" si="0"/>
        <v>Same Lane Accel 2</v>
      </c>
    </row>
    <row r="17" spans="1:3" x14ac:dyDescent="0.25">
      <c r="A17" t="s">
        <v>74</v>
      </c>
      <c r="B17" t="s">
        <v>85</v>
      </c>
      <c r="C17" t="str">
        <f t="shared" ca="1" si="0"/>
        <v>Same Lane Accel 2</v>
      </c>
    </row>
    <row r="18" spans="1:3" x14ac:dyDescent="0.25">
      <c r="A18" t="s">
        <v>76</v>
      </c>
      <c r="B18" t="s">
        <v>85</v>
      </c>
      <c r="C18" t="str">
        <f t="shared" ca="1" si="0"/>
        <v>Same Lane Accel 2</v>
      </c>
    </row>
    <row r="19" spans="1:3" x14ac:dyDescent="0.25">
      <c r="A19" t="s">
        <v>86</v>
      </c>
      <c r="B19" t="s">
        <v>85</v>
      </c>
      <c r="C19" t="str">
        <f t="shared" ca="1" si="0"/>
        <v>Same Lane Accel 2</v>
      </c>
    </row>
    <row r="20" spans="1:3" x14ac:dyDescent="0.25">
      <c r="A20" t="s">
        <v>87</v>
      </c>
      <c r="B20" t="s">
        <v>85</v>
      </c>
      <c r="C20" t="str">
        <f t="shared" ca="1" si="0"/>
        <v>Same Lane Accel 2</v>
      </c>
    </row>
    <row r="21" spans="1:3" x14ac:dyDescent="0.25">
      <c r="A21" t="s">
        <v>89</v>
      </c>
      <c r="B21" t="s">
        <v>85</v>
      </c>
      <c r="C21" t="str">
        <f t="shared" ca="1" si="0"/>
        <v>Same Lane Accel 2</v>
      </c>
    </row>
    <row r="22" spans="1:3" x14ac:dyDescent="0.25">
      <c r="A22" t="s">
        <v>90</v>
      </c>
      <c r="B22" t="s">
        <v>330</v>
      </c>
      <c r="C22" t="str">
        <f t="shared" ca="1" si="0"/>
        <v>Change Lane Left in 40 Keep Accel</v>
      </c>
    </row>
    <row r="23" spans="1:3" x14ac:dyDescent="0.25">
      <c r="A23" t="s">
        <v>109</v>
      </c>
      <c r="B23" t="s">
        <v>330</v>
      </c>
      <c r="C23" t="str">
        <f t="shared" ca="1" si="0"/>
        <v>Change Lane Left in 30  Accel +1</v>
      </c>
    </row>
    <row r="24" spans="1:3" x14ac:dyDescent="0.25">
      <c r="A24" t="s">
        <v>110</v>
      </c>
      <c r="B24" t="s">
        <v>85</v>
      </c>
      <c r="C24" t="str">
        <f t="shared" ca="1" si="0"/>
        <v>Same Lane Accel 2</v>
      </c>
    </row>
    <row r="25" spans="1:3" x14ac:dyDescent="0.25">
      <c r="A25" t="s">
        <v>395</v>
      </c>
      <c r="B25" t="s">
        <v>396</v>
      </c>
      <c r="C25" t="str">
        <f t="shared" ca="1" si="0"/>
        <v>Same Lane Accel -1</v>
      </c>
    </row>
    <row r="26" spans="1:3" x14ac:dyDescent="0.25">
      <c r="A26" t="s">
        <v>423</v>
      </c>
      <c r="B26" t="s">
        <v>424</v>
      </c>
      <c r="C26" t="str">
        <f t="shared" ca="1" si="0"/>
        <v>Same Lane Accel -0.5</v>
      </c>
    </row>
    <row r="27" spans="1:3" x14ac:dyDescent="0.25">
      <c r="A27" t="s">
        <v>452</v>
      </c>
      <c r="B27" t="s">
        <v>453</v>
      </c>
      <c r="C27" t="str">
        <f t="shared" ca="1" si="0"/>
        <v>Same Lane Keep Speed</v>
      </c>
    </row>
    <row r="28" spans="1:3" x14ac:dyDescent="0.25">
      <c r="A28" t="s">
        <v>480</v>
      </c>
      <c r="B28" t="s">
        <v>396</v>
      </c>
      <c r="C28" t="str">
        <f t="shared" ca="1" si="0"/>
        <v>Same Lane Accel -0.5</v>
      </c>
    </row>
    <row r="29" spans="1:3" x14ac:dyDescent="0.25">
      <c r="A29" t="s">
        <v>499</v>
      </c>
      <c r="B29" t="s">
        <v>528</v>
      </c>
      <c r="C29" t="str">
        <f t="shared" ca="1" si="0"/>
        <v>Same Lane Accel 2</v>
      </c>
    </row>
    <row r="30" spans="1:3" x14ac:dyDescent="0.25">
      <c r="A30" t="s">
        <v>526</v>
      </c>
      <c r="B30" t="s">
        <v>527</v>
      </c>
      <c r="C30" t="str">
        <f t="shared" ca="1" si="0"/>
        <v>Same Lane Accel -1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92D050"/>
  </sheetPr>
  <dimension ref="A1:BQ56"/>
  <sheetViews>
    <sheetView topLeftCell="A13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1406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3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115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151.43</v>
      </c>
      <c r="F15">
        <f>VALUE(MID(C15,FIND("d[",C15)+2,FIND("]",C15,FIND("d[",C15))-(FIND("d[",C15)+2)))</f>
        <v>5.87</v>
      </c>
      <c r="G15">
        <f>VALUE(MID(C15,FIND("s_dot[",C15)+6,FIND("]",C15,FIND("s_dot[",C15))-(FIND("s_dot[",C15)+6)))</f>
        <v>4.7699999999999996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7" si="0">$B$6*(L15-1)</f>
        <v>4</v>
      </c>
      <c r="N15">
        <f t="shared" ref="N15:N37" si="1">$B$6*L15</f>
        <v>8</v>
      </c>
      <c r="O15">
        <f>(N15+M15)/2</f>
        <v>6</v>
      </c>
      <c r="P15">
        <f>GetLeadingCarRow($B$45:$E$56,L15,$E$15, $E$15)</f>
        <v>53</v>
      </c>
      <c r="Q15">
        <f ca="1">IFERROR(INDIRECT(CONCATENATE("B", P15))-$E$15,1000000)</f>
        <v>152.62934899999999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39.649179981816467</v>
      </c>
      <c r="C16" t="s">
        <v>140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152.22999999999999</v>
      </c>
      <c r="F16">
        <f>VALUE(MID(C16,FIND("d[",C16)+2,FIND("]",C16,FIND("d[",C16))-(FIND("d[",C16)+2)))</f>
        <v>5.89</v>
      </c>
      <c r="G16">
        <f>VALUE(MID(C16,FIND("s_dot[",C16)+6,FIND("]",C16,FIND("s_dot[",C16))-(FIND("s_dot[",C16)+6)))</f>
        <v>4.09</v>
      </c>
      <c r="H16">
        <f>VALUE(MID(C16,FIND("s_dot2[",C16)+7,FIND("]",C16,FIND("s_dot2[",C16))-(FIND("s_dot2[",C16)+7)))</f>
        <v>-2.0099999999999998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37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37" si="4">(N16+M16)/2</f>
        <v>6</v>
      </c>
      <c r="P16">
        <f t="shared" ref="P16:P40" si="5">GetLeadingCarRow($B$45:$E$56,L16,$E$15, $E$15)</f>
        <v>53</v>
      </c>
      <c r="Q16">
        <f ca="1">IFERROR(INDIRECT(CONCATENATE("B", P16))-$E$15,1000000)</f>
        <v>152.62934899999999</v>
      </c>
      <c r="R16">
        <f ca="1">IFERROR(INDIRECT(CONCATENATE("D", P16)),100)</f>
        <v>17.041014000000001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>
        <f>GetLeadingCarRow($B$45:$E$56,L16,$E$15,E16)</f>
        <v>53</v>
      </c>
      <c r="W16">
        <f ca="1">IFERROR(INDIRECT(CONCATENATE("B", V16))-E16,1000000000)</f>
        <v>151.82934900000001</v>
      </c>
      <c r="X16">
        <f ca="1">IFERROR(INDIRECT(CONCATENATE("D", V16)),100)</f>
        <v>17.041014000000001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-1.9999999999999574E-2</v>
      </c>
      <c r="AC16">
        <f>E16-$E$15</f>
        <v>0.79999999999998295</v>
      </c>
      <c r="AD16">
        <f>$F$15-(-AB16/AC16)*$E$15</f>
        <v>2.0842499999999999</v>
      </c>
      <c r="AE16">
        <f>AD16*-AC16</f>
        <v>-1.6673999999999645</v>
      </c>
      <c r="AF16">
        <f>SQRT(AB16^2+AC16^2)</f>
        <v>0.80024996094968515</v>
      </c>
      <c r="AG16">
        <f>GetSmallestNormalDistance($B$45:$E$56,AB16,AC16,AF16,$L$15,L16)</f>
        <v>1.565269654638233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0.15859671992726587</v>
      </c>
      <c r="AL16">
        <f>IF(H16+ABS(K16)&lt;0,Logistic(SQRT(H16^2+K16^2)/$B$4),0)</f>
        <v>0.12496828907780998</v>
      </c>
      <c r="AM16">
        <f>IF(G16&gt;$B$3,1,0)</f>
        <v>0</v>
      </c>
      <c r="AN16">
        <f>IF(H16&gt;$B$4,1,0)</f>
        <v>0</v>
      </c>
      <c r="AO16">
        <f>ABS(H16)/$B$4</f>
        <v>0.25124999999999997</v>
      </c>
      <c r="AP16">
        <f>Logistic(I16/$B$5)</f>
        <v>0.12435300177159621</v>
      </c>
      <c r="AQ16">
        <f>IF(I16&gt;$B$5,1,0)</f>
        <v>0</v>
      </c>
      <c r="AR16">
        <f>Logistic(ABS(F16-O16)/($B$6/2))</f>
        <v>2.7493069804709946E-2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>Logistic((D16-$B$2)/$B$2)</f>
        <v>0</v>
      </c>
      <c r="BF16">
        <f>IF(G16&lt;=0,1,0)</f>
        <v>0</v>
      </c>
      <c r="BG16">
        <f>IF(G16&lt;0,1,0)</f>
        <v>0</v>
      </c>
      <c r="BH16">
        <f>Logistic(($B$3-G16)/(G16+1))</f>
        <v>0.93321249536655271</v>
      </c>
      <c r="BI16">
        <f>IF(G16&gt;$B$3,1,0)</f>
        <v>0</v>
      </c>
      <c r="BJ16">
        <f>IF(H16&gt;$B$5,1,0)</f>
        <v>0</v>
      </c>
      <c r="BK16">
        <f>EXP(-($B$4-ABS(H16))/MAX(ABS(H16),0.000000001))</f>
        <v>5.0787780103013692E-2</v>
      </c>
      <c r="BL16">
        <f>IF(G16&lt;ABS(H16),1,0)</f>
        <v>0</v>
      </c>
      <c r="BM16">
        <f>EXP(-($B$5-I16)/MAX(I16,0.000000001))</f>
        <v>4.9787068367863944E-2</v>
      </c>
      <c r="BN16">
        <f>IF(F16&gt;N16,(F16-N16)/$B$6,0)+IF(F16&lt;M16,(M16-F16)/$B$6,0)</f>
        <v>0</v>
      </c>
      <c r="BO16">
        <f>ABS(K16/$B$4)</f>
        <v>0</v>
      </c>
      <c r="BP16">
        <f t="shared" ref="BP16:BP37" si="7">Logistic(ABS(H16)/$B$4)</f>
        <v>0.12496828907780998</v>
      </c>
      <c r="BQ16">
        <f>Logistic(($B$3-G16)/G16)</f>
        <v>0.97010833279361175</v>
      </c>
    </row>
    <row r="17" spans="1:69" x14ac:dyDescent="0.25">
      <c r="A17" s="1" t="s">
        <v>15</v>
      </c>
      <c r="B17">
        <f t="shared" ca="1" si="2"/>
        <v>36.428852866488583</v>
      </c>
      <c r="C17" t="s">
        <v>139</v>
      </c>
      <c r="D17">
        <f t="shared" ref="D17:D37" si="8">VALUE(MID(C17,FIND("#[",C17)+2,FIND("]",C17,FIND("#[",C17))-(FIND("#[",C17)+2)))</f>
        <v>50</v>
      </c>
      <c r="E17">
        <f t="shared" ref="E17:E37" si="9">VALUE(MID(C17,FIND("s[",C17)+2,FIND("]",C17,FIND("s[",C17))-(FIND("s[",C17)+2)))</f>
        <v>152.35</v>
      </c>
      <c r="F17">
        <f t="shared" ref="F17:F37" si="10">VALUE(MID(C17,FIND("d[",C17)+2,FIND("]",C17,FIND("d[",C17))-(FIND("d[",C17)+2)))</f>
        <v>5.89</v>
      </c>
      <c r="G17">
        <f t="shared" ref="G17:G37" si="11">VALUE(MID(C17,FIND("s_dot[",C17)+6,FIND("]",C17,FIND("s_dot[",C17))-(FIND("s_dot[",C17)+6)))</f>
        <v>4.43</v>
      </c>
      <c r="H17">
        <f t="shared" ref="H17:H37" si="12">VALUE(MID(C17,FIND("s_dot2[",C17)+7,FIND("]",C17,FIND("s_dot2[",C17))-(FIND("s_dot2[",C17)+7)))</f>
        <v>-1.01</v>
      </c>
      <c r="I17">
        <f t="shared" ref="I17:I37" si="13">VALUE(MID(C17,FIND("s_dot3[",C17)+7,FIND("]",C17,FIND("s_dot3[",C17))-(FIND("s_dot3[",C17)+7)))</f>
        <v>1</v>
      </c>
      <c r="J17">
        <f t="shared" ref="J17:J37" si="14">VALUE(MID(C17,FIND("d_dot[",C17)+6,FIND("]",C17,FIND("d_dot[",C17))-(FIND("d_dot[",C17)+6)))</f>
        <v>0</v>
      </c>
      <c r="K17">
        <f t="shared" ref="K17:K37" si="15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>
        <f t="shared" si="5"/>
        <v>53</v>
      </c>
      <c r="Q17">
        <f t="shared" ref="Q17:Q40" ca="1" si="16">IFERROR(INDIRECT(CONCATENATE("B", P17))-$E$15,1000000)</f>
        <v>152.62934899999999</v>
      </c>
      <c r="R17">
        <f t="shared" ref="R17:R40" ca="1" si="17">IFERROR(INDIRECT(CONCATENATE("D", P17)),100)</f>
        <v>17.041014000000001</v>
      </c>
      <c r="S17" t="e">
        <f t="shared" ref="S17:S40" si="18">GetFollowingCarRow($B$45:$E$56,L17,$E$15, $E$15)</f>
        <v>#VALUE!</v>
      </c>
      <c r="T17">
        <f t="shared" ref="T17:T40" ca="1" si="19">IFERROR(INDIRECT(CONCATENATE("B", S17))-$E$15,1000000)</f>
        <v>1000000</v>
      </c>
      <c r="U17">
        <f t="shared" ref="U17:U40" ca="1" si="20">IFERROR(INDIRECT(CONCATENATE("D", S17)),100)</f>
        <v>100</v>
      </c>
      <c r="V17">
        <f t="shared" ref="V17:V40" si="21">GetLeadingCarRow($B$45:$E$56,L17,$E$15,E17)</f>
        <v>53</v>
      </c>
      <c r="W17">
        <f t="shared" ref="W17:W40" ca="1" si="22">IFERROR(INDIRECT(CONCATENATE("B", V17))-E17,1000000000)</f>
        <v>151.709349</v>
      </c>
      <c r="X17">
        <f t="shared" ref="X17:X40" ca="1" si="23">IFERROR(INDIRECT(CONCATENATE("D", V17)),100)</f>
        <v>17.041014000000001</v>
      </c>
      <c r="Y17" t="e">
        <f>GetFollowingCarRow($B$45:$E$54,L17,$E$15,E17)</f>
        <v>#VALUE!</v>
      </c>
      <c r="Z17">
        <f t="shared" ref="Z17:Z40" ca="1" si="24">IFERROR(INDIRECT(CONCATENATE("B", Y17))-E17,1000000000)</f>
        <v>1000000000</v>
      </c>
      <c r="AA17">
        <f t="shared" ref="AA17:AA40" ca="1" si="25">IFERROR(INDIRECT(CONCATENATE("D", Y17)),100)</f>
        <v>100</v>
      </c>
      <c r="AB17">
        <f t="shared" ref="AB17:AB37" si="26">$F$15-F17</f>
        <v>-1.9999999999999574E-2</v>
      </c>
      <c r="AC17">
        <f t="shared" ref="AC17:AC37" si="27">E17-$E$15</f>
        <v>0.91999999999998749</v>
      </c>
      <c r="AD17">
        <f t="shared" ref="AD17:AD37" si="28">$F$15-(-AB17/AC17)*$E$15</f>
        <v>2.578043478260895</v>
      </c>
      <c r="AE17">
        <f t="shared" ref="AE17:AE37" si="29">AD17*-AC17</f>
        <v>-2.371799999999991</v>
      </c>
      <c r="AF17">
        <f t="shared" ref="AF17:AF37" si="30">SQRT(AB17^2+AC17^2)</f>
        <v>0.92021736562617473</v>
      </c>
      <c r="AG17">
        <f t="shared" ref="AG17:AG37" si="31">GetSmallestNormalDistance($B$45:$E$56,AB17,AC17,AF17,$L$15,L17)</f>
        <v>0.57412520099579178</v>
      </c>
      <c r="AH17">
        <f t="shared" ref="AH17:AH40" si="32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0.14571541146595432</v>
      </c>
      <c r="AL17">
        <f>IF(H17+ABS(K17)&lt;0,Logistic(SQRT(H17^2+K17^2)/$B$4),0)</f>
        <v>6.3041287317610231E-2</v>
      </c>
      <c r="AM17">
        <f>IF(G17&gt;$B$3,1,0)</f>
        <v>0</v>
      </c>
      <c r="AN17">
        <f>IF(H17&gt;$B$4,1,0)</f>
        <v>0</v>
      </c>
      <c r="AO17">
        <f>ABS(H17)/$B$4</f>
        <v>0.12625</v>
      </c>
      <c r="AP17">
        <f>Logistic(I17/$B$5)</f>
        <v>6.2418746747512487E-2</v>
      </c>
      <c r="AQ17">
        <f>IF(I17&gt;$B$5,1,0)</f>
        <v>0</v>
      </c>
      <c r="AR17">
        <f>Logistic(ABS(F17-O17)/($B$6/2))</f>
        <v>2.7493069804709946E-2</v>
      </c>
      <c r="AS17">
        <f>IF(OR(F17&lt;M17,F17&gt;N17),1,0)</f>
        <v>0</v>
      </c>
      <c r="AT17">
        <f>ABS(K17)/$B$4</f>
        <v>0</v>
      </c>
      <c r="AU17">
        <f t="shared" ref="AU17:AU40" ca="1" si="33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34">IF(OR(ABS(Q17)&lt;$B$8,ABS(W17)&lt;$B$8),1,0)</f>
        <v>0</v>
      </c>
      <c r="BB17">
        <f t="shared" ref="BB17:BB40" ca="1" si="35">IF(OR(ABS(T17)&lt;$B$8,ABS(Z17)&lt;$B$8),1,0)</f>
        <v>0</v>
      </c>
      <c r="BC17">
        <f t="shared" ref="BC17:BC40" si="36">IFERROR(IF(P17=Y17,1,0),0)</f>
        <v>0</v>
      </c>
      <c r="BE17">
        <f t="shared" ref="BE17:BE37" si="37">Logistic((D17-$B$2)/$B$2)</f>
        <v>0</v>
      </c>
      <c r="BF17">
        <f t="shared" ref="BF17:BF37" si="38">IF(G17&lt;=0,1,0)</f>
        <v>0</v>
      </c>
      <c r="BG17">
        <f t="shared" ref="BG17:BG37" si="39">IF(G17&lt;0,1,0)</f>
        <v>0</v>
      </c>
      <c r="BH17">
        <f t="shared" ref="BH17:BH37" si="40">Logistic(($B$3-G17)/(G17+1))</f>
        <v>0.91312982187004232</v>
      </c>
      <c r="BI17">
        <f t="shared" ref="BI17:BI37" si="41">IF(G17&gt;$B$3,1,0)</f>
        <v>0</v>
      </c>
      <c r="BJ17">
        <f t="shared" ref="BJ17:BJ37" si="42">IF(H17&gt;$B$5,1,0)</f>
        <v>0</v>
      </c>
      <c r="BK17">
        <f t="shared" ref="BK17:BK37" si="43">EXP(-($B$4-ABS(H17))/MAX(ABS(H17),0.000000001))</f>
        <v>9.8704781076962571E-4</v>
      </c>
      <c r="BL17">
        <f t="shared" ref="BL17:BL37" si="44">IF(G17&lt;ABS(H17),1,0)</f>
        <v>0</v>
      </c>
      <c r="BM17">
        <f t="shared" ref="BM17:BM37" si="45">EXP(-($B$5-I17)/MAX(I17,0.000000001))</f>
        <v>9.1188196555451624E-4</v>
      </c>
      <c r="BN17">
        <f t="shared" ref="BN17:BN37" si="46">IF(F17&gt;N17,(F17-N17)/$B$6,0)+IF(F17&lt;M17,(M17-F17)/$B$6,0)</f>
        <v>0</v>
      </c>
      <c r="BO17">
        <f t="shared" ref="BO17:BO37" si="47">ABS(K17/$B$4)</f>
        <v>0</v>
      </c>
      <c r="BP17">
        <f t="shared" si="7"/>
        <v>6.3041287317610231E-2</v>
      </c>
      <c r="BQ17">
        <f t="shared" ref="BQ17:BQ37" si="48">Logistic(($B$3-G17)/G17)</f>
        <v>0.95581028220008557</v>
      </c>
    </row>
    <row r="18" spans="1:69" x14ac:dyDescent="0.25">
      <c r="A18" s="1" t="s">
        <v>14</v>
      </c>
      <c r="B18">
        <f t="shared" ca="1" si="2"/>
        <v>32.289594023807027</v>
      </c>
      <c r="C18" t="s">
        <v>138</v>
      </c>
      <c r="D18">
        <f t="shared" si="8"/>
        <v>50</v>
      </c>
      <c r="E18">
        <f t="shared" si="9"/>
        <v>152.52000000000001</v>
      </c>
      <c r="F18">
        <f t="shared" si="10"/>
        <v>5.89</v>
      </c>
      <c r="G18">
        <f t="shared" si="11"/>
        <v>4.9400000000000004</v>
      </c>
      <c r="H18">
        <f t="shared" si="12"/>
        <v>0.49</v>
      </c>
      <c r="I18">
        <f t="shared" si="13"/>
        <v>0.5</v>
      </c>
      <c r="J18">
        <f t="shared" si="14"/>
        <v>0</v>
      </c>
      <c r="K18">
        <f t="shared" si="15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>
        <f t="shared" si="5"/>
        <v>53</v>
      </c>
      <c r="Q18">
        <f t="shared" ca="1" si="16"/>
        <v>152.62934899999999</v>
      </c>
      <c r="R18">
        <f t="shared" ca="1" si="17"/>
        <v>17.041014000000001</v>
      </c>
      <c r="S18" t="e">
        <f t="shared" si="18"/>
        <v>#VALUE!</v>
      </c>
      <c r="T18">
        <f t="shared" ca="1" si="19"/>
        <v>1000000</v>
      </c>
      <c r="U18">
        <f t="shared" ca="1" si="20"/>
        <v>100</v>
      </c>
      <c r="V18">
        <f t="shared" si="21"/>
        <v>53</v>
      </c>
      <c r="W18">
        <f t="shared" ca="1" si="22"/>
        <v>151.53934899999999</v>
      </c>
      <c r="X18">
        <f t="shared" ca="1" si="23"/>
        <v>17.041014000000001</v>
      </c>
      <c r="Y18" t="e">
        <f>GetFollowingCarRow($B$45:$E$54,L18,$E$15,E18)</f>
        <v>#VALUE!</v>
      </c>
      <c r="Z18">
        <f t="shared" ca="1" si="24"/>
        <v>1000000000</v>
      </c>
      <c r="AA18">
        <f t="shared" ca="1" si="25"/>
        <v>100</v>
      </c>
      <c r="AB18">
        <f t="shared" si="26"/>
        <v>-1.9999999999999574E-2</v>
      </c>
      <c r="AC18">
        <f t="shared" si="27"/>
        <v>1.0900000000000034</v>
      </c>
      <c r="AD18">
        <f t="shared" si="28"/>
        <v>3.091467889908325</v>
      </c>
      <c r="AE18">
        <f t="shared" si="29"/>
        <v>-3.3697000000000847</v>
      </c>
      <c r="AF18">
        <f t="shared" si="30"/>
        <v>1.0901834707974651</v>
      </c>
      <c r="AG18">
        <f t="shared" si="31"/>
        <v>0.45657752418136177</v>
      </c>
      <c r="AH18">
        <f t="shared" si="32"/>
        <v>0</v>
      </c>
      <c r="AI18">
        <f>IF(G18&lt;=0,1,0)</f>
        <v>0</v>
      </c>
      <c r="AJ18">
        <f>IF(G18&lt;0,1,0)</f>
        <v>0</v>
      </c>
      <c r="AK18">
        <f>MAX(($B$3-G18)/(G18 + 1),0) / $B$3</f>
        <v>0.12915837609522809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6.1249999999999999E-2</v>
      </c>
      <c r="AP18">
        <f>Logistic(I18/$B$5)</f>
        <v>3.1239831446031246E-2</v>
      </c>
      <c r="AQ18">
        <f>IF(I18&gt;$B$5,1,0)</f>
        <v>0</v>
      </c>
      <c r="AR18">
        <f>Logistic(ABS(F18-O18)/($B$6/2))</f>
        <v>2.7493069804709946E-2</v>
      </c>
      <c r="AS18">
        <f>IF(OR(F18&lt;M18,F18&gt;N18),1,0)</f>
        <v>0</v>
      </c>
      <c r="AT18">
        <f>ABS(K18)/$B$4</f>
        <v>0</v>
      </c>
      <c r="AU18">
        <f t="shared" ca="1" si="33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34"/>
        <v>0</v>
      </c>
      <c r="BB18">
        <f t="shared" ca="1" si="35"/>
        <v>0</v>
      </c>
      <c r="BC18">
        <f t="shared" si="36"/>
        <v>0</v>
      </c>
      <c r="BE18">
        <f t="shared" si="37"/>
        <v>0</v>
      </c>
      <c r="BF18">
        <f t="shared" si="38"/>
        <v>0</v>
      </c>
      <c r="BG18">
        <f t="shared" si="39"/>
        <v>0</v>
      </c>
      <c r="BH18">
        <f t="shared" si="40"/>
        <v>0.87877657332235826</v>
      </c>
      <c r="BI18">
        <f t="shared" si="41"/>
        <v>0</v>
      </c>
      <c r="BJ18">
        <f t="shared" si="42"/>
        <v>0</v>
      </c>
      <c r="BK18">
        <f t="shared" si="43"/>
        <v>2.2068475268126176E-7</v>
      </c>
      <c r="BL18">
        <f t="shared" si="44"/>
        <v>0</v>
      </c>
      <c r="BM18">
        <f t="shared" si="45"/>
        <v>3.0590232050182579E-7</v>
      </c>
      <c r="BN18">
        <f t="shared" si="46"/>
        <v>0</v>
      </c>
      <c r="BO18">
        <f t="shared" si="47"/>
        <v>0</v>
      </c>
      <c r="BP18">
        <f t="shared" si="7"/>
        <v>3.061542929036528E-2</v>
      </c>
      <c r="BQ18">
        <f t="shared" si="48"/>
        <v>0.9285514302202218</v>
      </c>
    </row>
    <row r="19" spans="1:69" x14ac:dyDescent="0.25">
      <c r="A19" s="1" t="s">
        <v>13</v>
      </c>
      <c r="B19">
        <f t="shared" ca="1" si="2"/>
        <v>31.063397869101038</v>
      </c>
      <c r="C19" t="s">
        <v>137</v>
      </c>
      <c r="D19">
        <f t="shared" si="8"/>
        <v>50</v>
      </c>
      <c r="E19">
        <f t="shared" si="9"/>
        <v>152.58000000000001</v>
      </c>
      <c r="F19">
        <f t="shared" si="10"/>
        <v>5.89</v>
      </c>
      <c r="G19">
        <f t="shared" si="11"/>
        <v>5.1100000000000003</v>
      </c>
      <c r="H19">
        <f t="shared" si="12"/>
        <v>0.99</v>
      </c>
      <c r="I19">
        <f t="shared" si="13"/>
        <v>1</v>
      </c>
      <c r="J19">
        <f t="shared" si="14"/>
        <v>0</v>
      </c>
      <c r="K19">
        <f t="shared" si="15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>
        <f t="shared" si="5"/>
        <v>53</v>
      </c>
      <c r="Q19">
        <f t="shared" ca="1" si="16"/>
        <v>152.62934899999999</v>
      </c>
      <c r="R19">
        <f t="shared" ca="1" si="17"/>
        <v>17.041014000000001</v>
      </c>
      <c r="S19" t="e">
        <f t="shared" si="18"/>
        <v>#VALUE!</v>
      </c>
      <c r="T19">
        <f t="shared" ca="1" si="19"/>
        <v>1000000</v>
      </c>
      <c r="U19">
        <f t="shared" ca="1" si="20"/>
        <v>100</v>
      </c>
      <c r="V19">
        <f t="shared" si="21"/>
        <v>53</v>
      </c>
      <c r="W19">
        <f t="shared" ca="1" si="22"/>
        <v>151.47934899999998</v>
      </c>
      <c r="X19">
        <f t="shared" ca="1" si="23"/>
        <v>17.041014000000001</v>
      </c>
      <c r="Y19" t="e">
        <f>GetFollowingCarRow($B$45:$E$54,L19,$E$15,E19)</f>
        <v>#VALUE!</v>
      </c>
      <c r="Z19">
        <f t="shared" ca="1" si="24"/>
        <v>1000000000</v>
      </c>
      <c r="AA19">
        <f t="shared" ca="1" si="25"/>
        <v>100</v>
      </c>
      <c r="AB19">
        <f t="shared" si="26"/>
        <v>-1.9999999999999574E-2</v>
      </c>
      <c r="AC19">
        <f t="shared" si="27"/>
        <v>1.1500000000000057</v>
      </c>
      <c r="AD19">
        <f t="shared" si="28"/>
        <v>3.2364347826087649</v>
      </c>
      <c r="AE19">
        <f t="shared" si="29"/>
        <v>-3.7219000000000979</v>
      </c>
      <c r="AF19">
        <f t="shared" si="30"/>
        <v>1.1501738998951476</v>
      </c>
      <c r="AG19">
        <f t="shared" si="31"/>
        <v>0.74762326816714786</v>
      </c>
      <c r="AH19">
        <f t="shared" si="32"/>
        <v>0</v>
      </c>
      <c r="AI19">
        <f>IF(G19&lt;=0,1,0)</f>
        <v>0</v>
      </c>
      <c r="AJ19">
        <f>IF(G19&lt;0,1,0)</f>
        <v>0</v>
      </c>
      <c r="AK19">
        <f>MAX(($B$3-G19)/(G19 + 1),0) / $B$3</f>
        <v>0.12425359147640415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0.12375</v>
      </c>
      <c r="AP19">
        <f>Logistic(I19/$B$5)</f>
        <v>6.2418746747512487E-2</v>
      </c>
      <c r="AQ19">
        <f>IF(I19&gt;$B$5,1,0)</f>
        <v>0</v>
      </c>
      <c r="AR19">
        <f>Logistic(ABS(F19-O19)/($B$6/2))</f>
        <v>2.7493069804709946E-2</v>
      </c>
      <c r="AS19">
        <f>IF(OR(F19&lt;M19,F19&gt;N19),1,0)</f>
        <v>0</v>
      </c>
      <c r="AT19">
        <f>ABS(K19)/$B$4</f>
        <v>0</v>
      </c>
      <c r="AU19">
        <f t="shared" ca="1" si="33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34"/>
        <v>0</v>
      </c>
      <c r="BB19">
        <f t="shared" ca="1" si="35"/>
        <v>0</v>
      </c>
      <c r="BC19">
        <f t="shared" si="36"/>
        <v>0</v>
      </c>
      <c r="BE19">
        <f t="shared" si="37"/>
        <v>0</v>
      </c>
      <c r="BF19">
        <f t="shared" si="38"/>
        <v>0</v>
      </c>
      <c r="BG19">
        <f t="shared" si="39"/>
        <v>0</v>
      </c>
      <c r="BH19">
        <f t="shared" si="40"/>
        <v>0.8663681732445756</v>
      </c>
      <c r="BI19">
        <f t="shared" si="41"/>
        <v>0</v>
      </c>
      <c r="BJ19">
        <f t="shared" si="42"/>
        <v>0</v>
      </c>
      <c r="BK19">
        <f t="shared" si="43"/>
        <v>8.4109320241522879E-4</v>
      </c>
      <c r="BL19">
        <f t="shared" si="44"/>
        <v>0</v>
      </c>
      <c r="BM19">
        <f t="shared" si="45"/>
        <v>9.1188196555451624E-4</v>
      </c>
      <c r="BN19">
        <f t="shared" si="46"/>
        <v>0</v>
      </c>
      <c r="BO19">
        <f t="shared" si="47"/>
        <v>0</v>
      </c>
      <c r="BP19">
        <f t="shared" si="7"/>
        <v>6.1796157602773426E-2</v>
      </c>
      <c r="BQ19">
        <f t="shared" si="48"/>
        <v>0.91802538612722151</v>
      </c>
    </row>
    <row r="20" spans="1:69" x14ac:dyDescent="0.25">
      <c r="A20" s="1" t="s">
        <v>12</v>
      </c>
      <c r="B20">
        <f t="shared" ca="1" si="2"/>
        <v>29.90358813041416</v>
      </c>
      <c r="C20" t="s">
        <v>136</v>
      </c>
      <c r="D20">
        <f t="shared" si="8"/>
        <v>50</v>
      </c>
      <c r="E20">
        <f t="shared" si="9"/>
        <v>152.63999999999999</v>
      </c>
      <c r="F20">
        <f t="shared" si="10"/>
        <v>5.89</v>
      </c>
      <c r="G20">
        <f t="shared" si="11"/>
        <v>5.28</v>
      </c>
      <c r="H20">
        <f t="shared" si="12"/>
        <v>1.49</v>
      </c>
      <c r="I20">
        <f t="shared" si="13"/>
        <v>1.5</v>
      </c>
      <c r="J20">
        <f t="shared" si="14"/>
        <v>0</v>
      </c>
      <c r="K20">
        <f t="shared" si="15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>
        <f t="shared" si="5"/>
        <v>53</v>
      </c>
      <c r="Q20">
        <f t="shared" ca="1" si="16"/>
        <v>152.62934899999999</v>
      </c>
      <c r="R20">
        <f t="shared" ca="1" si="17"/>
        <v>17.041014000000001</v>
      </c>
      <c r="S20" t="e">
        <f t="shared" si="18"/>
        <v>#VALUE!</v>
      </c>
      <c r="T20">
        <f t="shared" ca="1" si="19"/>
        <v>1000000</v>
      </c>
      <c r="U20">
        <f t="shared" ca="1" si="20"/>
        <v>100</v>
      </c>
      <c r="V20">
        <f t="shared" si="21"/>
        <v>53</v>
      </c>
      <c r="W20">
        <f t="shared" ca="1" si="22"/>
        <v>151.41934900000001</v>
      </c>
      <c r="X20">
        <f t="shared" ca="1" si="23"/>
        <v>17.041014000000001</v>
      </c>
      <c r="Y20" t="e">
        <f>GetFollowingCarRow($B$45:$E$54,L20,$E$15,E20)</f>
        <v>#VALUE!</v>
      </c>
      <c r="Z20">
        <f t="shared" ca="1" si="24"/>
        <v>1000000000</v>
      </c>
      <c r="AA20">
        <f t="shared" ca="1" si="25"/>
        <v>100</v>
      </c>
      <c r="AB20">
        <f t="shared" si="26"/>
        <v>-1.9999999999999574E-2</v>
      </c>
      <c r="AC20">
        <f t="shared" si="27"/>
        <v>1.2099999999999795</v>
      </c>
      <c r="AD20">
        <f t="shared" si="28"/>
        <v>3.3670247933884405</v>
      </c>
      <c r="AE20">
        <f t="shared" si="29"/>
        <v>-4.0740999999999445</v>
      </c>
      <c r="AF20">
        <f t="shared" si="30"/>
        <v>1.2101652779682412</v>
      </c>
      <c r="AG20">
        <f t="shared" si="31"/>
        <v>1.0098127026514117</v>
      </c>
      <c r="AH20">
        <f t="shared" si="32"/>
        <v>0</v>
      </c>
      <c r="AI20">
        <f>IF(G20&lt;=0,1,0)</f>
        <v>0</v>
      </c>
      <c r="AJ20">
        <f>IF(G20&lt;0,1,0)</f>
        <v>0</v>
      </c>
      <c r="AK20">
        <f>MAX(($B$3-G20)/(G20 + 1),0) / $B$3</f>
        <v>0.11961435252165664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0.18625</v>
      </c>
      <c r="AP20">
        <f>Logistic(I20/$B$5)</f>
        <v>9.3476303969227723E-2</v>
      </c>
      <c r="AQ20">
        <f>IF(I20&gt;$B$5,1,0)</f>
        <v>0</v>
      </c>
      <c r="AR20">
        <f>Logistic(ABS(F20-O20)/($B$6/2))</f>
        <v>2.7493069804709946E-2</v>
      </c>
      <c r="AS20">
        <f>IF(OR(F20&lt;M20,F20&gt;N20),1,0)</f>
        <v>0</v>
      </c>
      <c r="AT20">
        <f>ABS(K20)/$B$4</f>
        <v>0</v>
      </c>
      <c r="AU20">
        <f t="shared" ca="1" si="33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34"/>
        <v>0</v>
      </c>
      <c r="BB20">
        <f t="shared" ca="1" si="35"/>
        <v>0</v>
      </c>
      <c r="BC20">
        <f t="shared" si="36"/>
        <v>0</v>
      </c>
      <c r="BE20">
        <f t="shared" si="37"/>
        <v>0</v>
      </c>
      <c r="BF20">
        <f t="shared" si="38"/>
        <v>0</v>
      </c>
      <c r="BG20">
        <f t="shared" si="39"/>
        <v>0</v>
      </c>
      <c r="BH20">
        <f t="shared" si="40"/>
        <v>0.85355578665787357</v>
      </c>
      <c r="BI20">
        <f t="shared" si="41"/>
        <v>0</v>
      </c>
      <c r="BJ20">
        <f t="shared" si="42"/>
        <v>0</v>
      </c>
      <c r="BK20">
        <f t="shared" si="43"/>
        <v>1.2662283379765233E-2</v>
      </c>
      <c r="BL20">
        <f t="shared" si="44"/>
        <v>0</v>
      </c>
      <c r="BM20">
        <f t="shared" si="45"/>
        <v>1.3123728736940968E-2</v>
      </c>
      <c r="BN20">
        <f t="shared" si="46"/>
        <v>0</v>
      </c>
      <c r="BO20">
        <f t="shared" si="47"/>
        <v>0</v>
      </c>
      <c r="BP20">
        <f t="shared" si="7"/>
        <v>9.285672898979197E-2</v>
      </c>
      <c r="BQ20">
        <f t="shared" si="48"/>
        <v>0.90684489729403761</v>
      </c>
    </row>
    <row r="21" spans="1:69" x14ac:dyDescent="0.25">
      <c r="A21" s="1" t="s">
        <v>33</v>
      </c>
      <c r="B21">
        <f t="shared" ca="1" si="2"/>
        <v>33.588044371337986</v>
      </c>
      <c r="C21" t="s">
        <v>135</v>
      </c>
      <c r="D21">
        <f t="shared" si="8"/>
        <v>50</v>
      </c>
      <c r="E21">
        <f t="shared" si="9"/>
        <v>152.46</v>
      </c>
      <c r="F21">
        <f t="shared" si="10"/>
        <v>5.89</v>
      </c>
      <c r="G21">
        <f t="shared" si="11"/>
        <v>4.7699999999999996</v>
      </c>
      <c r="H21">
        <f t="shared" si="12"/>
        <v>-0.01</v>
      </c>
      <c r="I21">
        <f t="shared" si="13"/>
        <v>0</v>
      </c>
      <c r="J21">
        <f t="shared" si="14"/>
        <v>0</v>
      </c>
      <c r="K21">
        <f t="shared" si="15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>
        <f t="shared" si="5"/>
        <v>53</v>
      </c>
      <c r="Q21">
        <f t="shared" ca="1" si="16"/>
        <v>152.62934899999999</v>
      </c>
      <c r="R21">
        <f t="shared" ca="1" si="17"/>
        <v>17.041014000000001</v>
      </c>
      <c r="S21" t="e">
        <f t="shared" si="18"/>
        <v>#VALUE!</v>
      </c>
      <c r="T21">
        <f t="shared" ca="1" si="19"/>
        <v>1000000</v>
      </c>
      <c r="U21">
        <f t="shared" ca="1" si="20"/>
        <v>100</v>
      </c>
      <c r="V21">
        <f t="shared" si="21"/>
        <v>53</v>
      </c>
      <c r="W21">
        <f t="shared" ca="1" si="22"/>
        <v>151.59934899999999</v>
      </c>
      <c r="X21">
        <f t="shared" ca="1" si="23"/>
        <v>17.041014000000001</v>
      </c>
      <c r="Y21" t="e">
        <f>GetFollowingCarRow($B$45:$E$54,L21,$E$15,E21)</f>
        <v>#VALUE!</v>
      </c>
      <c r="Z21">
        <f t="shared" ca="1" si="24"/>
        <v>1000000000</v>
      </c>
      <c r="AA21">
        <f t="shared" ca="1" si="25"/>
        <v>100</v>
      </c>
      <c r="AB21">
        <f t="shared" si="26"/>
        <v>-1.9999999999999574E-2</v>
      </c>
      <c r="AC21">
        <f t="shared" si="27"/>
        <v>1.0300000000000011</v>
      </c>
      <c r="AD21">
        <f t="shared" si="28"/>
        <v>2.9296116504855028</v>
      </c>
      <c r="AE21">
        <f t="shared" si="29"/>
        <v>-3.0175000000000711</v>
      </c>
      <c r="AF21">
        <f t="shared" si="30"/>
        <v>1.0301941564578991</v>
      </c>
      <c r="AG21">
        <f t="shared" si="31"/>
        <v>0.13163515746041676</v>
      </c>
      <c r="AH21">
        <f t="shared" si="32"/>
        <v>0</v>
      </c>
      <c r="AI21">
        <f>IF(G21&lt;=0,1,0)</f>
        <v>0</v>
      </c>
      <c r="AJ21">
        <f>IF(G21&lt;0,1,0)</f>
        <v>0</v>
      </c>
      <c r="AK21">
        <f>MAX(($B$3-G21)/(G21 + 1),0) / $B$3</f>
        <v>0.13435217748535194</v>
      </c>
      <c r="AL21">
        <f>IF(H21+ABS(K21)&lt;0,Logistic(SQRT(H21^2+K21^2)/$B$4),0)</f>
        <v>6.2499991861977931E-4</v>
      </c>
      <c r="AM21">
        <f>IF(G21&gt;$B$3,1,0)</f>
        <v>0</v>
      </c>
      <c r="AN21">
        <f>IF(H21&gt;$B$4,1,0)</f>
        <v>0</v>
      </c>
      <c r="AO21">
        <f>ABS(H21)/$B$4</f>
        <v>1.25E-3</v>
      </c>
      <c r="AP21">
        <f>Logistic(I21/$B$5)</f>
        <v>0</v>
      </c>
      <c r="AQ21">
        <f>IF(I21&gt;$B$5,1,0)</f>
        <v>0</v>
      </c>
      <c r="AR21">
        <f>Logistic(ABS(F21-O21)/($B$6/2))</f>
        <v>2.7493069804709946E-2</v>
      </c>
      <c r="AS21">
        <f>IF(OR(F21&lt;M21,F21&gt;N21),1,0)</f>
        <v>0</v>
      </c>
      <c r="AT21">
        <f>ABS(K21)/$B$4</f>
        <v>0</v>
      </c>
      <c r="AU21">
        <f t="shared" ca="1" si="33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34"/>
        <v>0</v>
      </c>
      <c r="BB21">
        <f t="shared" ca="1" si="35"/>
        <v>0</v>
      </c>
      <c r="BC21">
        <f t="shared" si="36"/>
        <v>0</v>
      </c>
      <c r="BE21">
        <f t="shared" si="37"/>
        <v>0</v>
      </c>
      <c r="BF21">
        <f t="shared" si="38"/>
        <v>0</v>
      </c>
      <c r="BG21">
        <f t="shared" si="39"/>
        <v>0</v>
      </c>
      <c r="BH21">
        <f t="shared" si="40"/>
        <v>0.89073586863163046</v>
      </c>
      <c r="BI21">
        <f t="shared" si="41"/>
        <v>0</v>
      </c>
      <c r="BJ21">
        <f t="shared" si="42"/>
        <v>0</v>
      </c>
      <c r="BK21">
        <f t="shared" si="43"/>
        <v>0</v>
      </c>
      <c r="BL21">
        <f t="shared" si="44"/>
        <v>0</v>
      </c>
      <c r="BM21">
        <f t="shared" si="45"/>
        <v>0</v>
      </c>
      <c r="BN21">
        <f t="shared" si="46"/>
        <v>0</v>
      </c>
      <c r="BO21">
        <f t="shared" si="47"/>
        <v>0</v>
      </c>
      <c r="BP21">
        <f t="shared" si="7"/>
        <v>6.2499991861977931E-4</v>
      </c>
      <c r="BQ21">
        <f t="shared" si="48"/>
        <v>0.93838095303249602</v>
      </c>
    </row>
    <row r="22" spans="1:69" x14ac:dyDescent="0.25">
      <c r="A22" s="1" t="s">
        <v>11</v>
      </c>
      <c r="B22">
        <f t="shared" ca="1" si="2"/>
        <v>33.588044371337986</v>
      </c>
      <c r="C22" t="s">
        <v>134</v>
      </c>
      <c r="D22">
        <f t="shared" si="8"/>
        <v>50</v>
      </c>
      <c r="E22">
        <f t="shared" si="9"/>
        <v>152.46</v>
      </c>
      <c r="F22">
        <f t="shared" si="10"/>
        <v>5.89</v>
      </c>
      <c r="G22">
        <f t="shared" si="11"/>
        <v>4.7699999999999996</v>
      </c>
      <c r="H22">
        <f t="shared" si="12"/>
        <v>0</v>
      </c>
      <c r="I22">
        <f t="shared" si="13"/>
        <v>0.01</v>
      </c>
      <c r="J22">
        <f t="shared" si="14"/>
        <v>0</v>
      </c>
      <c r="K22">
        <f t="shared" si="15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>
        <f t="shared" si="5"/>
        <v>53</v>
      </c>
      <c r="Q22">
        <f t="shared" ca="1" si="16"/>
        <v>152.62934899999999</v>
      </c>
      <c r="R22">
        <f t="shared" ca="1" si="17"/>
        <v>17.041014000000001</v>
      </c>
      <c r="S22" t="e">
        <f t="shared" si="18"/>
        <v>#VALUE!</v>
      </c>
      <c r="T22">
        <f t="shared" ca="1" si="19"/>
        <v>1000000</v>
      </c>
      <c r="U22">
        <f t="shared" ca="1" si="20"/>
        <v>100</v>
      </c>
      <c r="V22">
        <f t="shared" si="21"/>
        <v>53</v>
      </c>
      <c r="W22">
        <f t="shared" ca="1" si="22"/>
        <v>151.59934899999999</v>
      </c>
      <c r="X22">
        <f t="shared" ca="1" si="23"/>
        <v>17.041014000000001</v>
      </c>
      <c r="Y22" t="e">
        <f>GetFollowingCarRow($B$45:$E$54,L22,$E$15,E22)</f>
        <v>#VALUE!</v>
      </c>
      <c r="Z22">
        <f t="shared" ca="1" si="24"/>
        <v>1000000000</v>
      </c>
      <c r="AA22">
        <f t="shared" ca="1" si="25"/>
        <v>100</v>
      </c>
      <c r="AB22">
        <f t="shared" si="26"/>
        <v>-1.9999999999999574E-2</v>
      </c>
      <c r="AC22">
        <f t="shared" si="27"/>
        <v>1.0300000000000011</v>
      </c>
      <c r="AD22">
        <f t="shared" si="28"/>
        <v>2.9296116504855028</v>
      </c>
      <c r="AE22">
        <f t="shared" si="29"/>
        <v>-3.0175000000000711</v>
      </c>
      <c r="AF22">
        <f t="shared" si="30"/>
        <v>1.0301941564578991</v>
      </c>
      <c r="AG22">
        <f t="shared" si="31"/>
        <v>0.13163515746041676</v>
      </c>
      <c r="AH22">
        <f t="shared" si="32"/>
        <v>0</v>
      </c>
      <c r="AI22">
        <f>IF(G22&lt;=0,1,0)</f>
        <v>0</v>
      </c>
      <c r="AJ22">
        <f>IF(G22&lt;0,1,0)</f>
        <v>0</v>
      </c>
      <c r="AK22">
        <f>MAX(($B$3-G22)/(G22 + 1),0) / $B$3</f>
        <v>0.13435217748535194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6.2499991861977931E-4</v>
      </c>
      <c r="AQ22">
        <f>IF(I22&gt;$B$5,1,0)</f>
        <v>0</v>
      </c>
      <c r="AR22">
        <f>Logistic(ABS(F22-O22)/($B$6/2))</f>
        <v>2.7493069804709946E-2</v>
      </c>
      <c r="AS22">
        <f>IF(OR(F22&lt;M22,F22&gt;N22),1,0)</f>
        <v>0</v>
      </c>
      <c r="AT22">
        <f>ABS(K22)/$B$4</f>
        <v>0</v>
      </c>
      <c r="AU22">
        <f t="shared" ca="1" si="33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34"/>
        <v>0</v>
      </c>
      <c r="BB22">
        <f t="shared" ca="1" si="35"/>
        <v>0</v>
      </c>
      <c r="BC22">
        <f t="shared" si="36"/>
        <v>0</v>
      </c>
      <c r="BE22">
        <f t="shared" si="37"/>
        <v>0</v>
      </c>
      <c r="BF22">
        <f t="shared" si="38"/>
        <v>0</v>
      </c>
      <c r="BG22">
        <f t="shared" si="39"/>
        <v>0</v>
      </c>
      <c r="BH22">
        <f t="shared" si="40"/>
        <v>0.89073586863163046</v>
      </c>
      <c r="BI22">
        <f t="shared" si="41"/>
        <v>0</v>
      </c>
      <c r="BJ22">
        <f t="shared" si="42"/>
        <v>0</v>
      </c>
      <c r="BK22">
        <f t="shared" si="43"/>
        <v>0</v>
      </c>
      <c r="BL22">
        <f t="shared" si="44"/>
        <v>0</v>
      </c>
      <c r="BM22">
        <f t="shared" si="45"/>
        <v>0</v>
      </c>
      <c r="BN22">
        <f t="shared" si="46"/>
        <v>0</v>
      </c>
      <c r="BO22">
        <f t="shared" si="47"/>
        <v>0</v>
      </c>
      <c r="BP22">
        <f t="shared" si="7"/>
        <v>0</v>
      </c>
      <c r="BQ22">
        <f t="shared" si="48"/>
        <v>0.93838095303249602</v>
      </c>
    </row>
    <row r="23" spans="1:69" x14ac:dyDescent="0.25">
      <c r="A23" s="1" t="s">
        <v>34</v>
      </c>
      <c r="B23">
        <f t="shared" ca="1" si="2"/>
        <v>183.47332588182911</v>
      </c>
      <c r="C23" t="s">
        <v>133</v>
      </c>
      <c r="D23">
        <f t="shared" si="8"/>
        <v>132</v>
      </c>
      <c r="E23">
        <f t="shared" si="9"/>
        <v>164.32</v>
      </c>
      <c r="F23">
        <f t="shared" si="10"/>
        <v>6.24</v>
      </c>
      <c r="G23">
        <f t="shared" si="11"/>
        <v>8.69</v>
      </c>
      <c r="H23">
        <f t="shared" si="12"/>
        <v>0.99</v>
      </c>
      <c r="I23">
        <f t="shared" si="13"/>
        <v>0.99</v>
      </c>
      <c r="J23">
        <f t="shared" si="14"/>
        <v>-0.34</v>
      </c>
      <c r="K23">
        <f t="shared" si="15"/>
        <v>0.06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45</v>
      </c>
      <c r="Q23">
        <f t="shared" ca="1" si="16"/>
        <v>17.895937000000004</v>
      </c>
      <c r="R23">
        <f t="shared" ca="1" si="17"/>
        <v>20.018181999999999</v>
      </c>
      <c r="S23">
        <f t="shared" si="18"/>
        <v>52</v>
      </c>
      <c r="T23">
        <f t="shared" ca="1" si="19"/>
        <v>-8.3832869999999957</v>
      </c>
      <c r="U23">
        <f t="shared" ca="1" si="20"/>
        <v>21.430021</v>
      </c>
      <c r="V23">
        <f t="shared" si="21"/>
        <v>45</v>
      </c>
      <c r="W23">
        <f t="shared" ca="1" si="22"/>
        <v>5.0059370000000172</v>
      </c>
      <c r="X23">
        <f t="shared" ca="1" si="23"/>
        <v>20.018181999999999</v>
      </c>
      <c r="Y23">
        <f>GetFollowingCarRow($B$45:$E$54,L23,$E$15,E23)</f>
        <v>52</v>
      </c>
      <c r="Z23">
        <f t="shared" ca="1" si="24"/>
        <v>-21.273286999999982</v>
      </c>
      <c r="AA23">
        <f t="shared" ca="1" si="25"/>
        <v>21.430021</v>
      </c>
      <c r="AB23">
        <f t="shared" si="26"/>
        <v>-0.37000000000000011</v>
      </c>
      <c r="AC23">
        <f t="shared" si="27"/>
        <v>12.889999999999986</v>
      </c>
      <c r="AD23">
        <f t="shared" si="28"/>
        <v>1.5232893716058902</v>
      </c>
      <c r="AE23">
        <f t="shared" si="29"/>
        <v>-19.635199999999905</v>
      </c>
      <c r="AF23">
        <f t="shared" si="30"/>
        <v>12.895309224675445</v>
      </c>
      <c r="AG23">
        <f t="shared" si="31"/>
        <v>0.63296319520446398</v>
      </c>
      <c r="AH23">
        <f t="shared" si="32"/>
        <v>0.67506987483860781</v>
      </c>
      <c r="AI23">
        <f>IF(G23&lt;=0,1,0)</f>
        <v>0</v>
      </c>
      <c r="AJ23">
        <f>IF(G23&lt;0,1,0)</f>
        <v>0</v>
      </c>
      <c r="AK23">
        <f>MAX(($B$3-G23)/(G23 + 1),0) / $B$3</f>
        <v>6.0937118535096958E-2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0.12375</v>
      </c>
      <c r="AP23">
        <f>Logistic(I23/$B$5)</f>
        <v>6.1796157602773426E-2</v>
      </c>
      <c r="AQ23">
        <f>IF(I23&gt;$B$5,1,0)</f>
        <v>0</v>
      </c>
      <c r="AR23">
        <f>Logistic(ABS(F23-O23)/($B$6/2))</f>
        <v>0.73522225291586918</v>
      </c>
      <c r="AS23">
        <f>IF(OR(F23&lt;M23,F23&gt;N23),1,0)</f>
        <v>1</v>
      </c>
      <c r="AT23">
        <f>ABS(K23)/$B$4</f>
        <v>7.4999999999999997E-3</v>
      </c>
      <c r="AU23">
        <f t="shared" ca="1" si="33"/>
        <v>0.13871864345785351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0.93419722777537029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0.83302000051648284</v>
      </c>
      <c r="BA23">
        <f t="shared" ca="1" si="34"/>
        <v>0</v>
      </c>
      <c r="BB23">
        <f t="shared" ca="1" si="35"/>
        <v>0</v>
      </c>
      <c r="BC23">
        <f t="shared" si="36"/>
        <v>0</v>
      </c>
      <c r="BE23">
        <f t="shared" si="37"/>
        <v>0.67506987483860781</v>
      </c>
      <c r="BF23">
        <f t="shared" si="38"/>
        <v>0</v>
      </c>
      <c r="BG23">
        <f t="shared" si="39"/>
        <v>0</v>
      </c>
      <c r="BH23">
        <f t="shared" si="40"/>
        <v>0.56933802083242424</v>
      </c>
      <c r="BI23">
        <f t="shared" si="41"/>
        <v>0</v>
      </c>
      <c r="BJ23">
        <f t="shared" si="42"/>
        <v>0</v>
      </c>
      <c r="BK23">
        <f t="shared" si="43"/>
        <v>8.4109320241522879E-4</v>
      </c>
      <c r="BL23">
        <f t="shared" si="44"/>
        <v>0</v>
      </c>
      <c r="BM23">
        <f t="shared" si="45"/>
        <v>8.4109320241522879E-4</v>
      </c>
      <c r="BN23">
        <f t="shared" si="46"/>
        <v>0.43999999999999995</v>
      </c>
      <c r="BO23">
        <f t="shared" si="47"/>
        <v>7.4999999999999997E-3</v>
      </c>
      <c r="BP23">
        <f t="shared" si="7"/>
        <v>6.1796157602773426E-2</v>
      </c>
      <c r="BQ23">
        <f t="shared" si="48"/>
        <v>0.61749345838109537</v>
      </c>
    </row>
    <row r="24" spans="1:69" x14ac:dyDescent="0.25">
      <c r="A24" s="1" t="s">
        <v>35</v>
      </c>
      <c r="B24">
        <f t="shared" ca="1" si="2"/>
        <v>183.50166738098764</v>
      </c>
      <c r="C24" t="s">
        <v>132</v>
      </c>
      <c r="D24">
        <f t="shared" si="8"/>
        <v>132</v>
      </c>
      <c r="E24">
        <f t="shared" si="9"/>
        <v>164.3</v>
      </c>
      <c r="F24">
        <f t="shared" si="10"/>
        <v>6.74</v>
      </c>
      <c r="G24">
        <f t="shared" si="11"/>
        <v>8.66</v>
      </c>
      <c r="H24">
        <f t="shared" si="12"/>
        <v>0.98</v>
      </c>
      <c r="I24">
        <f t="shared" si="13"/>
        <v>0.98</v>
      </c>
      <c r="J24">
        <f t="shared" si="14"/>
        <v>-0.85</v>
      </c>
      <c r="K24">
        <f t="shared" si="15"/>
        <v>0.1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45</v>
      </c>
      <c r="Q24">
        <f t="shared" ca="1" si="16"/>
        <v>17.895937000000004</v>
      </c>
      <c r="R24">
        <f t="shared" ca="1" si="17"/>
        <v>20.018181999999999</v>
      </c>
      <c r="S24">
        <f t="shared" si="18"/>
        <v>52</v>
      </c>
      <c r="T24">
        <f t="shared" ca="1" si="19"/>
        <v>-8.3832869999999957</v>
      </c>
      <c r="U24">
        <f t="shared" ca="1" si="20"/>
        <v>21.430021</v>
      </c>
      <c r="V24">
        <f t="shared" si="21"/>
        <v>45</v>
      </c>
      <c r="W24">
        <f t="shared" ca="1" si="22"/>
        <v>5.025936999999999</v>
      </c>
      <c r="X24">
        <f t="shared" ca="1" si="23"/>
        <v>20.018181999999999</v>
      </c>
      <c r="Y24">
        <f>GetFollowingCarRow($B$45:$E$54,L24,$E$15,E24)</f>
        <v>52</v>
      </c>
      <c r="Z24">
        <f t="shared" ca="1" si="24"/>
        <v>-21.253287</v>
      </c>
      <c r="AA24">
        <f t="shared" ca="1" si="25"/>
        <v>21.430021</v>
      </c>
      <c r="AB24">
        <f t="shared" si="26"/>
        <v>-0.87000000000000011</v>
      </c>
      <c r="AC24">
        <f t="shared" si="27"/>
        <v>12.870000000000005</v>
      </c>
      <c r="AD24">
        <f t="shared" si="28"/>
        <v>-4.3665268065268057</v>
      </c>
      <c r="AE24">
        <f t="shared" si="29"/>
        <v>56.197200000000009</v>
      </c>
      <c r="AF24">
        <f t="shared" si="30"/>
        <v>12.899372077740843</v>
      </c>
      <c r="AG24">
        <f t="shared" si="31"/>
        <v>0.36315677707162153</v>
      </c>
      <c r="AH24">
        <f t="shared" si="32"/>
        <v>0.67506987483860781</v>
      </c>
      <c r="AI24">
        <f>IF(G24&lt;=0,1,0)</f>
        <v>0</v>
      </c>
      <c r="AJ24">
        <f>IF(G24&lt;0,1,0)</f>
        <v>0</v>
      </c>
      <c r="AK24">
        <f>MAX(($B$3-G24)/(G24 + 1),0) / $B$3</f>
        <v>6.1272716274150527E-2</v>
      </c>
      <c r="AL24">
        <f>IF(H24+ABS(K24)&lt;0,Logistic(SQRT(H24^2+K24^2)/$B$4),0)</f>
        <v>0</v>
      </c>
      <c r="AM24">
        <f>IF(G24&gt;$B$3,1,0)</f>
        <v>0</v>
      </c>
      <c r="AN24">
        <f>IF(H24&gt;$B$4,1,0)</f>
        <v>0</v>
      </c>
      <c r="AO24">
        <f>ABS(H24)/$B$4</f>
        <v>0.1225</v>
      </c>
      <c r="AP24">
        <f>Logistic(I24/$B$5)</f>
        <v>6.1173520364161939E-2</v>
      </c>
      <c r="AQ24">
        <f>IF(I24&gt;$B$5,1,0)</f>
        <v>0</v>
      </c>
      <c r="AR24">
        <f>Logistic(ABS(F24-O24)/($B$6/2))</f>
        <v>0.67233927755328216</v>
      </c>
      <c r="AS24">
        <f>IF(OR(F24&lt;M24,F24&gt;N24),1,0)</f>
        <v>1</v>
      </c>
      <c r="AT24">
        <f>ABS(K24)/$B$4</f>
        <v>1.2500000000000001E-2</v>
      </c>
      <c r="AU24">
        <f t="shared" ca="1" si="33"/>
        <v>0.13814760537102641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0.93435181508315457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0.83356889546227064</v>
      </c>
      <c r="BA24">
        <f t="shared" ca="1" si="34"/>
        <v>0</v>
      </c>
      <c r="BB24">
        <f t="shared" ca="1" si="35"/>
        <v>0</v>
      </c>
      <c r="BC24">
        <f t="shared" si="36"/>
        <v>0</v>
      </c>
      <c r="BE24">
        <f t="shared" si="37"/>
        <v>0.67506987483860781</v>
      </c>
      <c r="BF24">
        <f t="shared" si="38"/>
        <v>0</v>
      </c>
      <c r="BG24">
        <f t="shared" si="39"/>
        <v>0</v>
      </c>
      <c r="BH24">
        <f t="shared" si="40"/>
        <v>0.5717396507239223</v>
      </c>
      <c r="BI24">
        <f t="shared" si="41"/>
        <v>0</v>
      </c>
      <c r="BJ24">
        <f t="shared" si="42"/>
        <v>0</v>
      </c>
      <c r="BK24">
        <f t="shared" si="43"/>
        <v>7.7452137028712997E-4</v>
      </c>
      <c r="BL24">
        <f t="shared" si="44"/>
        <v>0</v>
      </c>
      <c r="BM24">
        <f t="shared" si="45"/>
        <v>7.7452137028712997E-4</v>
      </c>
      <c r="BN24">
        <f t="shared" si="46"/>
        <v>0.31499999999999995</v>
      </c>
      <c r="BO24">
        <f t="shared" si="47"/>
        <v>1.2500000000000001E-2</v>
      </c>
      <c r="BP24">
        <f t="shared" si="7"/>
        <v>6.1173520364161939E-2</v>
      </c>
      <c r="BQ24">
        <f t="shared" si="48"/>
        <v>0.62010348536690862</v>
      </c>
    </row>
    <row r="25" spans="1:69" x14ac:dyDescent="0.25">
      <c r="A25" s="1" t="s">
        <v>36</v>
      </c>
      <c r="B25">
        <f t="shared" ca="1" si="2"/>
        <v>183.49837005485418</v>
      </c>
      <c r="C25" t="s">
        <v>131</v>
      </c>
      <c r="D25">
        <f t="shared" si="8"/>
        <v>132</v>
      </c>
      <c r="E25">
        <f t="shared" si="9"/>
        <v>164.12</v>
      </c>
      <c r="F25">
        <f t="shared" si="10"/>
        <v>7.58</v>
      </c>
      <c r="G25">
        <f t="shared" si="11"/>
        <v>8.49</v>
      </c>
      <c r="H25">
        <f t="shared" si="12"/>
        <v>0.93</v>
      </c>
      <c r="I25">
        <f t="shared" si="13"/>
        <v>0.94</v>
      </c>
      <c r="J25">
        <f t="shared" si="14"/>
        <v>-1.55</v>
      </c>
      <c r="K25">
        <f t="shared" si="15"/>
        <v>0.23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45</v>
      </c>
      <c r="Q25">
        <f t="shared" ca="1" si="16"/>
        <v>17.895937000000004</v>
      </c>
      <c r="R25">
        <f t="shared" ca="1" si="17"/>
        <v>20.018181999999999</v>
      </c>
      <c r="S25">
        <f t="shared" si="18"/>
        <v>52</v>
      </c>
      <c r="T25">
        <f t="shared" ca="1" si="19"/>
        <v>-8.3832869999999957</v>
      </c>
      <c r="U25">
        <f t="shared" ca="1" si="20"/>
        <v>21.430021</v>
      </c>
      <c r="V25">
        <f t="shared" si="21"/>
        <v>45</v>
      </c>
      <c r="W25">
        <f t="shared" ca="1" si="22"/>
        <v>5.2059370000000058</v>
      </c>
      <c r="X25">
        <f t="shared" ca="1" si="23"/>
        <v>20.018181999999999</v>
      </c>
      <c r="Y25">
        <f>GetFollowingCarRow($B$45:$E$54,L25,$E$15,E25)</f>
        <v>52</v>
      </c>
      <c r="Z25">
        <f t="shared" ca="1" si="24"/>
        <v>-21.073286999999993</v>
      </c>
      <c r="AA25">
        <f t="shared" ca="1" si="25"/>
        <v>21.430021</v>
      </c>
      <c r="AB25">
        <f t="shared" si="26"/>
        <v>-1.71</v>
      </c>
      <c r="AC25">
        <f t="shared" si="27"/>
        <v>12.689999999999998</v>
      </c>
      <c r="AD25">
        <f t="shared" si="28"/>
        <v>-14.535460992907804</v>
      </c>
      <c r="AE25">
        <f t="shared" si="29"/>
        <v>184.45500000000001</v>
      </c>
      <c r="AF25">
        <f t="shared" si="30"/>
        <v>12.804694451645457</v>
      </c>
      <c r="AG25">
        <f t="shared" si="31"/>
        <v>3.6625138957512182</v>
      </c>
      <c r="AH25">
        <f t="shared" si="32"/>
        <v>0.67506987483860781</v>
      </c>
      <c r="AI25">
        <f>IF(G25&lt;=0,1,0)</f>
        <v>0</v>
      </c>
      <c r="AJ25">
        <f>IF(G25&lt;0,1,0)</f>
        <v>0</v>
      </c>
      <c r="AK25">
        <f>MAX(($B$3-G25)/(G25 + 1),0) / $B$3</f>
        <v>6.3214515204754448E-2</v>
      </c>
      <c r="AL25">
        <f>IF(H25+ABS(K25)&lt;0,Logistic(SQRT(H25^2+K25^2)/$B$4),0)</f>
        <v>0</v>
      </c>
      <c r="AM25">
        <f>IF(G25&gt;$B$3,1,0)</f>
        <v>0</v>
      </c>
      <c r="AN25">
        <f>IF(H25&gt;$B$4,1,0)</f>
        <v>0</v>
      </c>
      <c r="AO25">
        <f>ABS(H25)/$B$4</f>
        <v>0.11625000000000001</v>
      </c>
      <c r="AP25">
        <f>Logistic(I25/$B$5)</f>
        <v>5.8682500091571284E-2</v>
      </c>
      <c r="AQ25">
        <f>IF(I25&gt;$B$5,1,0)</f>
        <v>0</v>
      </c>
      <c r="AR25">
        <f>Logistic(ABS(F25-O25)/($B$6/2))</f>
        <v>0.5405978980932038</v>
      </c>
      <c r="AS25">
        <f>IF(OR(F25&lt;M25,F25&gt;N25),1,0)</f>
        <v>1</v>
      </c>
      <c r="AT25">
        <f>ABS(K25)/$B$4</f>
        <v>2.8750000000000001E-2</v>
      </c>
      <c r="AU25">
        <f t="shared" ca="1" si="33"/>
        <v>0.13317388923971765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0.93521427051779904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0.83714642348725721</v>
      </c>
      <c r="BA25">
        <f t="shared" ca="1" si="34"/>
        <v>0</v>
      </c>
      <c r="BB25">
        <f t="shared" ca="1" si="35"/>
        <v>0</v>
      </c>
      <c r="BC25">
        <f t="shared" si="36"/>
        <v>0</v>
      </c>
      <c r="BE25">
        <f t="shared" si="37"/>
        <v>0.67506987483860781</v>
      </c>
      <c r="BF25">
        <f t="shared" si="38"/>
        <v>0</v>
      </c>
      <c r="BG25">
        <f t="shared" si="39"/>
        <v>0</v>
      </c>
      <c r="BH25">
        <f t="shared" si="40"/>
        <v>0.58544410100749933</v>
      </c>
      <c r="BI25">
        <f t="shared" si="41"/>
        <v>0</v>
      </c>
      <c r="BJ25">
        <f t="shared" si="42"/>
        <v>0</v>
      </c>
      <c r="BK25">
        <f t="shared" si="43"/>
        <v>4.9937635021660804E-4</v>
      </c>
      <c r="BL25">
        <f t="shared" si="44"/>
        <v>0</v>
      </c>
      <c r="BM25">
        <f t="shared" si="45"/>
        <v>5.4723168039542177E-4</v>
      </c>
      <c r="BN25">
        <f t="shared" si="46"/>
        <v>0.10499999999999998</v>
      </c>
      <c r="BO25">
        <f t="shared" si="47"/>
        <v>2.8750000000000001E-2</v>
      </c>
      <c r="BP25">
        <f t="shared" si="7"/>
        <v>5.8059629600311274E-2</v>
      </c>
      <c r="BQ25">
        <f t="shared" si="48"/>
        <v>0.63497324644191555</v>
      </c>
    </row>
    <row r="26" spans="1:69" x14ac:dyDescent="0.25">
      <c r="A26" s="1" t="s">
        <v>79</v>
      </c>
      <c r="B26">
        <f t="shared" ca="1" si="2"/>
        <v>195.23485755939214</v>
      </c>
      <c r="C26" t="s">
        <v>130</v>
      </c>
      <c r="D26">
        <f t="shared" si="8"/>
        <v>132</v>
      </c>
      <c r="E26">
        <f t="shared" si="9"/>
        <v>160.37</v>
      </c>
      <c r="F26">
        <f t="shared" si="10"/>
        <v>6.09</v>
      </c>
      <c r="G26">
        <f t="shared" si="11"/>
        <v>4.76</v>
      </c>
      <c r="H26">
        <f t="shared" si="12"/>
        <v>0</v>
      </c>
      <c r="I26">
        <f t="shared" si="13"/>
        <v>0</v>
      </c>
      <c r="J26">
        <f t="shared" si="14"/>
        <v>-0.17</v>
      </c>
      <c r="K26">
        <f t="shared" si="15"/>
        <v>0.06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>
        <f t="shared" si="5"/>
        <v>45</v>
      </c>
      <c r="Q26">
        <f t="shared" ca="1" si="16"/>
        <v>17.895937000000004</v>
      </c>
      <c r="R26">
        <f t="shared" ca="1" si="17"/>
        <v>20.018181999999999</v>
      </c>
      <c r="S26">
        <f t="shared" si="18"/>
        <v>52</v>
      </c>
      <c r="T26">
        <f t="shared" ca="1" si="19"/>
        <v>-8.3832869999999957</v>
      </c>
      <c r="U26">
        <f t="shared" ca="1" si="20"/>
        <v>21.430021</v>
      </c>
      <c r="V26">
        <f t="shared" si="21"/>
        <v>45</v>
      </c>
      <c r="W26">
        <f t="shared" ca="1" si="22"/>
        <v>8.9559370000000058</v>
      </c>
      <c r="X26">
        <f t="shared" ca="1" si="23"/>
        <v>20.018181999999999</v>
      </c>
      <c r="Y26">
        <f>GetFollowingCarRow($B$45:$E$54,L26,$E$15,E26)</f>
        <v>52</v>
      </c>
      <c r="Z26">
        <f t="shared" ca="1" si="24"/>
        <v>-17.323286999999993</v>
      </c>
      <c r="AA26">
        <f t="shared" ca="1" si="25"/>
        <v>21.430021</v>
      </c>
      <c r="AB26">
        <f t="shared" si="26"/>
        <v>-0.21999999999999975</v>
      </c>
      <c r="AC26">
        <f t="shared" si="27"/>
        <v>8.9399999999999977</v>
      </c>
      <c r="AD26">
        <f t="shared" si="28"/>
        <v>2.1435346756152156</v>
      </c>
      <c r="AE26">
        <f t="shared" si="29"/>
        <v>-19.163200000000021</v>
      </c>
      <c r="AF26">
        <f t="shared" si="30"/>
        <v>8.9427065254317704</v>
      </c>
      <c r="AG26">
        <f t="shared" si="31"/>
        <v>0.20817848094486011</v>
      </c>
      <c r="AH26">
        <f t="shared" si="32"/>
        <v>0.67506987483860781</v>
      </c>
      <c r="AI26">
        <f>IF(G26&lt;=0,1,0)</f>
        <v>0</v>
      </c>
      <c r="AJ26">
        <f>IF(G26&lt;0,1,0)</f>
        <v>0</v>
      </c>
      <c r="AK26">
        <f>MAX(($B$3-G26)/(G26 + 1),0) / $B$3</f>
        <v>0.13466724264320873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0</v>
      </c>
      <c r="AQ26">
        <f>IF(I26&gt;$B$5,1,0)</f>
        <v>0</v>
      </c>
      <c r="AR26">
        <f>Logistic(ABS(F26-O26)/($B$6/2))</f>
        <v>0.7519816364572034</v>
      </c>
      <c r="AS26">
        <f>IF(OR(F26&lt;M26,F26&gt;N26),1,0)</f>
        <v>1</v>
      </c>
      <c r="AT26">
        <f>ABS(K26)/$B$4</f>
        <v>7.4999999999999997E-3</v>
      </c>
      <c r="AU26">
        <f t="shared" ca="1" si="33"/>
        <v>7.0457332812237164E-2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0.94971039928503997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0.89608119269915742</v>
      </c>
      <c r="BA26">
        <f t="shared" ca="1" si="34"/>
        <v>0</v>
      </c>
      <c r="BB26">
        <f t="shared" ca="1" si="35"/>
        <v>0</v>
      </c>
      <c r="BC26">
        <f t="shared" si="36"/>
        <v>0</v>
      </c>
      <c r="BE26">
        <f t="shared" si="37"/>
        <v>0.67506987483860781</v>
      </c>
      <c r="BF26">
        <f t="shared" si="38"/>
        <v>0</v>
      </c>
      <c r="BG26">
        <f t="shared" si="39"/>
        <v>0</v>
      </c>
      <c r="BH26">
        <f t="shared" si="40"/>
        <v>0.89142441216088375</v>
      </c>
      <c r="BI26">
        <f t="shared" si="41"/>
        <v>0</v>
      </c>
      <c r="BJ26">
        <f t="shared" si="42"/>
        <v>0</v>
      </c>
      <c r="BK26">
        <f t="shared" si="43"/>
        <v>0</v>
      </c>
      <c r="BL26">
        <f t="shared" si="44"/>
        <v>0</v>
      </c>
      <c r="BM26">
        <f t="shared" si="45"/>
        <v>0</v>
      </c>
      <c r="BN26">
        <f t="shared" si="46"/>
        <v>0.47750000000000004</v>
      </c>
      <c r="BO26">
        <f t="shared" si="47"/>
        <v>7.4999999999999997E-3</v>
      </c>
      <c r="BP26">
        <f t="shared" si="7"/>
        <v>0</v>
      </c>
      <c r="BQ26">
        <f t="shared" si="48"/>
        <v>0.93893665354710898</v>
      </c>
    </row>
    <row r="27" spans="1:69" x14ac:dyDescent="0.25">
      <c r="A27" s="1" t="s">
        <v>80</v>
      </c>
      <c r="B27">
        <f t="shared" ca="1" si="2"/>
        <v>195.44252833869589</v>
      </c>
      <c r="C27" t="s">
        <v>129</v>
      </c>
      <c r="D27">
        <f t="shared" si="8"/>
        <v>132</v>
      </c>
      <c r="E27">
        <f t="shared" si="9"/>
        <v>160.34</v>
      </c>
      <c r="F27">
        <f t="shared" si="10"/>
        <v>6.37</v>
      </c>
      <c r="G27">
        <f t="shared" si="11"/>
        <v>4.7300000000000004</v>
      </c>
      <c r="H27">
        <f t="shared" si="12"/>
        <v>-0.01</v>
      </c>
      <c r="I27">
        <f t="shared" si="13"/>
        <v>0.01</v>
      </c>
      <c r="J27">
        <f t="shared" si="14"/>
        <v>-0.41</v>
      </c>
      <c r="K27">
        <f t="shared" si="15"/>
        <v>0.1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>
        <f t="shared" si="5"/>
        <v>45</v>
      </c>
      <c r="Q27">
        <f t="shared" ca="1" si="16"/>
        <v>17.895937000000004</v>
      </c>
      <c r="R27">
        <f t="shared" ca="1" si="17"/>
        <v>20.018181999999999</v>
      </c>
      <c r="S27">
        <f t="shared" si="18"/>
        <v>52</v>
      </c>
      <c r="T27">
        <f t="shared" ca="1" si="19"/>
        <v>-8.3832869999999957</v>
      </c>
      <c r="U27">
        <f t="shared" ca="1" si="20"/>
        <v>21.430021</v>
      </c>
      <c r="V27">
        <f t="shared" si="21"/>
        <v>45</v>
      </c>
      <c r="W27">
        <f t="shared" ca="1" si="22"/>
        <v>8.9859370000000069</v>
      </c>
      <c r="X27">
        <f t="shared" ca="1" si="23"/>
        <v>20.018181999999999</v>
      </c>
      <c r="Y27">
        <f>GetFollowingCarRow($B$45:$E$54,L27,$E$15,E27)</f>
        <v>52</v>
      </c>
      <c r="Z27">
        <f t="shared" ca="1" si="24"/>
        <v>-17.293286999999992</v>
      </c>
      <c r="AA27">
        <f t="shared" ca="1" si="25"/>
        <v>21.430021</v>
      </c>
      <c r="AB27">
        <f t="shared" si="26"/>
        <v>-0.5</v>
      </c>
      <c r="AC27">
        <f t="shared" si="27"/>
        <v>8.9099999999999966</v>
      </c>
      <c r="AD27">
        <f t="shared" si="28"/>
        <v>-2.6277553310886672</v>
      </c>
      <c r="AE27">
        <f t="shared" si="29"/>
        <v>23.413300000000017</v>
      </c>
      <c r="AF27">
        <f t="shared" si="30"/>
        <v>8.9240181532760197</v>
      </c>
      <c r="AG27">
        <f t="shared" si="31"/>
        <v>0.67932454818847354</v>
      </c>
      <c r="AH27">
        <f t="shared" si="32"/>
        <v>0.67506987483860781</v>
      </c>
      <c r="AI27">
        <f>IF(G27&lt;=0,1,0)</f>
        <v>0</v>
      </c>
      <c r="AJ27">
        <f>IF(G27&lt;0,1,0)</f>
        <v>0</v>
      </c>
      <c r="AK27">
        <f>MAX(($B$3-G27)/(G27 + 1),0) / $B$3</f>
        <v>0.13561903633998021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1.25E-3</v>
      </c>
      <c r="AP27">
        <f>Logistic(I27/$B$5)</f>
        <v>6.2499991861977931E-4</v>
      </c>
      <c r="AQ27">
        <f>IF(I27&gt;$B$5,1,0)</f>
        <v>0</v>
      </c>
      <c r="AR27">
        <f>Logistic(ABS(F27-O27)/($B$6/2))</f>
        <v>0.71993016874445448</v>
      </c>
      <c r="AS27">
        <f>IF(OR(F27&lt;M27,F27&gt;N27),1,0)</f>
        <v>1</v>
      </c>
      <c r="AT27">
        <f>ABS(K27)/$B$4</f>
        <v>1.2500000000000001E-2</v>
      </c>
      <c r="AU27">
        <f t="shared" ca="1" si="33"/>
        <v>7.0145522314697756E-2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0.9498007397715249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0.89644751344923468</v>
      </c>
      <c r="BA27">
        <f t="shared" ca="1" si="34"/>
        <v>0</v>
      </c>
      <c r="BB27">
        <f t="shared" ca="1" si="35"/>
        <v>0</v>
      </c>
      <c r="BC27">
        <f t="shared" si="36"/>
        <v>0</v>
      </c>
      <c r="BE27">
        <f t="shared" si="37"/>
        <v>0.67506987483860781</v>
      </c>
      <c r="BF27">
        <f t="shared" si="38"/>
        <v>0</v>
      </c>
      <c r="BG27">
        <f t="shared" si="39"/>
        <v>0</v>
      </c>
      <c r="BH27">
        <f t="shared" si="40"/>
        <v>0.89347970020688994</v>
      </c>
      <c r="BI27">
        <f t="shared" si="41"/>
        <v>0</v>
      </c>
      <c r="BJ27">
        <f t="shared" si="42"/>
        <v>0</v>
      </c>
      <c r="BK27">
        <f t="shared" si="43"/>
        <v>0</v>
      </c>
      <c r="BL27">
        <f t="shared" si="44"/>
        <v>0</v>
      </c>
      <c r="BM27">
        <f t="shared" si="45"/>
        <v>0</v>
      </c>
      <c r="BN27">
        <f t="shared" si="46"/>
        <v>0.40749999999999997</v>
      </c>
      <c r="BO27">
        <f t="shared" si="47"/>
        <v>1.2500000000000001E-2</v>
      </c>
      <c r="BP27">
        <f t="shared" si="7"/>
        <v>6.2499991861977931E-4</v>
      </c>
      <c r="BQ27">
        <f t="shared" si="48"/>
        <v>0.94058845283757564</v>
      </c>
    </row>
    <row r="28" spans="1:69" x14ac:dyDescent="0.25">
      <c r="A28" s="1" t="s">
        <v>81</v>
      </c>
      <c r="B28">
        <f t="shared" ca="1" si="2"/>
        <v>196.7463709865641</v>
      </c>
      <c r="C28" t="s">
        <v>128</v>
      </c>
      <c r="D28">
        <f t="shared" si="8"/>
        <v>132</v>
      </c>
      <c r="E28">
        <f t="shared" si="9"/>
        <v>160.16</v>
      </c>
      <c r="F28">
        <f t="shared" si="10"/>
        <v>6.87</v>
      </c>
      <c r="G28">
        <f t="shared" si="11"/>
        <v>4.55</v>
      </c>
      <c r="H28">
        <f t="shared" si="12"/>
        <v>-0.05</v>
      </c>
      <c r="I28">
        <f t="shared" si="13"/>
        <v>0.05</v>
      </c>
      <c r="J28">
        <f t="shared" si="14"/>
        <v>-0.79</v>
      </c>
      <c r="K28">
        <f t="shared" si="15"/>
        <v>0.23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>
        <f t="shared" si="5"/>
        <v>45</v>
      </c>
      <c r="Q28">
        <f t="shared" ca="1" si="16"/>
        <v>17.895937000000004</v>
      </c>
      <c r="R28">
        <f t="shared" ca="1" si="17"/>
        <v>20.018181999999999</v>
      </c>
      <c r="S28">
        <f t="shared" si="18"/>
        <v>52</v>
      </c>
      <c r="T28">
        <f t="shared" ca="1" si="19"/>
        <v>-8.3832869999999957</v>
      </c>
      <c r="U28">
        <f t="shared" ca="1" si="20"/>
        <v>21.430021</v>
      </c>
      <c r="V28">
        <f t="shared" si="21"/>
        <v>45</v>
      </c>
      <c r="W28">
        <f t="shared" ca="1" si="22"/>
        <v>9.1659370000000138</v>
      </c>
      <c r="X28">
        <f t="shared" ca="1" si="23"/>
        <v>20.018181999999999</v>
      </c>
      <c r="Y28">
        <f>GetFollowingCarRow($B$45:$E$54,L28,$E$15,E28)</f>
        <v>52</v>
      </c>
      <c r="Z28">
        <f t="shared" ca="1" si="24"/>
        <v>-17.113286999999985</v>
      </c>
      <c r="AA28">
        <f t="shared" ca="1" si="25"/>
        <v>21.430021</v>
      </c>
      <c r="AB28">
        <f t="shared" si="26"/>
        <v>-1</v>
      </c>
      <c r="AC28">
        <f t="shared" si="27"/>
        <v>8.7299999999999898</v>
      </c>
      <c r="AD28">
        <f t="shared" si="28"/>
        <v>-11.475933562428427</v>
      </c>
      <c r="AE28">
        <f t="shared" si="29"/>
        <v>100.18490000000006</v>
      </c>
      <c r="AF28">
        <f t="shared" si="30"/>
        <v>8.7870871169005618</v>
      </c>
      <c r="AG28">
        <f t="shared" si="31"/>
        <v>1.6335617012823267</v>
      </c>
      <c r="AH28">
        <f t="shared" si="32"/>
        <v>0.67506987483860781</v>
      </c>
      <c r="AI28">
        <f>IF(G28&lt;=0,1,0)</f>
        <v>0</v>
      </c>
      <c r="AJ28">
        <f>IF(G28&lt;0,1,0)</f>
        <v>0</v>
      </c>
      <c r="AK28">
        <f>MAX(($B$3-G28)/(G28 + 1),0) / $B$3</f>
        <v>0.14154588141393043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6.2500000000000003E-3</v>
      </c>
      <c r="AP28">
        <f>Logistic(I28/$B$5)</f>
        <v>3.1249898275137089E-3</v>
      </c>
      <c r="AQ28">
        <f>IF(I28&gt;$B$5,1,0)</f>
        <v>0</v>
      </c>
      <c r="AR28">
        <f>Logistic(ABS(F28-O28)/($B$6/2))</f>
        <v>0.65413930020772271</v>
      </c>
      <c r="AS28">
        <f>IF(OR(F28&lt;M28,F28&gt;N28),1,0)</f>
        <v>1</v>
      </c>
      <c r="AT28">
        <f>ABS(K28)/$B$4</f>
        <v>2.8750000000000001E-2</v>
      </c>
      <c r="AU28">
        <f t="shared" ca="1" si="33"/>
        <v>6.8313306158268083E-2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0.95033603927388477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0.89861809413625737</v>
      </c>
      <c r="BA28">
        <f t="shared" ca="1" si="34"/>
        <v>0</v>
      </c>
      <c r="BB28">
        <f t="shared" ca="1" si="35"/>
        <v>0</v>
      </c>
      <c r="BC28">
        <f t="shared" si="36"/>
        <v>0</v>
      </c>
      <c r="BE28">
        <f t="shared" si="37"/>
        <v>0.67506987483860781</v>
      </c>
      <c r="BF28">
        <f t="shared" si="38"/>
        <v>0</v>
      </c>
      <c r="BG28">
        <f t="shared" si="39"/>
        <v>0</v>
      </c>
      <c r="BH28">
        <f t="shared" si="40"/>
        <v>0.90547332068958786</v>
      </c>
      <c r="BI28">
        <f t="shared" si="41"/>
        <v>0</v>
      </c>
      <c r="BJ28">
        <f t="shared" si="42"/>
        <v>0</v>
      </c>
      <c r="BK28">
        <f t="shared" si="43"/>
        <v>8.8547718835134325E-70</v>
      </c>
      <c r="BL28">
        <f t="shared" si="44"/>
        <v>0</v>
      </c>
      <c r="BM28">
        <f t="shared" si="45"/>
        <v>8.8547718835134325E-70</v>
      </c>
      <c r="BN28">
        <f t="shared" si="46"/>
        <v>0.28249999999999997</v>
      </c>
      <c r="BO28">
        <f t="shared" si="47"/>
        <v>2.8750000000000001E-2</v>
      </c>
      <c r="BP28">
        <f t="shared" si="7"/>
        <v>3.1249898275137089E-3</v>
      </c>
      <c r="BQ28">
        <f t="shared" si="48"/>
        <v>0.95000851190229518</v>
      </c>
    </row>
    <row r="29" spans="1:69" x14ac:dyDescent="0.25">
      <c r="A29" s="1" t="s">
        <v>22</v>
      </c>
      <c r="B29">
        <f t="shared" ca="1" si="2"/>
        <v>195.23485755939214</v>
      </c>
      <c r="C29" t="s">
        <v>127</v>
      </c>
      <c r="D29">
        <f t="shared" si="8"/>
        <v>132</v>
      </c>
      <c r="E29">
        <f t="shared" si="9"/>
        <v>160.37</v>
      </c>
      <c r="F29">
        <f t="shared" si="10"/>
        <v>6.09</v>
      </c>
      <c r="G29">
        <f t="shared" si="11"/>
        <v>4.76</v>
      </c>
      <c r="H29">
        <f t="shared" si="12"/>
        <v>0</v>
      </c>
      <c r="I29">
        <f t="shared" si="13"/>
        <v>0</v>
      </c>
      <c r="J29">
        <f t="shared" si="14"/>
        <v>-0.17</v>
      </c>
      <c r="K29">
        <f t="shared" si="15"/>
        <v>0.06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>
        <f t="shared" si="5"/>
        <v>45</v>
      </c>
      <c r="Q29">
        <f t="shared" ca="1" si="16"/>
        <v>17.895937000000004</v>
      </c>
      <c r="R29">
        <f t="shared" ca="1" si="17"/>
        <v>20.018181999999999</v>
      </c>
      <c r="S29">
        <f t="shared" si="18"/>
        <v>52</v>
      </c>
      <c r="T29">
        <f t="shared" ca="1" si="19"/>
        <v>-8.3832869999999957</v>
      </c>
      <c r="U29">
        <f t="shared" ca="1" si="20"/>
        <v>21.430021</v>
      </c>
      <c r="V29">
        <f t="shared" si="21"/>
        <v>45</v>
      </c>
      <c r="W29">
        <f t="shared" ca="1" si="22"/>
        <v>8.9559370000000058</v>
      </c>
      <c r="X29">
        <f t="shared" ca="1" si="23"/>
        <v>20.018181999999999</v>
      </c>
      <c r="Y29">
        <f>GetFollowingCarRow($B$45:$E$54,L29,$E$15,E29)</f>
        <v>52</v>
      </c>
      <c r="Z29">
        <f t="shared" ca="1" si="24"/>
        <v>-17.323286999999993</v>
      </c>
      <c r="AA29">
        <f t="shared" ca="1" si="25"/>
        <v>21.430021</v>
      </c>
      <c r="AB29">
        <f t="shared" si="26"/>
        <v>-0.21999999999999975</v>
      </c>
      <c r="AC29">
        <f t="shared" si="27"/>
        <v>8.9399999999999977</v>
      </c>
      <c r="AD29">
        <f t="shared" si="28"/>
        <v>2.1435346756152156</v>
      </c>
      <c r="AE29">
        <f t="shared" si="29"/>
        <v>-19.163200000000021</v>
      </c>
      <c r="AF29">
        <f t="shared" si="30"/>
        <v>8.9427065254317704</v>
      </c>
      <c r="AG29">
        <f t="shared" si="31"/>
        <v>0.20817848094486011</v>
      </c>
      <c r="AH29">
        <f t="shared" si="32"/>
        <v>0.67506987483860781</v>
      </c>
      <c r="AI29">
        <f>IF(G29&lt;=0,1,0)</f>
        <v>0</v>
      </c>
      <c r="AJ29">
        <f>IF(G29&lt;0,1,0)</f>
        <v>0</v>
      </c>
      <c r="AK29">
        <f>MAX(($B$3-G29)/(G29 + 1),0) / $B$3</f>
        <v>0.13466724264320873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0</v>
      </c>
      <c r="AP29">
        <f>Logistic(I29/$B$5)</f>
        <v>0</v>
      </c>
      <c r="AQ29">
        <f>IF(I29&gt;$B$5,1,0)</f>
        <v>0</v>
      </c>
      <c r="AR29">
        <f>Logistic(ABS(F29-O29)/($B$6/2))</f>
        <v>0.7519816364572034</v>
      </c>
      <c r="AS29">
        <f>IF(OR(F29&lt;M29,F29&gt;N29),1,0)</f>
        <v>1</v>
      </c>
      <c r="AT29">
        <f>ABS(K29)/$B$4</f>
        <v>7.4999999999999997E-3</v>
      </c>
      <c r="AU29">
        <f t="shared" ca="1" si="33"/>
        <v>7.0457332812237164E-2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0.94971039928503997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0.89608119269915742</v>
      </c>
      <c r="BA29">
        <f t="shared" ca="1" si="34"/>
        <v>0</v>
      </c>
      <c r="BB29">
        <f t="shared" ca="1" si="35"/>
        <v>0</v>
      </c>
      <c r="BC29">
        <f t="shared" si="36"/>
        <v>0</v>
      </c>
      <c r="BE29">
        <f t="shared" si="37"/>
        <v>0.67506987483860781</v>
      </c>
      <c r="BF29">
        <f t="shared" si="38"/>
        <v>0</v>
      </c>
      <c r="BG29">
        <f t="shared" si="39"/>
        <v>0</v>
      </c>
      <c r="BH29">
        <f t="shared" si="40"/>
        <v>0.89142441216088375</v>
      </c>
      <c r="BI29">
        <f t="shared" si="41"/>
        <v>0</v>
      </c>
      <c r="BJ29">
        <f t="shared" si="42"/>
        <v>0</v>
      </c>
      <c r="BK29">
        <f t="shared" si="43"/>
        <v>0</v>
      </c>
      <c r="BL29">
        <f t="shared" si="44"/>
        <v>0</v>
      </c>
      <c r="BM29">
        <f t="shared" si="45"/>
        <v>0</v>
      </c>
      <c r="BN29">
        <f t="shared" si="46"/>
        <v>0.47750000000000004</v>
      </c>
      <c r="BO29">
        <f t="shared" si="47"/>
        <v>7.4999999999999997E-3</v>
      </c>
      <c r="BP29">
        <f t="shared" si="7"/>
        <v>0</v>
      </c>
      <c r="BQ29">
        <f t="shared" si="48"/>
        <v>0.93893665354710898</v>
      </c>
    </row>
    <row r="30" spans="1:69" x14ac:dyDescent="0.25">
      <c r="A30" s="1" t="s">
        <v>21</v>
      </c>
      <c r="B30">
        <f t="shared" ca="1" si="2"/>
        <v>195.44252833869589</v>
      </c>
      <c r="C30" t="s">
        <v>126</v>
      </c>
      <c r="D30">
        <f t="shared" si="8"/>
        <v>132</v>
      </c>
      <c r="E30">
        <f t="shared" si="9"/>
        <v>160.34</v>
      </c>
      <c r="F30">
        <f t="shared" si="10"/>
        <v>6.37</v>
      </c>
      <c r="G30">
        <f t="shared" si="11"/>
        <v>4.7300000000000004</v>
      </c>
      <c r="H30">
        <f t="shared" si="12"/>
        <v>-0.01</v>
      </c>
      <c r="I30">
        <f t="shared" si="13"/>
        <v>0.01</v>
      </c>
      <c r="J30">
        <f t="shared" si="14"/>
        <v>-0.41</v>
      </c>
      <c r="K30">
        <f t="shared" si="15"/>
        <v>0.1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>
        <f t="shared" si="5"/>
        <v>45</v>
      </c>
      <c r="Q30">
        <f t="shared" ca="1" si="16"/>
        <v>17.895937000000004</v>
      </c>
      <c r="R30">
        <f t="shared" ca="1" si="17"/>
        <v>20.018181999999999</v>
      </c>
      <c r="S30">
        <f t="shared" si="18"/>
        <v>52</v>
      </c>
      <c r="T30">
        <f t="shared" ca="1" si="19"/>
        <v>-8.3832869999999957</v>
      </c>
      <c r="U30">
        <f t="shared" ca="1" si="20"/>
        <v>21.430021</v>
      </c>
      <c r="V30">
        <f t="shared" si="21"/>
        <v>45</v>
      </c>
      <c r="W30">
        <f t="shared" ca="1" si="22"/>
        <v>8.9859370000000069</v>
      </c>
      <c r="X30">
        <f t="shared" ca="1" si="23"/>
        <v>20.018181999999999</v>
      </c>
      <c r="Y30">
        <f>GetFollowingCarRow($B$45:$E$54,L30,$E$15,E30)</f>
        <v>52</v>
      </c>
      <c r="Z30">
        <f t="shared" ca="1" si="24"/>
        <v>-17.293286999999992</v>
      </c>
      <c r="AA30">
        <f t="shared" ca="1" si="25"/>
        <v>21.430021</v>
      </c>
      <c r="AB30">
        <f t="shared" si="26"/>
        <v>-0.5</v>
      </c>
      <c r="AC30">
        <f t="shared" si="27"/>
        <v>8.9099999999999966</v>
      </c>
      <c r="AD30">
        <f t="shared" si="28"/>
        <v>-2.6277553310886672</v>
      </c>
      <c r="AE30">
        <f t="shared" si="29"/>
        <v>23.413300000000017</v>
      </c>
      <c r="AF30">
        <f t="shared" si="30"/>
        <v>8.9240181532760197</v>
      </c>
      <c r="AG30">
        <f t="shared" si="31"/>
        <v>0.67932454818847354</v>
      </c>
      <c r="AH30">
        <f t="shared" si="32"/>
        <v>0.67506987483860781</v>
      </c>
      <c r="AI30">
        <f>IF(G30&lt;=0,1,0)</f>
        <v>0</v>
      </c>
      <c r="AJ30">
        <f>IF(G30&lt;0,1,0)</f>
        <v>0</v>
      </c>
      <c r="AK30">
        <f>MAX(($B$3-G30)/(G30 + 1),0) / $B$3</f>
        <v>0.13561903633998021</v>
      </c>
      <c r="AL30">
        <f>IF(H30+ABS(K30)&lt;0,Logistic(SQRT(H30^2+K30^2)/$B$4),0)</f>
        <v>0</v>
      </c>
      <c r="AM30">
        <f>IF(G30&gt;$B$3,1,0)</f>
        <v>0</v>
      </c>
      <c r="AN30">
        <f>IF(H30&gt;$B$4,1,0)</f>
        <v>0</v>
      </c>
      <c r="AO30">
        <f>ABS(H30)/$B$4</f>
        <v>1.25E-3</v>
      </c>
      <c r="AP30">
        <f>Logistic(I30/$B$5)</f>
        <v>6.2499991861977931E-4</v>
      </c>
      <c r="AQ30">
        <f>IF(I30&gt;$B$5,1,0)</f>
        <v>0</v>
      </c>
      <c r="AR30">
        <f>Logistic(ABS(F30-O30)/($B$6/2))</f>
        <v>0.71993016874445448</v>
      </c>
      <c r="AS30">
        <f>IF(OR(F30&lt;M30,F30&gt;N30),1,0)</f>
        <v>1</v>
      </c>
      <c r="AT30">
        <f>ABS(K30)/$B$4</f>
        <v>1.2500000000000001E-2</v>
      </c>
      <c r="AU30">
        <f t="shared" ca="1" si="33"/>
        <v>7.0145522314697756E-2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0.9498007397715249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0.89644751344923468</v>
      </c>
      <c r="BA30">
        <f t="shared" ca="1" si="34"/>
        <v>0</v>
      </c>
      <c r="BB30">
        <f t="shared" ca="1" si="35"/>
        <v>0</v>
      </c>
      <c r="BC30">
        <f t="shared" si="36"/>
        <v>0</v>
      </c>
      <c r="BE30">
        <f t="shared" si="37"/>
        <v>0.67506987483860781</v>
      </c>
      <c r="BF30">
        <f t="shared" si="38"/>
        <v>0</v>
      </c>
      <c r="BG30">
        <f t="shared" si="39"/>
        <v>0</v>
      </c>
      <c r="BH30">
        <f t="shared" si="40"/>
        <v>0.89347970020688994</v>
      </c>
      <c r="BI30">
        <f t="shared" si="41"/>
        <v>0</v>
      </c>
      <c r="BJ30">
        <f t="shared" si="42"/>
        <v>0</v>
      </c>
      <c r="BK30">
        <f t="shared" si="43"/>
        <v>0</v>
      </c>
      <c r="BL30">
        <f t="shared" si="44"/>
        <v>0</v>
      </c>
      <c r="BM30">
        <f t="shared" si="45"/>
        <v>0</v>
      </c>
      <c r="BN30">
        <f t="shared" si="46"/>
        <v>0.40749999999999997</v>
      </c>
      <c r="BO30">
        <f t="shared" si="47"/>
        <v>1.2500000000000001E-2</v>
      </c>
      <c r="BP30">
        <f t="shared" si="7"/>
        <v>6.2499991861977931E-4</v>
      </c>
      <c r="BQ30">
        <f t="shared" si="48"/>
        <v>0.94058845283757564</v>
      </c>
    </row>
    <row r="31" spans="1:69" x14ac:dyDescent="0.25">
      <c r="A31" s="1" t="s">
        <v>20</v>
      </c>
      <c r="B31">
        <f t="shared" ca="1" si="2"/>
        <v>196.7463709865641</v>
      </c>
      <c r="C31" t="s">
        <v>125</v>
      </c>
      <c r="D31">
        <f t="shared" si="8"/>
        <v>132</v>
      </c>
      <c r="E31">
        <f t="shared" si="9"/>
        <v>160.16</v>
      </c>
      <c r="F31">
        <f t="shared" si="10"/>
        <v>6.87</v>
      </c>
      <c r="G31">
        <f t="shared" si="11"/>
        <v>4.55</v>
      </c>
      <c r="H31">
        <f t="shared" si="12"/>
        <v>-0.05</v>
      </c>
      <c r="I31">
        <f t="shared" si="13"/>
        <v>0.05</v>
      </c>
      <c r="J31">
        <f t="shared" si="14"/>
        <v>-0.79</v>
      </c>
      <c r="K31">
        <f t="shared" si="15"/>
        <v>0.23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>
        <f t="shared" si="5"/>
        <v>45</v>
      </c>
      <c r="Q31">
        <f t="shared" ca="1" si="16"/>
        <v>17.895937000000004</v>
      </c>
      <c r="R31">
        <f t="shared" ca="1" si="17"/>
        <v>20.018181999999999</v>
      </c>
      <c r="S31">
        <f t="shared" si="18"/>
        <v>52</v>
      </c>
      <c r="T31">
        <f t="shared" ca="1" si="19"/>
        <v>-8.3832869999999957</v>
      </c>
      <c r="U31">
        <f t="shared" ca="1" si="20"/>
        <v>21.430021</v>
      </c>
      <c r="V31">
        <f t="shared" si="21"/>
        <v>45</v>
      </c>
      <c r="W31">
        <f t="shared" ca="1" si="22"/>
        <v>9.1659370000000138</v>
      </c>
      <c r="X31">
        <f t="shared" ca="1" si="23"/>
        <v>20.018181999999999</v>
      </c>
      <c r="Y31">
        <f>GetFollowingCarRow($B$45:$E$54,L31,$E$15,E31)</f>
        <v>52</v>
      </c>
      <c r="Z31">
        <f t="shared" ca="1" si="24"/>
        <v>-17.113286999999985</v>
      </c>
      <c r="AA31">
        <f t="shared" ca="1" si="25"/>
        <v>21.430021</v>
      </c>
      <c r="AB31">
        <f t="shared" si="26"/>
        <v>-1</v>
      </c>
      <c r="AC31">
        <f t="shared" si="27"/>
        <v>8.7299999999999898</v>
      </c>
      <c r="AD31">
        <f t="shared" si="28"/>
        <v>-11.475933562428427</v>
      </c>
      <c r="AE31">
        <f t="shared" si="29"/>
        <v>100.18490000000006</v>
      </c>
      <c r="AF31">
        <f t="shared" si="30"/>
        <v>8.7870871169005618</v>
      </c>
      <c r="AG31">
        <f t="shared" si="31"/>
        <v>1.6335617012823267</v>
      </c>
      <c r="AH31">
        <f t="shared" si="32"/>
        <v>0.67506987483860781</v>
      </c>
      <c r="AI31">
        <f>IF(G31&lt;=0,1,0)</f>
        <v>0</v>
      </c>
      <c r="AJ31">
        <f>IF(G31&lt;0,1,0)</f>
        <v>0</v>
      </c>
      <c r="AK31">
        <f>MAX(($B$3-G31)/(G31 + 1),0) / $B$3</f>
        <v>0.14154588141393043</v>
      </c>
      <c r="AL31">
        <f>IF(H31+ABS(K31)&lt;0,Logistic(SQRT(H31^2+K31^2)/$B$4),0)</f>
        <v>0</v>
      </c>
      <c r="AM31">
        <f>IF(G31&gt;$B$3,1,0)</f>
        <v>0</v>
      </c>
      <c r="AN31">
        <f>IF(H31&gt;$B$4,1,0)</f>
        <v>0</v>
      </c>
      <c r="AO31">
        <f>ABS(H31)/$B$4</f>
        <v>6.2500000000000003E-3</v>
      </c>
      <c r="AP31">
        <f>Logistic(I31/$B$5)</f>
        <v>3.1249898275137089E-3</v>
      </c>
      <c r="AQ31">
        <f>IF(I31&gt;$B$5,1,0)</f>
        <v>0</v>
      </c>
      <c r="AR31">
        <f>Logistic(ABS(F31-O31)/($B$6/2))</f>
        <v>0.65413930020772271</v>
      </c>
      <c r="AS31">
        <f>IF(OR(F31&lt;M31,F31&gt;N31),1,0)</f>
        <v>1</v>
      </c>
      <c r="AT31">
        <f>ABS(K31)/$B$4</f>
        <v>2.8750000000000001E-2</v>
      </c>
      <c r="AU31">
        <f t="shared" ca="1" si="33"/>
        <v>6.8313306158268083E-2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0.95033603927388477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0.89861809413625737</v>
      </c>
      <c r="BA31">
        <f t="shared" ca="1" si="34"/>
        <v>0</v>
      </c>
      <c r="BB31">
        <f t="shared" ca="1" si="35"/>
        <v>0</v>
      </c>
      <c r="BC31">
        <f t="shared" si="36"/>
        <v>0</v>
      </c>
      <c r="BE31">
        <f t="shared" si="37"/>
        <v>0.67506987483860781</v>
      </c>
      <c r="BF31">
        <f t="shared" si="38"/>
        <v>0</v>
      </c>
      <c r="BG31">
        <f t="shared" si="39"/>
        <v>0</v>
      </c>
      <c r="BH31">
        <f t="shared" si="40"/>
        <v>0.90547332068958786</v>
      </c>
      <c r="BI31">
        <f t="shared" si="41"/>
        <v>0</v>
      </c>
      <c r="BJ31">
        <f t="shared" si="42"/>
        <v>0</v>
      </c>
      <c r="BK31">
        <f t="shared" si="43"/>
        <v>8.8547718835134325E-70</v>
      </c>
      <c r="BL31">
        <f t="shared" si="44"/>
        <v>0</v>
      </c>
      <c r="BM31">
        <f t="shared" si="45"/>
        <v>8.8547718835134325E-70</v>
      </c>
      <c r="BN31">
        <f t="shared" si="46"/>
        <v>0.28249999999999997</v>
      </c>
      <c r="BO31">
        <f t="shared" si="47"/>
        <v>2.8750000000000001E-2</v>
      </c>
      <c r="BP31">
        <f t="shared" si="7"/>
        <v>3.1249898275137089E-3</v>
      </c>
      <c r="BQ31">
        <f t="shared" si="48"/>
        <v>0.95000851190229518</v>
      </c>
    </row>
    <row r="32" spans="1:69" x14ac:dyDescent="0.25">
      <c r="A32" s="1" t="s">
        <v>37</v>
      </c>
      <c r="B32">
        <f t="shared" ca="1" si="2"/>
        <v>170.95586209044754</v>
      </c>
      <c r="C32" t="s">
        <v>124</v>
      </c>
      <c r="D32">
        <f t="shared" si="8"/>
        <v>132</v>
      </c>
      <c r="E32">
        <f t="shared" si="9"/>
        <v>164.33</v>
      </c>
      <c r="F32">
        <f t="shared" si="10"/>
        <v>4.49</v>
      </c>
      <c r="G32">
        <f t="shared" si="11"/>
        <v>8.6999999999999993</v>
      </c>
      <c r="H32">
        <f t="shared" si="12"/>
        <v>0.99</v>
      </c>
      <c r="I32">
        <f t="shared" si="13"/>
        <v>0.99</v>
      </c>
      <c r="J32">
        <f t="shared" si="14"/>
        <v>1.63</v>
      </c>
      <c r="K32">
        <f t="shared" si="15"/>
        <v>0.06</v>
      </c>
      <c r="L32">
        <f t="shared" si="3"/>
        <v>1</v>
      </c>
      <c r="M32">
        <f t="shared" si="0"/>
        <v>0</v>
      </c>
      <c r="N32">
        <f t="shared" si="1"/>
        <v>4</v>
      </c>
      <c r="O32">
        <f t="shared" si="4"/>
        <v>2</v>
      </c>
      <c r="P32">
        <f t="shared" si="5"/>
        <v>49</v>
      </c>
      <c r="Q32">
        <f t="shared" ca="1" si="16"/>
        <v>6.5460280000000068</v>
      </c>
      <c r="R32">
        <f t="shared" ca="1" si="17"/>
        <v>19.834886999999998</v>
      </c>
      <c r="S32">
        <f t="shared" si="18"/>
        <v>55</v>
      </c>
      <c r="T32">
        <f t="shared" ca="1" si="19"/>
        <v>-19.001496000000003</v>
      </c>
      <c r="U32">
        <f t="shared" ca="1" si="20"/>
        <v>23.594069000000001</v>
      </c>
      <c r="V32">
        <f t="shared" si="21"/>
        <v>51</v>
      </c>
      <c r="W32">
        <f t="shared" ca="1" si="22"/>
        <v>169.88799199999997</v>
      </c>
      <c r="X32">
        <f t="shared" ca="1" si="23"/>
        <v>13.581707</v>
      </c>
      <c r="Y32">
        <f>GetFollowingCarRow($B$45:$E$54,L32,$E$15,E32)</f>
        <v>49</v>
      </c>
      <c r="Z32">
        <f t="shared" ca="1" si="24"/>
        <v>-6.3539719999999988</v>
      </c>
      <c r="AA32">
        <f t="shared" ca="1" si="25"/>
        <v>19.834886999999998</v>
      </c>
      <c r="AB32">
        <f t="shared" si="26"/>
        <v>1.38</v>
      </c>
      <c r="AC32">
        <f t="shared" si="27"/>
        <v>12.900000000000006</v>
      </c>
      <c r="AD32">
        <f t="shared" si="28"/>
        <v>22.069488372093016</v>
      </c>
      <c r="AE32">
        <f t="shared" si="29"/>
        <v>-284.69640000000004</v>
      </c>
      <c r="AF32">
        <f t="shared" si="30"/>
        <v>12.973603971140793</v>
      </c>
      <c r="AG32">
        <f t="shared" si="31"/>
        <v>12.821156900581244</v>
      </c>
      <c r="AH32">
        <f t="shared" si="32"/>
        <v>0.67506987483860781</v>
      </c>
      <c r="AI32">
        <f>IF(G32&lt;=0,1,0)</f>
        <v>0</v>
      </c>
      <c r="AJ32">
        <f>IF(G32&lt;0,1,0)</f>
        <v>0</v>
      </c>
      <c r="AK32">
        <f>MAX(($B$3-G32)/(G32 + 1),0) / $B$3</f>
        <v>6.0825713924813209E-2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0.12375</v>
      </c>
      <c r="AP32">
        <f>Logistic(I32/$B$5)</f>
        <v>6.1796157602773426E-2</v>
      </c>
      <c r="AQ32">
        <f>IF(I32&gt;$B$5,1,0)</f>
        <v>0</v>
      </c>
      <c r="AR32">
        <f>Logistic(ABS(F32-O32)/($B$6/2))</f>
        <v>0.5528662746667965</v>
      </c>
      <c r="AS32">
        <f>IF(OR(F32&lt;M32,F32&gt;N32),1,0)</f>
        <v>1</v>
      </c>
      <c r="AT32">
        <f>ABS(K32)/$B$4</f>
        <v>7.4999999999999997E-3</v>
      </c>
      <c r="AU32">
        <f t="shared" ca="1" si="33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0.87242239847284175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0.94293635849200808</v>
      </c>
      <c r="BA32">
        <f t="shared" ca="1" si="34"/>
        <v>0</v>
      </c>
      <c r="BB32">
        <f t="shared" ca="1" si="35"/>
        <v>0</v>
      </c>
      <c r="BC32">
        <f t="shared" si="36"/>
        <v>1</v>
      </c>
      <c r="BE32">
        <f t="shared" si="37"/>
        <v>0.67506987483860781</v>
      </c>
      <c r="BF32">
        <f t="shared" si="38"/>
        <v>0</v>
      </c>
      <c r="BG32">
        <f t="shared" si="39"/>
        <v>0</v>
      </c>
      <c r="BH32">
        <f t="shared" si="40"/>
        <v>0.56853862158572821</v>
      </c>
      <c r="BI32">
        <f t="shared" si="41"/>
        <v>0</v>
      </c>
      <c r="BJ32">
        <f t="shared" si="42"/>
        <v>0</v>
      </c>
      <c r="BK32">
        <f t="shared" si="43"/>
        <v>8.4109320241522879E-4</v>
      </c>
      <c r="BL32">
        <f t="shared" si="44"/>
        <v>0</v>
      </c>
      <c r="BM32">
        <f t="shared" si="45"/>
        <v>8.4109320241522879E-4</v>
      </c>
      <c r="BN32">
        <f t="shared" si="46"/>
        <v>0.12250000000000005</v>
      </c>
      <c r="BO32">
        <f t="shared" si="47"/>
        <v>7.4999999999999997E-3</v>
      </c>
      <c r="BP32">
        <f t="shared" si="7"/>
        <v>6.1796157602773426E-2</v>
      </c>
      <c r="BQ32">
        <f t="shared" si="48"/>
        <v>0.61662442995333089</v>
      </c>
    </row>
    <row r="33" spans="1:69" x14ac:dyDescent="0.25">
      <c r="A33" s="1" t="s">
        <v>38</v>
      </c>
      <c r="B33">
        <f t="shared" ca="1" si="2"/>
        <v>171.04215289166567</v>
      </c>
      <c r="C33" t="s">
        <v>123</v>
      </c>
      <c r="D33">
        <f t="shared" si="8"/>
        <v>132</v>
      </c>
      <c r="E33">
        <f t="shared" si="9"/>
        <v>164.3</v>
      </c>
      <c r="F33">
        <f t="shared" si="10"/>
        <v>4.18</v>
      </c>
      <c r="G33">
        <f t="shared" si="11"/>
        <v>8.67</v>
      </c>
      <c r="H33">
        <f t="shared" si="12"/>
        <v>0.98</v>
      </c>
      <c r="I33">
        <f t="shared" si="13"/>
        <v>0.99</v>
      </c>
      <c r="J33">
        <f t="shared" si="14"/>
        <v>1.93</v>
      </c>
      <c r="K33">
        <f t="shared" si="15"/>
        <v>0.1</v>
      </c>
      <c r="L33">
        <f t="shared" si="3"/>
        <v>1</v>
      </c>
      <c r="M33">
        <f t="shared" si="0"/>
        <v>0</v>
      </c>
      <c r="N33">
        <f t="shared" si="1"/>
        <v>4</v>
      </c>
      <c r="O33">
        <f t="shared" si="4"/>
        <v>2</v>
      </c>
      <c r="P33">
        <f t="shared" si="5"/>
        <v>49</v>
      </c>
      <c r="Q33">
        <f t="shared" ca="1" si="16"/>
        <v>6.5460280000000068</v>
      </c>
      <c r="R33">
        <f t="shared" ca="1" si="17"/>
        <v>19.834886999999998</v>
      </c>
      <c r="S33">
        <f t="shared" si="18"/>
        <v>55</v>
      </c>
      <c r="T33">
        <f t="shared" ca="1" si="19"/>
        <v>-19.001496000000003</v>
      </c>
      <c r="U33">
        <f t="shared" ca="1" si="20"/>
        <v>23.594069000000001</v>
      </c>
      <c r="V33">
        <f t="shared" si="21"/>
        <v>51</v>
      </c>
      <c r="W33">
        <f t="shared" ca="1" si="22"/>
        <v>169.91799199999997</v>
      </c>
      <c r="X33">
        <f t="shared" ca="1" si="23"/>
        <v>13.581707</v>
      </c>
      <c r="Y33">
        <f>GetFollowingCarRow($B$45:$E$54,L33,$E$15,E33)</f>
        <v>49</v>
      </c>
      <c r="Z33">
        <f t="shared" ca="1" si="24"/>
        <v>-6.3239719999999977</v>
      </c>
      <c r="AA33">
        <f t="shared" ca="1" si="25"/>
        <v>19.834886999999998</v>
      </c>
      <c r="AB33">
        <f t="shared" si="26"/>
        <v>1.6900000000000004</v>
      </c>
      <c r="AC33">
        <f t="shared" si="27"/>
        <v>12.870000000000005</v>
      </c>
      <c r="AD33">
        <f t="shared" si="28"/>
        <v>25.754747474747475</v>
      </c>
      <c r="AE33">
        <f t="shared" si="29"/>
        <v>-331.4636000000001</v>
      </c>
      <c r="AF33">
        <f t="shared" si="30"/>
        <v>12.980485353021285</v>
      </c>
      <c r="AG33">
        <f t="shared" si="31"/>
        <v>15.244663030565462</v>
      </c>
      <c r="AH33">
        <f t="shared" si="32"/>
        <v>0.67506987483860781</v>
      </c>
      <c r="AI33">
        <f>IF(G33&lt;=0,1,0)</f>
        <v>0</v>
      </c>
      <c r="AJ33">
        <f>IF(G33&lt;0,1,0)</f>
        <v>0</v>
      </c>
      <c r="AK33">
        <f>MAX(($B$3-G33)/(G33 + 1),0) / $B$3</f>
        <v>6.1160618994197787E-2</v>
      </c>
      <c r="AL33">
        <f>IF(H33+ABS(K33)&lt;0,Logistic(SQRT(H33^2+K33^2)/$B$4),0)</f>
        <v>0</v>
      </c>
      <c r="AM33">
        <f>IF(G33&gt;$B$3,1,0)</f>
        <v>0</v>
      </c>
      <c r="AN33">
        <f>IF(H33&gt;$B$4,1,0)</f>
        <v>0</v>
      </c>
      <c r="AO33">
        <f>ABS(H33)/$B$4</f>
        <v>0.1225</v>
      </c>
      <c r="AP33">
        <f>Logistic(I33/$B$5)</f>
        <v>6.1796157602773426E-2</v>
      </c>
      <c r="AQ33">
        <f>IF(I33&gt;$B$5,1,0)</f>
        <v>0</v>
      </c>
      <c r="AR33">
        <f>Logistic(ABS(F33-O33)/($B$6/2))</f>
        <v>0.49676344321412841</v>
      </c>
      <c r="AS33">
        <f>IF(OR(F33&lt;M33,F33&gt;N33),1,0)</f>
        <v>1</v>
      </c>
      <c r="AT33">
        <f>ABS(K33)/$B$4</f>
        <v>1.2500000000000001E-2</v>
      </c>
      <c r="AU33">
        <f t="shared" ca="1" si="33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0.87267885186003902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0.94335838777409931</v>
      </c>
      <c r="BA33">
        <f t="shared" ca="1" si="34"/>
        <v>0</v>
      </c>
      <c r="BB33">
        <f t="shared" ca="1" si="35"/>
        <v>0</v>
      </c>
      <c r="BC33">
        <f t="shared" si="36"/>
        <v>1</v>
      </c>
      <c r="BE33">
        <f t="shared" si="37"/>
        <v>0.67506987483860781</v>
      </c>
      <c r="BF33">
        <f t="shared" si="38"/>
        <v>0</v>
      </c>
      <c r="BG33">
        <f t="shared" si="39"/>
        <v>0</v>
      </c>
      <c r="BH33">
        <f t="shared" si="40"/>
        <v>0.5709385370393929</v>
      </c>
      <c r="BI33">
        <f t="shared" si="41"/>
        <v>0</v>
      </c>
      <c r="BJ33">
        <f t="shared" si="42"/>
        <v>0</v>
      </c>
      <c r="BK33">
        <f t="shared" si="43"/>
        <v>7.7452137028712997E-4</v>
      </c>
      <c r="BL33">
        <f t="shared" si="44"/>
        <v>0</v>
      </c>
      <c r="BM33">
        <f t="shared" si="45"/>
        <v>8.4109320241522879E-4</v>
      </c>
      <c r="BN33">
        <f t="shared" si="46"/>
        <v>4.4999999999999929E-2</v>
      </c>
      <c r="BO33">
        <f t="shared" si="47"/>
        <v>1.2500000000000001E-2</v>
      </c>
      <c r="BP33">
        <f t="shared" si="7"/>
        <v>6.1173520364161939E-2</v>
      </c>
      <c r="BQ33">
        <f t="shared" si="48"/>
        <v>0.61923298912476876</v>
      </c>
    </row>
    <row r="34" spans="1:69" x14ac:dyDescent="0.25">
      <c r="A34" s="1" t="s">
        <v>39</v>
      </c>
      <c r="B34">
        <f t="shared" ca="1" si="2"/>
        <v>148.58429179429567</v>
      </c>
      <c r="C34" t="s">
        <v>122</v>
      </c>
      <c r="D34">
        <f t="shared" si="8"/>
        <v>131</v>
      </c>
      <c r="E34">
        <f t="shared" si="9"/>
        <v>163.97</v>
      </c>
      <c r="F34">
        <f t="shared" si="10"/>
        <v>2.99</v>
      </c>
      <c r="G34">
        <f t="shared" si="11"/>
        <v>8.48</v>
      </c>
      <c r="H34">
        <f t="shared" si="12"/>
        <v>0.94</v>
      </c>
      <c r="I34">
        <f t="shared" si="13"/>
        <v>0.95</v>
      </c>
      <c r="J34">
        <f t="shared" si="14"/>
        <v>2.99</v>
      </c>
      <c r="K34">
        <f t="shared" si="15"/>
        <v>0.22</v>
      </c>
      <c r="L34">
        <f t="shared" si="3"/>
        <v>1</v>
      </c>
      <c r="M34">
        <f t="shared" si="0"/>
        <v>0</v>
      </c>
      <c r="N34">
        <f t="shared" si="1"/>
        <v>4</v>
      </c>
      <c r="O34">
        <f t="shared" si="4"/>
        <v>2</v>
      </c>
      <c r="P34">
        <f t="shared" si="5"/>
        <v>49</v>
      </c>
      <c r="Q34">
        <f t="shared" ca="1" si="16"/>
        <v>6.5460280000000068</v>
      </c>
      <c r="R34">
        <f t="shared" ca="1" si="17"/>
        <v>19.834886999999998</v>
      </c>
      <c r="S34">
        <f t="shared" si="18"/>
        <v>55</v>
      </c>
      <c r="T34">
        <f t="shared" ca="1" si="19"/>
        <v>-19.001496000000003</v>
      </c>
      <c r="U34">
        <f t="shared" ca="1" si="20"/>
        <v>23.594069000000001</v>
      </c>
      <c r="V34">
        <f t="shared" si="21"/>
        <v>51</v>
      </c>
      <c r="W34">
        <f t="shared" ca="1" si="22"/>
        <v>170.24799199999998</v>
      </c>
      <c r="X34">
        <f t="shared" ca="1" si="23"/>
        <v>13.581707</v>
      </c>
      <c r="Y34">
        <f>GetFollowingCarRow($B$45:$E$54,L34,$E$15,E34)</f>
        <v>49</v>
      </c>
      <c r="Z34">
        <f t="shared" ca="1" si="24"/>
        <v>-5.9939719999999852</v>
      </c>
      <c r="AA34">
        <f t="shared" ca="1" si="25"/>
        <v>19.834886999999998</v>
      </c>
      <c r="AB34">
        <f t="shared" si="26"/>
        <v>2.88</v>
      </c>
      <c r="AC34">
        <f t="shared" si="27"/>
        <v>12.539999999999992</v>
      </c>
      <c r="AD34">
        <f t="shared" si="28"/>
        <v>40.64818181818184</v>
      </c>
      <c r="AE34">
        <f t="shared" si="29"/>
        <v>-509.72819999999996</v>
      </c>
      <c r="AF34">
        <f t="shared" si="30"/>
        <v>12.866468046826206</v>
      </c>
      <c r="AG34">
        <f t="shared" si="31"/>
        <v>24.758468625628634</v>
      </c>
      <c r="AH34">
        <f t="shared" si="32"/>
        <v>0.66959025961877083</v>
      </c>
      <c r="AI34">
        <f>IF(G34&lt;=0,1,0)</f>
        <v>0</v>
      </c>
      <c r="AJ34">
        <f>IF(G34&lt;0,1,0)</f>
        <v>0</v>
      </c>
      <c r="AK34">
        <f>MAX(($B$3-G34)/(G34 + 1),0) / $B$3</f>
        <v>6.3330907471257497E-2</v>
      </c>
      <c r="AL34">
        <f>IF(H34+ABS(K34)&lt;0,Logistic(SQRT(H34^2+K34^2)/$B$4),0)</f>
        <v>0</v>
      </c>
      <c r="AM34">
        <f>IF(G34&gt;$B$3,1,0)</f>
        <v>0</v>
      </c>
      <c r="AN34">
        <f>IF(H34&gt;$B$4,1,0)</f>
        <v>0</v>
      </c>
      <c r="AO34">
        <f>ABS(H34)/$B$4</f>
        <v>0.11749999999999999</v>
      </c>
      <c r="AP34">
        <f>Logistic(I34/$B$5)</f>
        <v>5.930532489501579E-2</v>
      </c>
      <c r="AQ34">
        <f>IF(I34&gt;$B$5,1,0)</f>
        <v>0</v>
      </c>
      <c r="AR34">
        <f>Logistic(ABS(F34-O34)/($B$6/2))</f>
        <v>0.2425671903821357</v>
      </c>
      <c r="AS34">
        <f>IF(OR(F34&lt;M34,F34&gt;N34),1,0)</f>
        <v>0</v>
      </c>
      <c r="AT34">
        <f>ABS(K34)/$B$4</f>
        <v>2.75E-2</v>
      </c>
      <c r="AU34">
        <f t="shared" ca="1" si="33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0.87427941476249704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0.94721240290634345</v>
      </c>
      <c r="BA34">
        <f t="shared" ca="1" si="34"/>
        <v>0</v>
      </c>
      <c r="BB34">
        <f t="shared" ca="1" si="35"/>
        <v>0</v>
      </c>
      <c r="BC34">
        <f t="shared" si="36"/>
        <v>1</v>
      </c>
      <c r="BE34">
        <f t="shared" si="37"/>
        <v>0.66959025961877083</v>
      </c>
      <c r="BF34">
        <f t="shared" si="38"/>
        <v>0</v>
      </c>
      <c r="BG34">
        <f t="shared" si="39"/>
        <v>0</v>
      </c>
      <c r="BH34">
        <f t="shared" si="40"/>
        <v>0.58625517308544162</v>
      </c>
      <c r="BI34">
        <f t="shared" si="41"/>
        <v>0</v>
      </c>
      <c r="BJ34">
        <f t="shared" si="42"/>
        <v>0</v>
      </c>
      <c r="BK34">
        <f t="shared" si="43"/>
        <v>5.4723168039542177E-4</v>
      </c>
      <c r="BL34">
        <f t="shared" si="44"/>
        <v>0</v>
      </c>
      <c r="BM34">
        <f t="shared" si="45"/>
        <v>5.9851879402537586E-4</v>
      </c>
      <c r="BN34">
        <f t="shared" si="46"/>
        <v>0</v>
      </c>
      <c r="BO34">
        <f t="shared" si="47"/>
        <v>2.75E-2</v>
      </c>
      <c r="BP34">
        <f t="shared" si="7"/>
        <v>5.8682500091571284E-2</v>
      </c>
      <c r="BQ34">
        <f t="shared" si="48"/>
        <v>0.63585194652167309</v>
      </c>
    </row>
    <row r="35" spans="1:69" x14ac:dyDescent="0.25">
      <c r="A35" s="1" t="s">
        <v>82</v>
      </c>
      <c r="B35">
        <f t="shared" ca="1" si="2"/>
        <v>249.68313070335884</v>
      </c>
      <c r="C35" t="s">
        <v>121</v>
      </c>
      <c r="D35">
        <f t="shared" si="8"/>
        <v>132</v>
      </c>
      <c r="E35">
        <f t="shared" si="9"/>
        <v>160.37</v>
      </c>
      <c r="F35">
        <f t="shared" si="10"/>
        <v>5.16</v>
      </c>
      <c r="G35">
        <f t="shared" si="11"/>
        <v>4.76</v>
      </c>
      <c r="H35">
        <f t="shared" si="12"/>
        <v>0</v>
      </c>
      <c r="I35">
        <f t="shared" si="13"/>
        <v>0</v>
      </c>
      <c r="J35">
        <f t="shared" si="14"/>
        <v>0.69</v>
      </c>
      <c r="K35">
        <f t="shared" si="15"/>
        <v>0.06</v>
      </c>
      <c r="L35">
        <f t="shared" si="3"/>
        <v>1</v>
      </c>
      <c r="M35">
        <f t="shared" si="0"/>
        <v>0</v>
      </c>
      <c r="N35">
        <f t="shared" si="1"/>
        <v>4</v>
      </c>
      <c r="O35">
        <f t="shared" si="4"/>
        <v>2</v>
      </c>
      <c r="P35">
        <f t="shared" si="5"/>
        <v>49</v>
      </c>
      <c r="Q35">
        <f t="shared" ca="1" si="16"/>
        <v>6.5460280000000068</v>
      </c>
      <c r="R35">
        <f t="shared" ca="1" si="17"/>
        <v>19.834886999999998</v>
      </c>
      <c r="S35">
        <f t="shared" si="18"/>
        <v>55</v>
      </c>
      <c r="T35">
        <f t="shared" ca="1" si="19"/>
        <v>-19.001496000000003</v>
      </c>
      <c r="U35">
        <f t="shared" ca="1" si="20"/>
        <v>23.594069000000001</v>
      </c>
      <c r="V35">
        <f t="shared" si="21"/>
        <v>51</v>
      </c>
      <c r="W35">
        <f t="shared" ca="1" si="22"/>
        <v>173.84799199999998</v>
      </c>
      <c r="X35">
        <f t="shared" ca="1" si="23"/>
        <v>13.581707</v>
      </c>
      <c r="Y35">
        <f>GetFollowingCarRow($B$45:$E$54,L35,$E$15,E35)</f>
        <v>49</v>
      </c>
      <c r="Z35">
        <f t="shared" ca="1" si="24"/>
        <v>-2.3939719999999909</v>
      </c>
      <c r="AA35">
        <f t="shared" ca="1" si="25"/>
        <v>19.834886999999998</v>
      </c>
      <c r="AB35">
        <f t="shared" si="26"/>
        <v>0.71</v>
      </c>
      <c r="AC35">
        <f t="shared" si="27"/>
        <v>8.9399999999999977</v>
      </c>
      <c r="AD35">
        <f t="shared" si="28"/>
        <v>17.896319910514546</v>
      </c>
      <c r="AE35">
        <f t="shared" si="29"/>
        <v>-159.9931</v>
      </c>
      <c r="AF35">
        <f t="shared" si="30"/>
        <v>8.9681491959043562</v>
      </c>
      <c r="AG35">
        <f t="shared" si="31"/>
        <v>10.052933166095544</v>
      </c>
      <c r="AH35">
        <f t="shared" si="32"/>
        <v>0.67506987483860781</v>
      </c>
      <c r="AI35">
        <f>IF(G35&lt;=0,1,0)</f>
        <v>0</v>
      </c>
      <c r="AJ35">
        <f>IF(G35&lt;0,1,0)</f>
        <v>0</v>
      </c>
      <c r="AK35">
        <f>MAX(($B$3-G35)/(G35 + 1),0) / $B$3</f>
        <v>0.13466724264320873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</v>
      </c>
      <c r="AP35">
        <f>Logistic(I35/$B$5)</f>
        <v>0</v>
      </c>
      <c r="AQ35">
        <f>IF(I35&gt;$B$5,1,0)</f>
        <v>0</v>
      </c>
      <c r="AR35">
        <f>Logistic(ABS(F35-O35)/($B$6/2))</f>
        <v>0.65840903595525113</v>
      </c>
      <c r="AS35">
        <f>IF(OR(F35&lt;M35,F35&gt;N35),1,0)</f>
        <v>1</v>
      </c>
      <c r="AT35">
        <f>ABS(K35)/$B$4</f>
        <v>7.4999999999999997E-3</v>
      </c>
      <c r="AU35">
        <f t="shared" ca="1" si="33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0.89911104180408385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0.98411946968491382</v>
      </c>
      <c r="BA35">
        <f t="shared" ca="1" si="34"/>
        <v>0</v>
      </c>
      <c r="BB35">
        <f t="shared" ca="1" si="35"/>
        <v>1</v>
      </c>
      <c r="BC35">
        <f t="shared" si="36"/>
        <v>1</v>
      </c>
      <c r="BE35">
        <f t="shared" si="37"/>
        <v>0.67506987483860781</v>
      </c>
      <c r="BF35">
        <f t="shared" si="38"/>
        <v>0</v>
      </c>
      <c r="BG35">
        <f t="shared" si="39"/>
        <v>0</v>
      </c>
      <c r="BH35">
        <f t="shared" si="40"/>
        <v>0.89142441216088375</v>
      </c>
      <c r="BI35">
        <f t="shared" si="41"/>
        <v>0</v>
      </c>
      <c r="BJ35">
        <f t="shared" si="42"/>
        <v>0</v>
      </c>
      <c r="BK35">
        <f t="shared" si="43"/>
        <v>0</v>
      </c>
      <c r="BL35">
        <f t="shared" si="44"/>
        <v>0</v>
      </c>
      <c r="BM35">
        <f t="shared" si="45"/>
        <v>0</v>
      </c>
      <c r="BN35">
        <f t="shared" si="46"/>
        <v>0.29000000000000004</v>
      </c>
      <c r="BO35">
        <f t="shared" si="47"/>
        <v>7.4999999999999997E-3</v>
      </c>
      <c r="BP35">
        <f t="shared" si="7"/>
        <v>0</v>
      </c>
      <c r="BQ35">
        <f t="shared" si="48"/>
        <v>0.93893665354710898</v>
      </c>
    </row>
    <row r="36" spans="1:69" x14ac:dyDescent="0.25">
      <c r="A36" s="1" t="s">
        <v>83</v>
      </c>
      <c r="B36">
        <f t="shared" ca="1" si="2"/>
        <v>249.92268358984768</v>
      </c>
      <c r="C36" t="s">
        <v>120</v>
      </c>
      <c r="D36">
        <f t="shared" si="8"/>
        <v>132</v>
      </c>
      <c r="E36">
        <f t="shared" si="9"/>
        <v>160.34</v>
      </c>
      <c r="F36">
        <f t="shared" si="10"/>
        <v>4.9800000000000004</v>
      </c>
      <c r="G36">
        <f t="shared" si="11"/>
        <v>4.7300000000000004</v>
      </c>
      <c r="H36">
        <f t="shared" si="12"/>
        <v>-0.01</v>
      </c>
      <c r="I36">
        <f t="shared" si="13"/>
        <v>0</v>
      </c>
      <c r="J36">
        <f t="shared" si="14"/>
        <v>0.83</v>
      </c>
      <c r="K36">
        <f t="shared" si="15"/>
        <v>0.1</v>
      </c>
      <c r="L36">
        <f t="shared" si="3"/>
        <v>1</v>
      </c>
      <c r="M36">
        <f t="shared" si="0"/>
        <v>0</v>
      </c>
      <c r="N36">
        <f t="shared" si="1"/>
        <v>4</v>
      </c>
      <c r="O36">
        <f t="shared" si="4"/>
        <v>2</v>
      </c>
      <c r="P36">
        <f t="shared" si="5"/>
        <v>49</v>
      </c>
      <c r="Q36">
        <f t="shared" ca="1" si="16"/>
        <v>6.5460280000000068</v>
      </c>
      <c r="R36">
        <f t="shared" ca="1" si="17"/>
        <v>19.834886999999998</v>
      </c>
      <c r="S36">
        <f t="shared" si="18"/>
        <v>55</v>
      </c>
      <c r="T36">
        <f t="shared" ca="1" si="19"/>
        <v>-19.001496000000003</v>
      </c>
      <c r="U36">
        <f t="shared" ca="1" si="20"/>
        <v>23.594069000000001</v>
      </c>
      <c r="V36">
        <f t="shared" si="21"/>
        <v>51</v>
      </c>
      <c r="W36">
        <f t="shared" ca="1" si="22"/>
        <v>173.87799199999998</v>
      </c>
      <c r="X36">
        <f t="shared" ca="1" si="23"/>
        <v>13.581707</v>
      </c>
      <c r="Y36">
        <f>GetFollowingCarRow($B$45:$E$54,L36,$E$15,E36)</f>
        <v>49</v>
      </c>
      <c r="Z36">
        <f t="shared" ca="1" si="24"/>
        <v>-2.3639719999999897</v>
      </c>
      <c r="AA36">
        <f t="shared" ca="1" si="25"/>
        <v>19.834886999999998</v>
      </c>
      <c r="AB36">
        <f t="shared" si="26"/>
        <v>0.88999999999999968</v>
      </c>
      <c r="AC36">
        <f t="shared" si="27"/>
        <v>8.9099999999999966</v>
      </c>
      <c r="AD36">
        <f t="shared" si="28"/>
        <v>20.996004489337825</v>
      </c>
      <c r="AE36">
        <f t="shared" si="29"/>
        <v>-187.07439999999994</v>
      </c>
      <c r="AF36">
        <f t="shared" si="30"/>
        <v>8.9543397299856764</v>
      </c>
      <c r="AG36">
        <f t="shared" si="31"/>
        <v>12.11128171704665</v>
      </c>
      <c r="AH36">
        <f t="shared" si="32"/>
        <v>0.67506987483860781</v>
      </c>
      <c r="AI36">
        <f>IF(G36&lt;=0,1,0)</f>
        <v>0</v>
      </c>
      <c r="AJ36">
        <f>IF(G36&lt;0,1,0)</f>
        <v>0</v>
      </c>
      <c r="AK36">
        <f>MAX(($B$3-G36)/(G36 + 1),0) / $B$3</f>
        <v>0.13561903633998021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1.25E-3</v>
      </c>
      <c r="AP36">
        <f>Logistic(I36/$B$5)</f>
        <v>0</v>
      </c>
      <c r="AQ36">
        <f>IF(I36&gt;$B$5,1,0)</f>
        <v>0</v>
      </c>
      <c r="AR36">
        <f>Logistic(ABS(F36-O36)/($B$6/2))</f>
        <v>0.63215654516099162</v>
      </c>
      <c r="AS36">
        <f>IF(OR(F36&lt;M36,F36&gt;N36),1,0)</f>
        <v>1</v>
      </c>
      <c r="AT36">
        <f>ABS(K36)/$B$4</f>
        <v>1.2500000000000001E-2</v>
      </c>
      <c r="AU36">
        <f t="shared" ca="1" si="33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0.89927148803367929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0.98434962141722748</v>
      </c>
      <c r="BA36">
        <f t="shared" ca="1" si="34"/>
        <v>0</v>
      </c>
      <c r="BB36">
        <f t="shared" ca="1" si="35"/>
        <v>1</v>
      </c>
      <c r="BC36">
        <f t="shared" si="36"/>
        <v>1</v>
      </c>
      <c r="BE36">
        <f t="shared" si="37"/>
        <v>0.67506987483860781</v>
      </c>
      <c r="BF36">
        <f t="shared" si="38"/>
        <v>0</v>
      </c>
      <c r="BG36">
        <f t="shared" si="39"/>
        <v>0</v>
      </c>
      <c r="BH36">
        <f t="shared" si="40"/>
        <v>0.89347970020688994</v>
      </c>
      <c r="BI36">
        <f t="shared" si="41"/>
        <v>0</v>
      </c>
      <c r="BJ36">
        <f t="shared" si="42"/>
        <v>0</v>
      </c>
      <c r="BK36">
        <f t="shared" si="43"/>
        <v>0</v>
      </c>
      <c r="BL36">
        <f t="shared" si="44"/>
        <v>0</v>
      </c>
      <c r="BM36">
        <f t="shared" si="45"/>
        <v>0</v>
      </c>
      <c r="BN36">
        <f t="shared" si="46"/>
        <v>0.24500000000000011</v>
      </c>
      <c r="BO36">
        <f t="shared" si="47"/>
        <v>1.2500000000000001E-2</v>
      </c>
      <c r="BP36">
        <f t="shared" si="7"/>
        <v>6.2499991861977931E-4</v>
      </c>
      <c r="BQ36">
        <f t="shared" si="48"/>
        <v>0.94058845283757564</v>
      </c>
    </row>
    <row r="37" spans="1:69" x14ac:dyDescent="0.25">
      <c r="A37" s="1" t="s">
        <v>84</v>
      </c>
      <c r="B37">
        <f t="shared" ca="1" si="2"/>
        <v>251.2435027619434</v>
      </c>
      <c r="C37" t="s">
        <v>119</v>
      </c>
      <c r="D37">
        <f t="shared" si="8"/>
        <v>132</v>
      </c>
      <c r="E37">
        <f t="shared" si="9"/>
        <v>160.18</v>
      </c>
      <c r="F37">
        <f t="shared" si="10"/>
        <v>4.25</v>
      </c>
      <c r="G37">
        <f t="shared" si="11"/>
        <v>4.57</v>
      </c>
      <c r="H37">
        <f t="shared" si="12"/>
        <v>-0.05</v>
      </c>
      <c r="I37">
        <f t="shared" si="13"/>
        <v>0.04</v>
      </c>
      <c r="J37">
        <f t="shared" si="14"/>
        <v>1.39</v>
      </c>
      <c r="K37">
        <f t="shared" si="15"/>
        <v>0.22</v>
      </c>
      <c r="L37">
        <f t="shared" si="3"/>
        <v>1</v>
      </c>
      <c r="M37">
        <f t="shared" si="0"/>
        <v>0</v>
      </c>
      <c r="N37">
        <f t="shared" si="1"/>
        <v>4</v>
      </c>
      <c r="O37">
        <f t="shared" si="4"/>
        <v>2</v>
      </c>
      <c r="P37">
        <f t="shared" si="5"/>
        <v>49</v>
      </c>
      <c r="Q37">
        <f t="shared" ca="1" si="16"/>
        <v>6.5460280000000068</v>
      </c>
      <c r="R37">
        <f t="shared" ca="1" si="17"/>
        <v>19.834886999999998</v>
      </c>
      <c r="S37">
        <f t="shared" si="18"/>
        <v>55</v>
      </c>
      <c r="T37">
        <f t="shared" ca="1" si="19"/>
        <v>-19.001496000000003</v>
      </c>
      <c r="U37">
        <f t="shared" ca="1" si="20"/>
        <v>23.594069000000001</v>
      </c>
      <c r="V37">
        <f t="shared" si="21"/>
        <v>51</v>
      </c>
      <c r="W37">
        <f t="shared" ca="1" si="22"/>
        <v>174.03799199999997</v>
      </c>
      <c r="X37">
        <f t="shared" ca="1" si="23"/>
        <v>13.581707</v>
      </c>
      <c r="Y37">
        <f>GetFollowingCarRow($B$45:$E$54,L37,$E$15,E37)</f>
        <v>49</v>
      </c>
      <c r="Z37">
        <f t="shared" ca="1" si="24"/>
        <v>-2.2039719999999932</v>
      </c>
      <c r="AA37">
        <f t="shared" ca="1" si="25"/>
        <v>19.834886999999998</v>
      </c>
      <c r="AB37">
        <f t="shared" si="26"/>
        <v>1.62</v>
      </c>
      <c r="AC37">
        <f t="shared" si="27"/>
        <v>8.75</v>
      </c>
      <c r="AD37">
        <f t="shared" si="28"/>
        <v>33.906182857142859</v>
      </c>
      <c r="AE37">
        <f t="shared" si="29"/>
        <v>-296.67910000000001</v>
      </c>
      <c r="AF37">
        <f t="shared" si="30"/>
        <v>8.8987021525613503</v>
      </c>
      <c r="AG37">
        <f t="shared" si="31"/>
        <v>20.515114265000275</v>
      </c>
      <c r="AH37">
        <f t="shared" si="32"/>
        <v>0.67506987483860781</v>
      </c>
      <c r="AI37">
        <f>IF(G37&lt;=0,1,0)</f>
        <v>0</v>
      </c>
      <c r="AJ37">
        <f>IF(G37&lt;0,1,0)</f>
        <v>0</v>
      </c>
      <c r="AK37">
        <f>MAX(($B$3-G37)/(G37 + 1),0) / $B$3</f>
        <v>0.14086842635161773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6.2500000000000003E-3</v>
      </c>
      <c r="AP37">
        <f>Logistic(I37/$B$5)</f>
        <v>2.4999947916796842E-3</v>
      </c>
      <c r="AQ37">
        <f>IF(I37&gt;$B$5,1,0)</f>
        <v>0</v>
      </c>
      <c r="AR37">
        <f>Logistic(ABS(F37-O37)/($B$6/2))</f>
        <v>0.50982997373525663</v>
      </c>
      <c r="AS37">
        <f>IF(OR(F37&lt;M37,F37&gt;N37),1,0)</f>
        <v>1</v>
      </c>
      <c r="AT37">
        <f>ABS(K37)/$B$4</f>
        <v>2.75E-2</v>
      </c>
      <c r="AU37">
        <f t="shared" ca="1" si="33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0.90011865495231325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0.98556181909502516</v>
      </c>
      <c r="BA37">
        <f t="shared" ca="1" si="34"/>
        <v>0</v>
      </c>
      <c r="BB37">
        <f t="shared" ca="1" si="35"/>
        <v>1</v>
      </c>
      <c r="BC37">
        <f t="shared" si="36"/>
        <v>1</v>
      </c>
      <c r="BE37">
        <f t="shared" si="37"/>
        <v>0.67506987483860781</v>
      </c>
      <c r="BF37">
        <f t="shared" si="38"/>
        <v>0</v>
      </c>
      <c r="BG37">
        <f t="shared" si="39"/>
        <v>0</v>
      </c>
      <c r="BH37">
        <f t="shared" si="40"/>
        <v>0.90417020970711648</v>
      </c>
      <c r="BI37">
        <f t="shared" si="41"/>
        <v>0</v>
      </c>
      <c r="BJ37">
        <f t="shared" si="42"/>
        <v>0</v>
      </c>
      <c r="BK37">
        <f t="shared" si="43"/>
        <v>8.8547718835134325E-70</v>
      </c>
      <c r="BL37">
        <f t="shared" si="44"/>
        <v>0</v>
      </c>
      <c r="BM37">
        <f t="shared" si="45"/>
        <v>3.7618207810960609E-87</v>
      </c>
      <c r="BN37">
        <f t="shared" si="46"/>
        <v>6.25E-2</v>
      </c>
      <c r="BO37">
        <f t="shared" si="47"/>
        <v>2.75E-2</v>
      </c>
      <c r="BP37">
        <f t="shared" si="7"/>
        <v>3.1249898275137089E-3</v>
      </c>
      <c r="BQ37">
        <f t="shared" si="48"/>
        <v>0.94900397444761564</v>
      </c>
    </row>
    <row r="38" spans="1:69" x14ac:dyDescent="0.25">
      <c r="A38" s="1" t="s">
        <v>19</v>
      </c>
      <c r="B38">
        <f t="shared" ca="1" si="2"/>
        <v>249.68313070335884</v>
      </c>
      <c r="C38" t="s">
        <v>118</v>
      </c>
      <c r="D38">
        <f>VALUE(MID(C38,FIND("#[",C38)+2,FIND("]",C38,FIND("#[",C38))-(FIND("#[",C38)+2)))</f>
        <v>132</v>
      </c>
      <c r="E38">
        <f>VALUE(MID(C38,FIND("s[",C38)+2,FIND("]",C38,FIND("s[",C38))-(FIND("s[",C38)+2)))</f>
        <v>160.37</v>
      </c>
      <c r="F38">
        <f>VALUE(MID(C38,FIND("d[",C38)+2,FIND("]",C38,FIND("d[",C38))-(FIND("d[",C38)+2)))</f>
        <v>5.16</v>
      </c>
      <c r="G38">
        <f>VALUE(MID(C38,FIND("s_dot[",C38)+6,FIND("]",C38,FIND("s_dot[",C38))-(FIND("s_dot[",C38)+6)))</f>
        <v>4.76</v>
      </c>
      <c r="H38">
        <f>VALUE(MID(C38,FIND("s_dot2[",C38)+7,FIND("]",C38,FIND("s_dot2[",C38))-(FIND("s_dot2[",C38)+7)))</f>
        <v>0</v>
      </c>
      <c r="I38">
        <f>VALUE(MID(C38,FIND("s_dot3[",C38)+7,FIND("]",C38,FIND("s_dot3[",C38))-(FIND("s_dot3[",C38)+7)))</f>
        <v>0</v>
      </c>
      <c r="J38">
        <f>VALUE(MID(C38,FIND("d_dot[",C38)+6,FIND("]",C38,FIND("d_dot[",C38))-(FIND("d_dot[",C38)+6)))</f>
        <v>0.69</v>
      </c>
      <c r="K38">
        <f>VALUE(MID(C38,FIND("d_dot2[",C38)+7,FIND("]",C38,FIND("d_dot2[",C38))-(FIND("d_dot2[",C38)+7)))</f>
        <v>0.06</v>
      </c>
      <c r="L38">
        <f>VALUE(MID(C38,FIND("-",C38)+1,FIND(")",C38,FIND("-",C38))-(FIND("-",C38)+1)))</f>
        <v>1</v>
      </c>
      <c r="M38">
        <f>$B$6*(L38-1)</f>
        <v>0</v>
      </c>
      <c r="N38">
        <f>$B$6*L38</f>
        <v>4</v>
      </c>
      <c r="O38">
        <f>(N38+M38)/2</f>
        <v>2</v>
      </c>
      <c r="P38">
        <f t="shared" si="5"/>
        <v>49</v>
      </c>
      <c r="Q38">
        <f t="shared" ca="1" si="16"/>
        <v>6.5460280000000068</v>
      </c>
      <c r="R38">
        <f t="shared" ca="1" si="17"/>
        <v>19.834886999999998</v>
      </c>
      <c r="S38">
        <f t="shared" si="18"/>
        <v>55</v>
      </c>
      <c r="T38">
        <f t="shared" ca="1" si="19"/>
        <v>-19.001496000000003</v>
      </c>
      <c r="U38">
        <f t="shared" ca="1" si="20"/>
        <v>23.594069000000001</v>
      </c>
      <c r="V38">
        <f t="shared" si="21"/>
        <v>51</v>
      </c>
      <c r="W38">
        <f t="shared" ca="1" si="22"/>
        <v>173.84799199999998</v>
      </c>
      <c r="X38">
        <f t="shared" ca="1" si="23"/>
        <v>13.581707</v>
      </c>
      <c r="Y38">
        <f>GetFollowingCarRow($B$45:$E$54,L38,$E$15,E38)</f>
        <v>49</v>
      </c>
      <c r="Z38">
        <f t="shared" ca="1" si="24"/>
        <v>-2.3939719999999909</v>
      </c>
      <c r="AA38">
        <f t="shared" ca="1" si="25"/>
        <v>19.834886999999998</v>
      </c>
      <c r="AB38">
        <f>$F$15-F38</f>
        <v>0.71</v>
      </c>
      <c r="AC38">
        <f>E38-$E$15</f>
        <v>8.9399999999999977</v>
      </c>
      <c r="AD38">
        <f>$F$15-(-AB38/AC38)*$E$15</f>
        <v>17.896319910514546</v>
      </c>
      <c r="AE38">
        <f>AD38*-AC38</f>
        <v>-159.9931</v>
      </c>
      <c r="AF38">
        <f>SQRT(AB38^2+AC38^2)</f>
        <v>8.9681491959043562</v>
      </c>
      <c r="AG38">
        <f>GetSmallestNormalDistance($B$45:$E$56,AB38,AC38,AF38,$L$15,L38)</f>
        <v>10.052933166095544</v>
      </c>
      <c r="AH38">
        <f t="shared" si="32"/>
        <v>0.67506987483860781</v>
      </c>
      <c r="AI38">
        <f>IF(G38&lt;=0,1,0)</f>
        <v>0</v>
      </c>
      <c r="AJ38">
        <f>IF(G38&lt;0,1,0)</f>
        <v>0</v>
      </c>
      <c r="AK38">
        <f>MAX(($B$3-G38)/(G38 + 1),0) / $B$3</f>
        <v>0.13466724264320873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0</v>
      </c>
      <c r="AP38">
        <f>Logistic(I38/$B$5)</f>
        <v>0</v>
      </c>
      <c r="AQ38">
        <f>IF(I38&gt;$B$5,1,0)</f>
        <v>0</v>
      </c>
      <c r="AR38">
        <f>Logistic(ABS(F38-O38)/($B$6/2))</f>
        <v>0.65840903595525113</v>
      </c>
      <c r="AS38">
        <f>IF(OR(F38&lt;M38,F38&gt;N38),1,0)</f>
        <v>1</v>
      </c>
      <c r="AT38">
        <f>ABS(K38)/$B$4</f>
        <v>7.4999999999999997E-3</v>
      </c>
      <c r="AU38">
        <f t="shared" ca="1" si="33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0.89911104180408385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0.98411946968491382</v>
      </c>
      <c r="BA38">
        <f t="shared" ca="1" si="34"/>
        <v>0</v>
      </c>
      <c r="BB38">
        <f t="shared" ca="1" si="35"/>
        <v>1</v>
      </c>
      <c r="BC38">
        <f t="shared" si="36"/>
        <v>1</v>
      </c>
      <c r="BE38">
        <f>Logistic((D38-$B$2)/$B$2)</f>
        <v>0.67506987483860781</v>
      </c>
      <c r="BF38">
        <f>IF(G38&lt;=0,1,0)</f>
        <v>0</v>
      </c>
      <c r="BG38">
        <f>IF(G38&lt;0,1,0)</f>
        <v>0</v>
      </c>
      <c r="BH38">
        <f>Logistic(($B$3-G38)/(G38+1))</f>
        <v>0.89142441216088375</v>
      </c>
      <c r="BI38">
        <f>IF(G38&gt;$B$3,1,0)</f>
        <v>0</v>
      </c>
      <c r="BJ38">
        <f>IF(H38&gt;$B$5,1,0)</f>
        <v>0</v>
      </c>
      <c r="BK38">
        <f>EXP(-($B$4-ABS(H38))/MAX(ABS(H38),0.000000001))</f>
        <v>0</v>
      </c>
      <c r="BL38">
        <f>IF(G38&lt;ABS(H38),1,0)</f>
        <v>0</v>
      </c>
      <c r="BM38">
        <f>EXP(-($B$5-I38)/MAX(I38,0.000000001))</f>
        <v>0</v>
      </c>
      <c r="BN38">
        <f>IF(F38&gt;N38,(F38-N38)/$B$6,0)+IF(F38&lt;M38,(M38-F38)/$B$6,0)</f>
        <v>0.29000000000000004</v>
      </c>
      <c r="BO38">
        <f>ABS(K38/$B$4)</f>
        <v>7.4999999999999997E-3</v>
      </c>
      <c r="BP38">
        <f>Logistic(ABS(H38)/$B$4)</f>
        <v>0</v>
      </c>
      <c r="BQ38">
        <f>Logistic(($B$3-G38)/G38)</f>
        <v>0.93893665354710898</v>
      </c>
    </row>
    <row r="39" spans="1:69" x14ac:dyDescent="0.25">
      <c r="A39" s="1" t="s">
        <v>18</v>
      </c>
      <c r="B39">
        <f t="shared" ca="1" si="2"/>
        <v>249.92268358984768</v>
      </c>
      <c r="C39" t="s">
        <v>117</v>
      </c>
      <c r="D39">
        <f>VALUE(MID(C39,FIND("#[",C39)+2,FIND("]",C39,FIND("#[",C39))-(FIND("#[",C39)+2)))</f>
        <v>132</v>
      </c>
      <c r="E39">
        <f>VALUE(MID(C39,FIND("s[",C39)+2,FIND("]",C39,FIND("s[",C39))-(FIND("s[",C39)+2)))</f>
        <v>160.34</v>
      </c>
      <c r="F39">
        <f>VALUE(MID(C39,FIND("d[",C39)+2,FIND("]",C39,FIND("d[",C39))-(FIND("d[",C39)+2)))</f>
        <v>4.9800000000000004</v>
      </c>
      <c r="G39">
        <f>VALUE(MID(C39,FIND("s_dot[",C39)+6,FIND("]",C39,FIND("s_dot[",C39))-(FIND("s_dot[",C39)+6)))</f>
        <v>4.7300000000000004</v>
      </c>
      <c r="H39">
        <f>VALUE(MID(C39,FIND("s_dot2[",C39)+7,FIND("]",C39,FIND("s_dot2[",C39))-(FIND("s_dot2[",C39)+7)))</f>
        <v>-0.01</v>
      </c>
      <c r="I39">
        <f>VALUE(MID(C39,FIND("s_dot3[",C39)+7,FIND("]",C39,FIND("s_dot3[",C39))-(FIND("s_dot3[",C39)+7)))</f>
        <v>0</v>
      </c>
      <c r="J39">
        <f>VALUE(MID(C39,FIND("d_dot[",C39)+6,FIND("]",C39,FIND("d_dot[",C39))-(FIND("d_dot[",C39)+6)))</f>
        <v>0.83</v>
      </c>
      <c r="K39">
        <f>VALUE(MID(C39,FIND("d_dot2[",C39)+7,FIND("]",C39,FIND("d_dot2[",C39))-(FIND("d_dot2[",C39)+7)))</f>
        <v>0.1</v>
      </c>
      <c r="L39">
        <f>VALUE(MID(C39,FIND("-",C39)+1,FIND(")",C39,FIND("-",C39))-(FIND("-",C39)+1)))</f>
        <v>1</v>
      </c>
      <c r="M39">
        <f>$B$6*(L39-1)</f>
        <v>0</v>
      </c>
      <c r="N39">
        <f>$B$6*L39</f>
        <v>4</v>
      </c>
      <c r="O39">
        <f>(N39+M39)/2</f>
        <v>2</v>
      </c>
      <c r="P39">
        <f t="shared" si="5"/>
        <v>49</v>
      </c>
      <c r="Q39">
        <f t="shared" ca="1" si="16"/>
        <v>6.5460280000000068</v>
      </c>
      <c r="R39">
        <f t="shared" ca="1" si="17"/>
        <v>19.834886999999998</v>
      </c>
      <c r="S39">
        <f t="shared" si="18"/>
        <v>55</v>
      </c>
      <c r="T39">
        <f t="shared" ca="1" si="19"/>
        <v>-19.001496000000003</v>
      </c>
      <c r="U39">
        <f t="shared" ca="1" si="20"/>
        <v>23.594069000000001</v>
      </c>
      <c r="V39">
        <f t="shared" si="21"/>
        <v>51</v>
      </c>
      <c r="W39">
        <f t="shared" ca="1" si="22"/>
        <v>173.87799199999998</v>
      </c>
      <c r="X39">
        <f t="shared" ca="1" si="23"/>
        <v>13.581707</v>
      </c>
      <c r="Y39">
        <f>GetFollowingCarRow($B$45:$E$54,L39,$E$15,E39)</f>
        <v>49</v>
      </c>
      <c r="Z39">
        <f t="shared" ca="1" si="24"/>
        <v>-2.3639719999999897</v>
      </c>
      <c r="AA39">
        <f t="shared" ca="1" si="25"/>
        <v>19.834886999999998</v>
      </c>
      <c r="AB39">
        <f>$F$15-F39</f>
        <v>0.88999999999999968</v>
      </c>
      <c r="AC39">
        <f>E39-$E$15</f>
        <v>8.9099999999999966</v>
      </c>
      <c r="AD39">
        <f>$F$15-(-AB39/AC39)*$E$15</f>
        <v>20.996004489337825</v>
      </c>
      <c r="AE39">
        <f>AD39*-AC39</f>
        <v>-187.07439999999994</v>
      </c>
      <c r="AF39">
        <f>SQRT(AB39^2+AC39^2)</f>
        <v>8.9543397299856764</v>
      </c>
      <c r="AG39">
        <f>GetSmallestNormalDistance($B$45:$E$56,AB39,AC39,AF39,$L$15,L39)</f>
        <v>12.11128171704665</v>
      </c>
      <c r="AH39">
        <f t="shared" si="32"/>
        <v>0.67506987483860781</v>
      </c>
      <c r="AI39">
        <f>IF(G39&lt;=0,1,0)</f>
        <v>0</v>
      </c>
      <c r="AJ39">
        <f>IF(G39&lt;0,1,0)</f>
        <v>0</v>
      </c>
      <c r="AK39">
        <f>MAX(($B$3-G39)/(G39 + 1),0) / $B$3</f>
        <v>0.13561903633998021</v>
      </c>
      <c r="AL39">
        <f>IF(H39+ABS(K39)&lt;0,Logistic(SQRT(H39^2+K39^2)/$B$4),0)</f>
        <v>0</v>
      </c>
      <c r="AM39">
        <f>IF(G39&gt;$B$3,1,0)</f>
        <v>0</v>
      </c>
      <c r="AN39">
        <f>IF(H39&gt;$B$4,1,0)</f>
        <v>0</v>
      </c>
      <c r="AO39">
        <f>ABS(H39)/$B$4</f>
        <v>1.25E-3</v>
      </c>
      <c r="AP39">
        <f>Logistic(I39/$B$5)</f>
        <v>0</v>
      </c>
      <c r="AQ39">
        <f>IF(I39&gt;$B$5,1,0)</f>
        <v>0</v>
      </c>
      <c r="AR39">
        <f>Logistic(ABS(F39-O39)/($B$6/2))</f>
        <v>0.63215654516099162</v>
      </c>
      <c r="AS39">
        <f>IF(OR(F39&lt;M39,F39&gt;N39),1,0)</f>
        <v>1</v>
      </c>
      <c r="AT39">
        <f>ABS(K39)/$B$4</f>
        <v>1.2500000000000001E-2</v>
      </c>
      <c r="AU39">
        <f t="shared" ca="1" si="33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0.89927148803367929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0.98434962141722748</v>
      </c>
      <c r="BA39">
        <f t="shared" ca="1" si="34"/>
        <v>0</v>
      </c>
      <c r="BB39">
        <f t="shared" ca="1" si="35"/>
        <v>1</v>
      </c>
      <c r="BC39">
        <f t="shared" si="36"/>
        <v>1</v>
      </c>
      <c r="BE39">
        <f>Logistic((D39-$B$2)/$B$2)</f>
        <v>0.67506987483860781</v>
      </c>
      <c r="BF39">
        <f>IF(G39&lt;=0,1,0)</f>
        <v>0</v>
      </c>
      <c r="BG39">
        <f>IF(G39&lt;0,1,0)</f>
        <v>0</v>
      </c>
      <c r="BH39">
        <f>Logistic(($B$3-G39)/(G39+1))</f>
        <v>0.89347970020688994</v>
      </c>
      <c r="BI39">
        <f>IF(G39&gt;$B$3,1,0)</f>
        <v>0</v>
      </c>
      <c r="BJ39">
        <f>IF(H39&gt;$B$5,1,0)</f>
        <v>0</v>
      </c>
      <c r="BK39">
        <f>EXP(-($B$4-ABS(H39))/MAX(ABS(H39),0.000000001))</f>
        <v>0</v>
      </c>
      <c r="BL39">
        <f>IF(G39&lt;ABS(H39),1,0)</f>
        <v>0</v>
      </c>
      <c r="BM39">
        <f>EXP(-($B$5-I39)/MAX(I39,0.000000001))</f>
        <v>0</v>
      </c>
      <c r="BN39">
        <f>IF(F39&gt;N39,(F39-N39)/$B$6,0)+IF(F39&lt;M39,(M39-F39)/$B$6,0)</f>
        <v>0.24500000000000011</v>
      </c>
      <c r="BO39">
        <f>ABS(K39/$B$4)</f>
        <v>1.2500000000000001E-2</v>
      </c>
      <c r="BP39">
        <f>Logistic(ABS(H39)/$B$4)</f>
        <v>6.2499991861977931E-4</v>
      </c>
      <c r="BQ39">
        <f>Logistic(($B$3-G39)/G39)</f>
        <v>0.94058845283757564</v>
      </c>
    </row>
    <row r="40" spans="1:69" x14ac:dyDescent="0.25">
      <c r="A40" s="1" t="s">
        <v>17</v>
      </c>
      <c r="B40">
        <f t="shared" ca="1" si="2"/>
        <v>251.2435027619434</v>
      </c>
      <c r="C40" t="s">
        <v>116</v>
      </c>
      <c r="D40">
        <f>VALUE(MID(C40,FIND("#[",C40)+2,FIND("]",C40,FIND("#[",C40))-(FIND("#[",C40)+2)))</f>
        <v>132</v>
      </c>
      <c r="E40">
        <f>VALUE(MID(C40,FIND("s[",C40)+2,FIND("]",C40,FIND("s[",C40))-(FIND("s[",C40)+2)))</f>
        <v>160.18</v>
      </c>
      <c r="F40">
        <f>VALUE(MID(C40,FIND("d[",C40)+2,FIND("]",C40,FIND("d[",C40))-(FIND("d[",C40)+2)))</f>
        <v>4.25</v>
      </c>
      <c r="G40">
        <f>VALUE(MID(C40,FIND("s_dot[",C40)+6,FIND("]",C40,FIND("s_dot[",C40))-(FIND("s_dot[",C40)+6)))</f>
        <v>4.57</v>
      </c>
      <c r="H40">
        <f>VALUE(MID(C40,FIND("s_dot2[",C40)+7,FIND("]",C40,FIND("s_dot2[",C40))-(FIND("s_dot2[",C40)+7)))</f>
        <v>-0.05</v>
      </c>
      <c r="I40">
        <f>VALUE(MID(C40,FIND("s_dot3[",C40)+7,FIND("]",C40,FIND("s_dot3[",C40))-(FIND("s_dot3[",C40)+7)))</f>
        <v>0.04</v>
      </c>
      <c r="J40">
        <f>VALUE(MID(C40,FIND("d_dot[",C40)+6,FIND("]",C40,FIND("d_dot[",C40))-(FIND("d_dot[",C40)+6)))</f>
        <v>1.39</v>
      </c>
      <c r="K40">
        <f>VALUE(MID(C40,FIND("d_dot2[",C40)+7,FIND("]",C40,FIND("d_dot2[",C40))-(FIND("d_dot2[",C40)+7)))</f>
        <v>0.22</v>
      </c>
      <c r="L40">
        <f>VALUE(MID(C40,FIND("-",C40)+1,FIND(")",C40,FIND("-",C40))-(FIND("-",C40)+1)))</f>
        <v>1</v>
      </c>
      <c r="M40">
        <f>$B$6*(L40-1)</f>
        <v>0</v>
      </c>
      <c r="N40">
        <f>$B$6*L40</f>
        <v>4</v>
      </c>
      <c r="O40">
        <f>(N40+M40)/2</f>
        <v>2</v>
      </c>
      <c r="P40">
        <f t="shared" si="5"/>
        <v>49</v>
      </c>
      <c r="Q40">
        <f t="shared" ca="1" si="16"/>
        <v>6.5460280000000068</v>
      </c>
      <c r="R40">
        <f t="shared" ca="1" si="17"/>
        <v>19.834886999999998</v>
      </c>
      <c r="S40">
        <f t="shared" si="18"/>
        <v>55</v>
      </c>
      <c r="T40">
        <f t="shared" ca="1" si="19"/>
        <v>-19.001496000000003</v>
      </c>
      <c r="U40">
        <f t="shared" ca="1" si="20"/>
        <v>23.594069000000001</v>
      </c>
      <c r="V40">
        <f t="shared" si="21"/>
        <v>51</v>
      </c>
      <c r="W40">
        <f t="shared" ca="1" si="22"/>
        <v>174.03799199999997</v>
      </c>
      <c r="X40">
        <f t="shared" ca="1" si="23"/>
        <v>13.581707</v>
      </c>
      <c r="Y40">
        <f>GetFollowingCarRow($B$45:$E$54,L40,$E$15,E40)</f>
        <v>49</v>
      </c>
      <c r="Z40">
        <f t="shared" ca="1" si="24"/>
        <v>-2.2039719999999932</v>
      </c>
      <c r="AA40">
        <f t="shared" ca="1" si="25"/>
        <v>19.834886999999998</v>
      </c>
      <c r="AB40">
        <f>$F$15-F40</f>
        <v>1.62</v>
      </c>
      <c r="AC40">
        <f>E40-$E$15</f>
        <v>8.75</v>
      </c>
      <c r="AD40">
        <f>$F$15-(-AB40/AC40)*$E$15</f>
        <v>33.906182857142859</v>
      </c>
      <c r="AE40">
        <f>AD40*-AC40</f>
        <v>-296.67910000000001</v>
      </c>
      <c r="AF40">
        <f>SQRT(AB40^2+AC40^2)</f>
        <v>8.8987021525613503</v>
      </c>
      <c r="AG40">
        <f>GetSmallestNormalDistance($B$45:$E$56,AB40,AC40,AF40,$L$15,L40)</f>
        <v>20.515114265000275</v>
      </c>
      <c r="AH40">
        <f t="shared" si="32"/>
        <v>0.67506987483860781</v>
      </c>
      <c r="AI40">
        <f>IF(G40&lt;=0,1,0)</f>
        <v>0</v>
      </c>
      <c r="AJ40">
        <f>IF(G40&lt;0,1,0)</f>
        <v>0</v>
      </c>
      <c r="AK40">
        <f>MAX(($B$3-G40)/(G40 + 1),0) / $B$3</f>
        <v>0.14086842635161773</v>
      </c>
      <c r="AL40">
        <f>IF(H40+ABS(K40)&lt;0,Logistic(SQRT(H40^2+K40^2)/$B$4),0)</f>
        <v>0</v>
      </c>
      <c r="AM40">
        <f>IF(G40&gt;$B$3,1,0)</f>
        <v>0</v>
      </c>
      <c r="AN40">
        <f>IF(H40&gt;$B$4,1,0)</f>
        <v>0</v>
      </c>
      <c r="AO40">
        <f>ABS(H40)/$B$4</f>
        <v>6.2500000000000003E-3</v>
      </c>
      <c r="AP40">
        <f>Logistic(I40/$B$5)</f>
        <v>2.4999947916796842E-3</v>
      </c>
      <c r="AQ40">
        <f>IF(I40&gt;$B$5,1,0)</f>
        <v>0</v>
      </c>
      <c r="AR40">
        <f>Logistic(ABS(F40-O40)/($B$6/2))</f>
        <v>0.50982997373525663</v>
      </c>
      <c r="AS40">
        <f>IF(OR(F40&lt;M40,F40&gt;N40),1,0)</f>
        <v>1</v>
      </c>
      <c r="AT40">
        <f>ABS(K40)/$B$4</f>
        <v>2.75E-2</v>
      </c>
      <c r="AU40">
        <f t="shared" ca="1" si="33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0.90011865495231325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0.98556181909502516</v>
      </c>
      <c r="BA40">
        <f t="shared" ca="1" si="34"/>
        <v>0</v>
      </c>
      <c r="BB40">
        <f t="shared" ca="1" si="35"/>
        <v>1</v>
      </c>
      <c r="BC40">
        <f t="shared" si="36"/>
        <v>1</v>
      </c>
      <c r="BE40">
        <f>Logistic((D40-$B$2)/$B$2)</f>
        <v>0.67506987483860781</v>
      </c>
      <c r="BF40">
        <f>IF(G40&lt;=0,1,0)</f>
        <v>0</v>
      </c>
      <c r="BG40">
        <f>IF(G40&lt;0,1,0)</f>
        <v>0</v>
      </c>
      <c r="BH40">
        <f>Logistic(($B$3-G40)/(G40+1))</f>
        <v>0.90417020970711648</v>
      </c>
      <c r="BI40">
        <f>IF(G40&gt;$B$3,1,0)</f>
        <v>0</v>
      </c>
      <c r="BJ40">
        <f>IF(H40&gt;$B$5,1,0)</f>
        <v>0</v>
      </c>
      <c r="BK40">
        <f>EXP(-($B$4-ABS(H40))/MAX(ABS(H40),0.000000001))</f>
        <v>8.8547718835134325E-70</v>
      </c>
      <c r="BL40">
        <f>IF(G40&lt;ABS(H40),1,0)</f>
        <v>0</v>
      </c>
      <c r="BM40">
        <f>EXP(-($B$5-I40)/MAX(I40,0.000000001))</f>
        <v>3.7618207810960609E-87</v>
      </c>
      <c r="BN40">
        <f>IF(F40&gt;N40,(F40-N40)/$B$6,0)+IF(F40&lt;M40,(M40-F40)/$B$6,0)</f>
        <v>6.25E-2</v>
      </c>
      <c r="BO40">
        <f>ABS(K40/$B$4)</f>
        <v>2.75E-2</v>
      </c>
      <c r="BP40">
        <f>Logistic(ABS(H40)/$B$4)</f>
        <v>3.1249898275137089E-3</v>
      </c>
      <c r="BQ40">
        <f>Logistic(($B$3-G40)/G40)</f>
        <v>0.94900397444761564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169.32593700000001</v>
      </c>
      <c r="C45">
        <v>10.182410000000001</v>
      </c>
      <c r="D45">
        <v>20.018181999999999</v>
      </c>
      <c r="E45">
        <v>3</v>
      </c>
    </row>
    <row r="46" spans="1:69" x14ac:dyDescent="0.25">
      <c r="B46">
        <v>397.49980900000003</v>
      </c>
      <c r="C46">
        <v>9.9901160000000004</v>
      </c>
      <c r="D46">
        <v>16.884857</v>
      </c>
      <c r="E46">
        <v>3</v>
      </c>
    </row>
    <row r="47" spans="1:69" x14ac:dyDescent="0.25">
      <c r="B47">
        <v>355.68035200000003</v>
      </c>
      <c r="C47">
        <v>1.613426</v>
      </c>
      <c r="D47">
        <v>15.901019</v>
      </c>
      <c r="E47">
        <v>1</v>
      </c>
    </row>
    <row r="48" spans="1:69" x14ac:dyDescent="0.25">
      <c r="B48">
        <v>391.23416600000002</v>
      </c>
      <c r="C48">
        <v>1.975554</v>
      </c>
      <c r="D48">
        <v>17.857915999999999</v>
      </c>
      <c r="E48">
        <v>1</v>
      </c>
    </row>
    <row r="49" spans="2:5" x14ac:dyDescent="0.25">
      <c r="B49">
        <v>157.97602800000001</v>
      </c>
      <c r="C49">
        <v>2.023552</v>
      </c>
      <c r="D49">
        <v>19.834886999999998</v>
      </c>
      <c r="E49">
        <v>1</v>
      </c>
    </row>
    <row r="50" spans="2:5" x14ac:dyDescent="0.25">
      <c r="B50">
        <v>357.96424999999999</v>
      </c>
      <c r="C50">
        <v>9.6419329999999999</v>
      </c>
      <c r="D50">
        <v>17.314765999999999</v>
      </c>
      <c r="E50">
        <v>3</v>
      </c>
    </row>
    <row r="51" spans="2:5" x14ac:dyDescent="0.25">
      <c r="B51">
        <v>334.21799199999998</v>
      </c>
      <c r="C51">
        <v>1.4813050000000001</v>
      </c>
      <c r="D51">
        <v>13.581707</v>
      </c>
      <c r="E51">
        <v>1</v>
      </c>
    </row>
    <row r="52" spans="2:5" x14ac:dyDescent="0.25">
      <c r="B52">
        <v>143.04671300000001</v>
      </c>
      <c r="C52">
        <v>10.033810000000001</v>
      </c>
      <c r="D52">
        <v>21.430021</v>
      </c>
      <c r="E52">
        <v>3</v>
      </c>
    </row>
    <row r="53" spans="2:5" x14ac:dyDescent="0.25">
      <c r="B53">
        <v>304.059349</v>
      </c>
      <c r="C53">
        <v>6.0357250000000002</v>
      </c>
      <c r="D53">
        <v>17.041014000000001</v>
      </c>
      <c r="E53">
        <v>2</v>
      </c>
    </row>
    <row r="54" spans="2:5" x14ac:dyDescent="0.25">
      <c r="B54">
        <v>101.531802</v>
      </c>
      <c r="C54">
        <v>9.9859740000000006</v>
      </c>
      <c r="D54">
        <v>23.316800000000001</v>
      </c>
      <c r="E54">
        <v>3</v>
      </c>
    </row>
    <row r="55" spans="2:5" x14ac:dyDescent="0.25">
      <c r="B55">
        <v>132.428504</v>
      </c>
      <c r="C55">
        <v>2.0141879999999999</v>
      </c>
      <c r="D55">
        <v>23.594069000000001</v>
      </c>
      <c r="E55">
        <v>1</v>
      </c>
    </row>
    <row r="56" spans="2:5" x14ac:dyDescent="0.25">
      <c r="B56">
        <v>101.955281</v>
      </c>
      <c r="C56">
        <v>1.9874670000000001</v>
      </c>
      <c r="D56">
        <v>23.562016</v>
      </c>
      <c r="E56">
        <v>1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92D050"/>
  </sheetPr>
  <dimension ref="A1:BQ50"/>
  <sheetViews>
    <sheetView topLeftCell="A11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1406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12" t="s">
        <v>183</v>
      </c>
      <c r="B12">
        <f ca="1">INDEX(A16:F40,MATCH(MIN(B16:B40),B16:B40,0),5)</f>
        <v>147.19</v>
      </c>
      <c r="C12">
        <f ca="1">INDEX(A16:F40,MATCH(MIN(B16:B40),B16:B40,0),6)</f>
        <v>6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3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141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145.46</v>
      </c>
      <c r="F15">
        <f>VALUE(MID(C15,FIND("d[",C15)+2,FIND("]",C15,FIND("d[",C15))-(FIND("d[",C15)+2)))</f>
        <v>6.05</v>
      </c>
      <c r="G15">
        <f>VALUE(MID(C15,FIND("s_dot[",C15)+6,FIND("]",C15,FIND("s_dot[",C15))-(FIND("s_dot[",C15)+6)))</f>
        <v>5.32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28" si="0">$B$6*(L15-1)</f>
        <v>4</v>
      </c>
      <c r="N15">
        <f t="shared" ref="N15:N25" si="1">$B$6*L15</f>
        <v>8</v>
      </c>
      <c r="O15">
        <f>(N15+M15)/2</f>
        <v>6</v>
      </c>
      <c r="P15" t="e">
        <f>GetLeadingCarRow($B$45:$E$56,L15,$E$15, $E$15)</f>
        <v>#VALUE!</v>
      </c>
      <c r="Q15">
        <f ca="1">IFERROR(INDIRECT(CONCATENATE("B", P15))-$E$15,1000000)</f>
        <v>1000000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33.984629884724136</v>
      </c>
      <c r="C16" t="s">
        <v>165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146.88</v>
      </c>
      <c r="F16">
        <f>VALUE(MID(C16,FIND("d[",C16)+2,FIND("]",C16,FIND("d[",C16))-(FIND("d[",C16)+2)))</f>
        <v>6</v>
      </c>
      <c r="G16">
        <f>VALUE(MID(C16,FIND("s_dot[",C16)+6,FIND("]",C16,FIND("s_dot[",C16))-(FIND("s_dot[",C16)+6)))</f>
        <v>4.72</v>
      </c>
      <c r="H16">
        <f>VALUE(MID(C16,FIND("s_dot2[",C16)+7,FIND("]",C16,FIND("s_dot2[",C16))-(FIND("s_dot2[",C16)+7)))</f>
        <v>-2.0099999999999998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25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25" si="4">(N16+M16)/2</f>
        <v>6</v>
      </c>
      <c r="P16" t="e">
        <f t="shared" ref="P16:P40" si="5">GetLeadingCarRow($B$45:$E$56,L16,$E$15, $E$15)</f>
        <v>#VALUE!</v>
      </c>
      <c r="Q16">
        <f ca="1">IFERROR(INDIRECT(CONCATENATE("B", P16))-$E$15,1000000)</f>
        <v>1000000</v>
      </c>
      <c r="R16">
        <f ca="1">IFERROR(INDIRECT(CONCATENATE("D", P16)),100)</f>
        <v>100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 t="e">
        <f>GetLeadingCarRow($B$45:$E$56,L16,$E$15,E16)</f>
        <v>#VALUE!</v>
      </c>
      <c r="W16">
        <f ca="1">IFERROR(INDIRECT(CONCATENATE("B", V16))-E16,1000000000)</f>
        <v>1000000000</v>
      </c>
      <c r="X16">
        <f ca="1">IFERROR(INDIRECT(CONCATENATE("D", V16)),100)</f>
        <v>100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4.9999999999999822E-2</v>
      </c>
      <c r="AC16">
        <f>E16-$E$15</f>
        <v>1.4199999999999875</v>
      </c>
      <c r="AD16">
        <f>$F$15-(-AB16/AC16)*$E$15</f>
        <v>11.17183098591552</v>
      </c>
      <c r="AE16">
        <f>AD16*-AC16</f>
        <v>-15.863999999999898</v>
      </c>
      <c r="AF16">
        <f>SQRT(AB16^2+AC16^2)</f>
        <v>1.4208800090084892</v>
      </c>
      <c r="AG16">
        <f>GetSmallestNormalDistance($B$45:$E$56,AB16,AC16,AF16,$L$15,L16)</f>
        <v>1000000000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0.13593851953889655</v>
      </c>
      <c r="AL16">
        <f>IF(H16+ABS(K16)&lt;0,Logistic(SQRT(H16^2+K16^2)/$B$4),0)</f>
        <v>0.12496828907780998</v>
      </c>
      <c r="AM16">
        <f>IF(G16&gt;$B$3,1,0)</f>
        <v>0</v>
      </c>
      <c r="AN16">
        <f>IF(H16&gt;$B$4,1,0)</f>
        <v>0</v>
      </c>
      <c r="AO16">
        <f>ABS(H16)/$B$4</f>
        <v>0.25124999999999997</v>
      </c>
      <c r="AP16">
        <f>Logistic(I16/$B$5)</f>
        <v>0.12435300177159621</v>
      </c>
      <c r="AQ16">
        <f>IF(I16&gt;$B$5,1,0)</f>
        <v>0</v>
      </c>
      <c r="AR16">
        <f>Logistic(ABS(F16-O16)/($B$6/2))</f>
        <v>0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>Logistic((D16-$B$2)/$B$2)</f>
        <v>0</v>
      </c>
      <c r="BF16">
        <f>IF(G16&lt;=0,1,0)</f>
        <v>0</v>
      </c>
      <c r="BG16">
        <f>IF(G16&lt;0,1,0)</f>
        <v>0</v>
      </c>
      <c r="BH16">
        <f>Logistic(($B$3-G16)/(G16+1))</f>
        <v>0.89416131883079208</v>
      </c>
      <c r="BI16">
        <f>IF(G16&gt;$B$3,1,0)</f>
        <v>0</v>
      </c>
      <c r="BJ16">
        <f>IF(H16&gt;$B$5,1,0)</f>
        <v>0</v>
      </c>
      <c r="BK16">
        <f>EXP(-($B$4-ABS(H16))/MAX(ABS(H16),0.000000001))</f>
        <v>5.0787780103013692E-2</v>
      </c>
      <c r="BL16">
        <f>IF(G16&lt;ABS(H16),1,0)</f>
        <v>0</v>
      </c>
      <c r="BM16">
        <f>EXP(-($B$5-I16)/MAX(I16,0.000000001))</f>
        <v>4.9787068367863944E-2</v>
      </c>
      <c r="BN16">
        <f>IF(F16&gt;N16,(F16-N16)/$B$6,0)+IF(F16&lt;M16,(M16-F16)/$B$6,0)</f>
        <v>0</v>
      </c>
      <c r="BO16">
        <f>ABS(K16/$B$4)</f>
        <v>0</v>
      </c>
      <c r="BP16">
        <f t="shared" ref="BP16:BP25" si="7">Logistic(ABS(H16)/$B$4)</f>
        <v>0.12496828907780998</v>
      </c>
      <c r="BQ16">
        <f>Logistic(($B$3-G16)/G16)</f>
        <v>0.94113392966352194</v>
      </c>
    </row>
    <row r="17" spans="1:69" x14ac:dyDescent="0.25">
      <c r="A17" s="1" t="s">
        <v>15</v>
      </c>
      <c r="B17">
        <f t="shared" ca="1" si="2"/>
        <v>31.703933792792487</v>
      </c>
      <c r="C17" t="s">
        <v>164</v>
      </c>
      <c r="D17">
        <f t="shared" ref="D17:D25" si="8">VALUE(MID(C17,FIND("#[",C17)+2,FIND("]",C17,FIND("#[",C17))-(FIND("#[",C17)+2)))</f>
        <v>50</v>
      </c>
      <c r="E17">
        <f t="shared" ref="E17:E25" si="9">VALUE(MID(C17,FIND("s[",C17)+2,FIND("]",C17,FIND("s[",C17))-(FIND("s[",C17)+2)))</f>
        <v>146.97</v>
      </c>
      <c r="F17">
        <f t="shared" ref="F17:F25" si="10">VALUE(MID(C17,FIND("d[",C17)+2,FIND("]",C17,FIND("d[",C17))-(FIND("d[",C17)+2)))</f>
        <v>6</v>
      </c>
      <c r="G17">
        <f t="shared" ref="G17:G25" si="11">VALUE(MID(C17,FIND("s_dot[",C17)+6,FIND("]",C17,FIND("s_dot[",C17))-(FIND("s_dot[",C17)+6)))</f>
        <v>5.0199999999999996</v>
      </c>
      <c r="H17">
        <f t="shared" ref="H17:H25" si="12">VALUE(MID(C17,FIND("s_dot2[",C17)+7,FIND("]",C17,FIND("s_dot2[",C17))-(FIND("s_dot2[",C17)+7)))</f>
        <v>-1.01</v>
      </c>
      <c r="I17">
        <f t="shared" ref="I17:I25" si="13">VALUE(MID(C17,FIND("s_dot3[",C17)+7,FIND("]",C17,FIND("s_dot3[",C17))-(FIND("s_dot3[",C17)+7)))</f>
        <v>1</v>
      </c>
      <c r="J17">
        <f t="shared" ref="J17:J25" si="14">VALUE(MID(C17,FIND("d_dot[",C17)+6,FIND("]",C17,FIND("d_dot[",C17))-(FIND("d_dot[",C17)+6)))</f>
        <v>0</v>
      </c>
      <c r="K17">
        <f t="shared" ref="K17:K25" si="15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 t="e">
        <f t="shared" si="5"/>
        <v>#VALUE!</v>
      </c>
      <c r="Q17">
        <f t="shared" ref="Q17:Q40" ca="1" si="16">IFERROR(INDIRECT(CONCATENATE("B", P17))-$E$15,1000000)</f>
        <v>1000000</v>
      </c>
      <c r="R17">
        <f t="shared" ref="R17:R40" ca="1" si="17">IFERROR(INDIRECT(CONCATENATE("D", P17)),100)</f>
        <v>100</v>
      </c>
      <c r="S17" t="e">
        <f t="shared" ref="S17:S40" si="18">GetFollowingCarRow($B$45:$E$56,L17,$E$15, $E$15)</f>
        <v>#VALUE!</v>
      </c>
      <c r="T17">
        <f t="shared" ref="T17:T40" ca="1" si="19">IFERROR(INDIRECT(CONCATENATE("B", S17))-$E$15,1000000)</f>
        <v>1000000</v>
      </c>
      <c r="U17">
        <f t="shared" ref="U17:U40" ca="1" si="20">IFERROR(INDIRECT(CONCATENATE("D", S17)),100)</f>
        <v>100</v>
      </c>
      <c r="V17" t="e">
        <f t="shared" ref="V17:V40" si="21">GetLeadingCarRow($B$45:$E$56,L17,$E$15,E17)</f>
        <v>#VALUE!</v>
      </c>
      <c r="W17">
        <f t="shared" ref="W17:W40" ca="1" si="22">IFERROR(INDIRECT(CONCATENATE("B", V17))-E17,1000000000)</f>
        <v>1000000000</v>
      </c>
      <c r="X17">
        <f t="shared" ref="X17:X40" ca="1" si="23">IFERROR(INDIRECT(CONCATENATE("D", V17)),100)</f>
        <v>100</v>
      </c>
      <c r="Y17" t="e">
        <f>GetFollowingCarRow($B$45:$E$54,L17,$E$15,E17)</f>
        <v>#VALUE!</v>
      </c>
      <c r="Z17">
        <f t="shared" ref="Z17:Z40" ca="1" si="24">IFERROR(INDIRECT(CONCATENATE("B", Y17))-E17,1000000000)</f>
        <v>1000000000</v>
      </c>
      <c r="AA17">
        <f t="shared" ref="AA17:AA40" ca="1" si="25">IFERROR(INDIRECT(CONCATENATE("D", Y17)),100)</f>
        <v>100</v>
      </c>
      <c r="AB17">
        <f t="shared" ref="AB17:AB25" si="26">$F$15-F17</f>
        <v>4.9999999999999822E-2</v>
      </c>
      <c r="AC17">
        <f t="shared" ref="AC17:AC25" si="27">E17-$E$15</f>
        <v>1.5099999999999909</v>
      </c>
      <c r="AD17">
        <f t="shared" ref="AD17:AD25" si="28">$F$15-(-AB17/AC17)*$E$15</f>
        <v>10.86655629139074</v>
      </c>
      <c r="AE17">
        <f t="shared" ref="AE17:AE25" si="29">AD17*-AC17</f>
        <v>-16.408499999999918</v>
      </c>
      <c r="AF17">
        <f t="shared" ref="AF17:AF25" si="30">SQRT(AB17^2+AC17^2)</f>
        <v>1.5108275877809394</v>
      </c>
      <c r="AG17">
        <f t="shared" ref="AG17:AG25" si="31">GetSmallestNormalDistance($B$45:$E$56,AB17,AC17,AF17,$L$15,L17)</f>
        <v>1000000000</v>
      </c>
      <c r="AH17">
        <f t="shared" ref="AH17:AH40" si="32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0.12681573517116995</v>
      </c>
      <c r="AL17">
        <f>IF(H17+ABS(K17)&lt;0,Logistic(SQRT(H17^2+K17^2)/$B$4),0)</f>
        <v>6.3041287317610231E-2</v>
      </c>
      <c r="AM17">
        <f>IF(G17&gt;$B$3,1,0)</f>
        <v>0</v>
      </c>
      <c r="AN17">
        <f>IF(H17&gt;$B$4,1,0)</f>
        <v>0</v>
      </c>
      <c r="AO17">
        <f>ABS(H17)/$B$4</f>
        <v>0.12625</v>
      </c>
      <c r="AP17">
        <f>Logistic(I17/$B$5)</f>
        <v>6.2418746747512487E-2</v>
      </c>
      <c r="AQ17">
        <f>IF(I17&gt;$B$5,1,0)</f>
        <v>0</v>
      </c>
      <c r="AR17">
        <f>Logistic(ABS(F17-O17)/($B$6/2))</f>
        <v>0</v>
      </c>
      <c r="AS17">
        <f>IF(OR(F17&lt;M17,F17&gt;N17),1,0)</f>
        <v>0</v>
      </c>
      <c r="AT17">
        <f>ABS(K17)/$B$4</f>
        <v>0</v>
      </c>
      <c r="AU17">
        <f t="shared" ref="AU17:AU40" ca="1" si="33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34">IF(OR(ABS(Q17)&lt;$B$8,ABS(W17)&lt;$B$8),1,0)</f>
        <v>0</v>
      </c>
      <c r="BB17">
        <f t="shared" ref="BB17:BB40" ca="1" si="35">IF(OR(ABS(T17)&lt;$B$8,ABS(Z17)&lt;$B$8),1,0)</f>
        <v>0</v>
      </c>
      <c r="BC17">
        <f t="shared" ref="BC17:BC40" si="36">IFERROR(IF(P17=Y17,1,0),0)</f>
        <v>0</v>
      </c>
      <c r="BE17">
        <f t="shared" ref="BE17:BE25" si="37">Logistic((D17-$B$2)/$B$2)</f>
        <v>0</v>
      </c>
      <c r="BF17">
        <f t="shared" ref="BF17:BF25" si="38">IF(G17&lt;=0,1,0)</f>
        <v>0</v>
      </c>
      <c r="BG17">
        <f t="shared" ref="BG17:BG25" si="39">IF(G17&lt;0,1,0)</f>
        <v>0</v>
      </c>
      <c r="BH17">
        <f t="shared" ref="BH17:BH25" si="40">Logistic(($B$3-G17)/(G17+1))</f>
        <v>0.87299051864901345</v>
      </c>
      <c r="BI17">
        <f t="shared" ref="BI17:BI25" si="41">IF(G17&gt;$B$3,1,0)</f>
        <v>0</v>
      </c>
      <c r="BJ17">
        <f t="shared" ref="BJ17:BJ25" si="42">IF(H17&gt;$B$5,1,0)</f>
        <v>0</v>
      </c>
      <c r="BK17">
        <f t="shared" ref="BK17:BK25" si="43">EXP(-($B$4-ABS(H17))/MAX(ABS(H17),0.000000001))</f>
        <v>9.8704781076962571E-4</v>
      </c>
      <c r="BL17">
        <f t="shared" ref="BL17:BL25" si="44">IF(G17&lt;ABS(H17),1,0)</f>
        <v>0</v>
      </c>
      <c r="BM17">
        <f t="shared" ref="BM17:BM25" si="45">EXP(-($B$5-I17)/MAX(I17,0.000000001))</f>
        <v>9.1188196555451624E-4</v>
      </c>
      <c r="BN17">
        <f t="shared" ref="BN17:BN25" si="46">IF(F17&gt;N17,(F17-N17)/$B$6,0)+IF(F17&lt;M17,(M17-F17)/$B$6,0)</f>
        <v>0</v>
      </c>
      <c r="BO17">
        <f t="shared" ref="BO17:BO25" si="47">ABS(K17/$B$4)</f>
        <v>0</v>
      </c>
      <c r="BP17">
        <f t="shared" si="7"/>
        <v>6.3041287317610231E-2</v>
      </c>
      <c r="BQ17">
        <f t="shared" ref="BQ17:BQ25" si="48">Logistic(($B$3-G17)/G17)</f>
        <v>0.92368230227797687</v>
      </c>
    </row>
    <row r="18" spans="1:69" x14ac:dyDescent="0.25">
      <c r="A18" s="1" t="s">
        <v>14</v>
      </c>
      <c r="B18">
        <f t="shared" ca="1" si="2"/>
        <v>28.679455822348348</v>
      </c>
      <c r="C18" t="s">
        <v>163</v>
      </c>
      <c r="D18">
        <f t="shared" si="8"/>
        <v>50</v>
      </c>
      <c r="E18">
        <f t="shared" si="9"/>
        <v>147.1</v>
      </c>
      <c r="F18">
        <f t="shared" si="10"/>
        <v>6</v>
      </c>
      <c r="G18">
        <f t="shared" si="11"/>
        <v>5.47</v>
      </c>
      <c r="H18">
        <f t="shared" si="12"/>
        <v>0.49</v>
      </c>
      <c r="I18">
        <f t="shared" si="13"/>
        <v>0.5</v>
      </c>
      <c r="J18">
        <f t="shared" si="14"/>
        <v>0</v>
      </c>
      <c r="K18">
        <f t="shared" si="15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 t="e">
        <f t="shared" si="5"/>
        <v>#VALUE!</v>
      </c>
      <c r="Q18">
        <f t="shared" ca="1" si="16"/>
        <v>1000000</v>
      </c>
      <c r="R18">
        <f t="shared" ca="1" si="17"/>
        <v>100</v>
      </c>
      <c r="S18" t="e">
        <f t="shared" si="18"/>
        <v>#VALUE!</v>
      </c>
      <c r="T18">
        <f t="shared" ca="1" si="19"/>
        <v>1000000</v>
      </c>
      <c r="U18">
        <f t="shared" ca="1" si="20"/>
        <v>100</v>
      </c>
      <c r="V18" t="e">
        <f t="shared" si="21"/>
        <v>#VALUE!</v>
      </c>
      <c r="W18">
        <f t="shared" ca="1" si="22"/>
        <v>1000000000</v>
      </c>
      <c r="X18">
        <f t="shared" ca="1" si="23"/>
        <v>100</v>
      </c>
      <c r="Y18" t="e">
        <f>GetFollowingCarRow($B$45:$E$54,L18,$E$15,E18)</f>
        <v>#VALUE!</v>
      </c>
      <c r="Z18">
        <f t="shared" ca="1" si="24"/>
        <v>1000000000</v>
      </c>
      <c r="AA18">
        <f t="shared" ca="1" si="25"/>
        <v>100</v>
      </c>
      <c r="AB18">
        <f t="shared" si="26"/>
        <v>4.9999999999999822E-2</v>
      </c>
      <c r="AC18">
        <f t="shared" si="27"/>
        <v>1.6399999999999864</v>
      </c>
      <c r="AD18">
        <f t="shared" si="28"/>
        <v>10.484756097560997</v>
      </c>
      <c r="AE18">
        <f t="shared" si="29"/>
        <v>-17.19499999999989</v>
      </c>
      <c r="AF18">
        <f t="shared" si="30"/>
        <v>1.6407620180879234</v>
      </c>
      <c r="AG18">
        <f t="shared" si="31"/>
        <v>1000000000</v>
      </c>
      <c r="AH18">
        <f t="shared" si="32"/>
        <v>0</v>
      </c>
      <c r="AI18">
        <f>IF(G18&lt;=0,1,0)</f>
        <v>0</v>
      </c>
      <c r="AJ18">
        <f>IF(G18&lt;0,1,0)</f>
        <v>0</v>
      </c>
      <c r="AK18">
        <f>MAX(($B$3-G18)/(G18 + 1),0) / $B$3</f>
        <v>0.11471782328939339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6.1249999999999999E-2</v>
      </c>
      <c r="AP18">
        <f>Logistic(I18/$B$5)</f>
        <v>3.1239831446031246E-2</v>
      </c>
      <c r="AQ18">
        <f>IF(I18&gt;$B$5,1,0)</f>
        <v>0</v>
      </c>
      <c r="AR18">
        <f>Logistic(ABS(F18-O18)/($B$6/2))</f>
        <v>0</v>
      </c>
      <c r="AS18">
        <f>IF(OR(F18&lt;M18,F18&gt;N18),1,0)</f>
        <v>0</v>
      </c>
      <c r="AT18">
        <f>ABS(K18)/$B$4</f>
        <v>0</v>
      </c>
      <c r="AU18">
        <f t="shared" ca="1" si="33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34"/>
        <v>0</v>
      </c>
      <c r="BB18">
        <f t="shared" ca="1" si="35"/>
        <v>0</v>
      </c>
      <c r="BC18">
        <f t="shared" si="36"/>
        <v>0</v>
      </c>
      <c r="BE18">
        <f t="shared" si="37"/>
        <v>0</v>
      </c>
      <c r="BF18">
        <f t="shared" si="38"/>
        <v>0</v>
      </c>
      <c r="BG18">
        <f t="shared" si="39"/>
        <v>0</v>
      </c>
      <c r="BH18">
        <f t="shared" si="40"/>
        <v>0.83881327536716654</v>
      </c>
      <c r="BI18">
        <f t="shared" si="41"/>
        <v>0</v>
      </c>
      <c r="BJ18">
        <f t="shared" si="42"/>
        <v>0</v>
      </c>
      <c r="BK18">
        <f t="shared" si="43"/>
        <v>2.2068475268126176E-7</v>
      </c>
      <c r="BL18">
        <f t="shared" si="44"/>
        <v>0</v>
      </c>
      <c r="BM18">
        <f t="shared" si="45"/>
        <v>3.0590232050182579E-7</v>
      </c>
      <c r="BN18">
        <f t="shared" si="46"/>
        <v>0</v>
      </c>
      <c r="BO18">
        <f t="shared" si="47"/>
        <v>0</v>
      </c>
      <c r="BP18">
        <f t="shared" si="7"/>
        <v>3.061542929036528E-2</v>
      </c>
      <c r="BQ18">
        <f t="shared" si="48"/>
        <v>0.893631464964318</v>
      </c>
    </row>
    <row r="19" spans="1:69" x14ac:dyDescent="0.25">
      <c r="A19" s="1" t="s">
        <v>13</v>
      </c>
      <c r="B19">
        <f t="shared" ca="1" si="2"/>
        <v>27.762670455677959</v>
      </c>
      <c r="C19" t="s">
        <v>162</v>
      </c>
      <c r="D19">
        <f t="shared" si="8"/>
        <v>50</v>
      </c>
      <c r="E19">
        <f t="shared" si="9"/>
        <v>147.15</v>
      </c>
      <c r="F19">
        <f t="shared" si="10"/>
        <v>6</v>
      </c>
      <c r="G19">
        <f t="shared" si="11"/>
        <v>5.62</v>
      </c>
      <c r="H19">
        <f t="shared" si="12"/>
        <v>0.99</v>
      </c>
      <c r="I19">
        <f t="shared" si="13"/>
        <v>1</v>
      </c>
      <c r="J19">
        <f t="shared" si="14"/>
        <v>0</v>
      </c>
      <c r="K19">
        <f t="shared" si="15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 t="e">
        <f t="shared" si="5"/>
        <v>#VALUE!</v>
      </c>
      <c r="Q19">
        <f t="shared" ca="1" si="16"/>
        <v>1000000</v>
      </c>
      <c r="R19">
        <f t="shared" ca="1" si="17"/>
        <v>100</v>
      </c>
      <c r="S19" t="e">
        <f t="shared" si="18"/>
        <v>#VALUE!</v>
      </c>
      <c r="T19">
        <f t="shared" ca="1" si="19"/>
        <v>1000000</v>
      </c>
      <c r="U19">
        <f t="shared" ca="1" si="20"/>
        <v>100</v>
      </c>
      <c r="V19" t="e">
        <f t="shared" si="21"/>
        <v>#VALUE!</v>
      </c>
      <c r="W19">
        <f t="shared" ca="1" si="22"/>
        <v>1000000000</v>
      </c>
      <c r="X19">
        <f t="shared" ca="1" si="23"/>
        <v>100</v>
      </c>
      <c r="Y19" t="e">
        <f>GetFollowingCarRow($B$45:$E$54,L19,$E$15,E19)</f>
        <v>#VALUE!</v>
      </c>
      <c r="Z19">
        <f t="shared" ca="1" si="24"/>
        <v>1000000000</v>
      </c>
      <c r="AA19">
        <f t="shared" ca="1" si="25"/>
        <v>100</v>
      </c>
      <c r="AB19">
        <f t="shared" si="26"/>
        <v>4.9999999999999822E-2</v>
      </c>
      <c r="AC19">
        <f t="shared" si="27"/>
        <v>1.6899999999999977</v>
      </c>
      <c r="AD19">
        <f t="shared" si="28"/>
        <v>10.353550295857978</v>
      </c>
      <c r="AE19">
        <f t="shared" si="29"/>
        <v>-17.49749999999996</v>
      </c>
      <c r="AF19">
        <f t="shared" si="30"/>
        <v>1.6907394831847964</v>
      </c>
      <c r="AG19">
        <f t="shared" si="31"/>
        <v>1000000000</v>
      </c>
      <c r="AH19">
        <f t="shared" si="32"/>
        <v>0</v>
      </c>
      <c r="AI19">
        <f>IF(G19&lt;=0,1,0)</f>
        <v>0</v>
      </c>
      <c r="AJ19">
        <f>IF(G19&lt;0,1,0)</f>
        <v>0</v>
      </c>
      <c r="AK19">
        <f>MAX(($B$3-G19)/(G19 + 1),0) / $B$3</f>
        <v>0.11105068182271184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0.12375</v>
      </c>
      <c r="AP19">
        <f>Logistic(I19/$B$5)</f>
        <v>6.2418746747512487E-2</v>
      </c>
      <c r="AQ19">
        <f>IF(I19&gt;$B$5,1,0)</f>
        <v>0</v>
      </c>
      <c r="AR19">
        <f>Logistic(ABS(F19-O19)/($B$6/2))</f>
        <v>0</v>
      </c>
      <c r="AS19">
        <f>IF(OR(F19&lt;M19,F19&gt;N19),1,0)</f>
        <v>0</v>
      </c>
      <c r="AT19">
        <f>ABS(K19)/$B$4</f>
        <v>0</v>
      </c>
      <c r="AU19">
        <f t="shared" ca="1" si="33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34"/>
        <v>0</v>
      </c>
      <c r="BB19">
        <f t="shared" ca="1" si="35"/>
        <v>0</v>
      </c>
      <c r="BC19">
        <f t="shared" si="36"/>
        <v>0</v>
      </c>
      <c r="BE19">
        <f t="shared" si="37"/>
        <v>0</v>
      </c>
      <c r="BF19">
        <f t="shared" si="38"/>
        <v>0</v>
      </c>
      <c r="BG19">
        <f t="shared" si="39"/>
        <v>0</v>
      </c>
      <c r="BH19">
        <f t="shared" si="40"/>
        <v>0.82689827810369598</v>
      </c>
      <c r="BI19">
        <f t="shared" si="41"/>
        <v>0</v>
      </c>
      <c r="BJ19">
        <f t="shared" si="42"/>
        <v>0</v>
      </c>
      <c r="BK19">
        <f t="shared" si="43"/>
        <v>8.4109320241522879E-4</v>
      </c>
      <c r="BL19">
        <f t="shared" si="44"/>
        <v>0</v>
      </c>
      <c r="BM19">
        <f t="shared" si="45"/>
        <v>9.1188196555451624E-4</v>
      </c>
      <c r="BN19">
        <f t="shared" si="46"/>
        <v>0</v>
      </c>
      <c r="BO19">
        <f t="shared" si="47"/>
        <v>0</v>
      </c>
      <c r="BP19">
        <f t="shared" si="7"/>
        <v>6.1796157602773426E-2</v>
      </c>
      <c r="BQ19">
        <f t="shared" si="48"/>
        <v>0.88270809042245746</v>
      </c>
    </row>
    <row r="20" spans="1:69" x14ac:dyDescent="0.25">
      <c r="A20" s="1" t="s">
        <v>12</v>
      </c>
      <c r="B20">
        <f t="shared" ca="1" si="2"/>
        <v>26.886510733025474</v>
      </c>
      <c r="C20" t="s">
        <v>161</v>
      </c>
      <c r="D20">
        <f t="shared" si="8"/>
        <v>50</v>
      </c>
      <c r="E20">
        <f t="shared" si="9"/>
        <v>147.19</v>
      </c>
      <c r="F20">
        <f t="shared" si="10"/>
        <v>6</v>
      </c>
      <c r="G20">
        <f t="shared" si="11"/>
        <v>5.77</v>
      </c>
      <c r="H20">
        <f t="shared" si="12"/>
        <v>1.49</v>
      </c>
      <c r="I20">
        <f t="shared" si="13"/>
        <v>1.5</v>
      </c>
      <c r="J20">
        <f t="shared" si="14"/>
        <v>0</v>
      </c>
      <c r="K20">
        <f t="shared" si="15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 t="e">
        <f t="shared" si="5"/>
        <v>#VALUE!</v>
      </c>
      <c r="Q20">
        <f t="shared" ca="1" si="16"/>
        <v>1000000</v>
      </c>
      <c r="R20">
        <f t="shared" ca="1" si="17"/>
        <v>100</v>
      </c>
      <c r="S20" t="e">
        <f t="shared" si="18"/>
        <v>#VALUE!</v>
      </c>
      <c r="T20">
        <f t="shared" ca="1" si="19"/>
        <v>1000000</v>
      </c>
      <c r="U20">
        <f t="shared" ca="1" si="20"/>
        <v>100</v>
      </c>
      <c r="V20" t="e">
        <f t="shared" si="21"/>
        <v>#VALUE!</v>
      </c>
      <c r="W20">
        <f t="shared" ca="1" si="22"/>
        <v>1000000000</v>
      </c>
      <c r="X20">
        <f t="shared" ca="1" si="23"/>
        <v>100</v>
      </c>
      <c r="Y20" t="e">
        <f>GetFollowingCarRow($B$45:$E$54,L20,$E$15,E20)</f>
        <v>#VALUE!</v>
      </c>
      <c r="Z20">
        <f t="shared" ca="1" si="24"/>
        <v>1000000000</v>
      </c>
      <c r="AA20">
        <f t="shared" ca="1" si="25"/>
        <v>100</v>
      </c>
      <c r="AB20">
        <f t="shared" si="26"/>
        <v>4.9999999999999822E-2</v>
      </c>
      <c r="AC20">
        <f t="shared" si="27"/>
        <v>1.7299999999999898</v>
      </c>
      <c r="AD20">
        <f t="shared" si="28"/>
        <v>10.254046242774576</v>
      </c>
      <c r="AE20">
        <f t="shared" si="29"/>
        <v>-17.739499999999911</v>
      </c>
      <c r="AF20">
        <f t="shared" si="30"/>
        <v>1.7307223925286124</v>
      </c>
      <c r="AG20">
        <f t="shared" si="31"/>
        <v>1000000000</v>
      </c>
      <c r="AH20">
        <f t="shared" si="32"/>
        <v>0</v>
      </c>
      <c r="AI20">
        <f>IF(G20&lt;=0,1,0)</f>
        <v>0</v>
      </c>
      <c r="AJ20">
        <f>IF(G20&lt;0,1,0)</f>
        <v>0</v>
      </c>
      <c r="AK20">
        <f>MAX(($B$3-G20)/(G20 + 1),0) / $B$3</f>
        <v>0.1075460429321019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0.18625</v>
      </c>
      <c r="AP20">
        <f>Logistic(I20/$B$5)</f>
        <v>9.3476303969227723E-2</v>
      </c>
      <c r="AQ20">
        <f>IF(I20&gt;$B$5,1,0)</f>
        <v>0</v>
      </c>
      <c r="AR20">
        <f>Logistic(ABS(F20-O20)/($B$6/2))</f>
        <v>0</v>
      </c>
      <c r="AS20">
        <f>IF(OR(F20&lt;M20,F20&gt;N20),1,0)</f>
        <v>0</v>
      </c>
      <c r="AT20">
        <f>ABS(K20)/$B$4</f>
        <v>0</v>
      </c>
      <c r="AU20">
        <f t="shared" ca="1" si="33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34"/>
        <v>0</v>
      </c>
      <c r="BB20">
        <f t="shared" ca="1" si="35"/>
        <v>0</v>
      </c>
      <c r="BC20">
        <f t="shared" si="36"/>
        <v>0</v>
      </c>
      <c r="BE20">
        <f t="shared" si="37"/>
        <v>0</v>
      </c>
      <c r="BF20">
        <f t="shared" si="38"/>
        <v>0</v>
      </c>
      <c r="BG20">
        <f t="shared" si="39"/>
        <v>0</v>
      </c>
      <c r="BH20">
        <f t="shared" si="40"/>
        <v>0.81477190096028362</v>
      </c>
      <c r="BI20">
        <f t="shared" si="41"/>
        <v>0</v>
      </c>
      <c r="BJ20">
        <f t="shared" si="42"/>
        <v>0</v>
      </c>
      <c r="BK20">
        <f t="shared" si="43"/>
        <v>1.2662283379765233E-2</v>
      </c>
      <c r="BL20">
        <f t="shared" si="44"/>
        <v>0</v>
      </c>
      <c r="BM20">
        <f t="shared" si="45"/>
        <v>1.3123728736940968E-2</v>
      </c>
      <c r="BN20">
        <f t="shared" si="46"/>
        <v>0</v>
      </c>
      <c r="BO20">
        <f t="shared" si="47"/>
        <v>0</v>
      </c>
      <c r="BP20">
        <f t="shared" si="7"/>
        <v>9.285672898979197E-2</v>
      </c>
      <c r="BQ20">
        <f t="shared" si="48"/>
        <v>0.87138889298786759</v>
      </c>
    </row>
    <row r="21" spans="1:69" x14ac:dyDescent="0.25">
      <c r="A21" s="1" t="s">
        <v>33</v>
      </c>
      <c r="B21">
        <f t="shared" ca="1" si="2"/>
        <v>29.639759481740413</v>
      </c>
      <c r="C21" t="s">
        <v>160</v>
      </c>
      <c r="D21">
        <f t="shared" si="8"/>
        <v>50</v>
      </c>
      <c r="E21">
        <f t="shared" si="9"/>
        <v>147.06</v>
      </c>
      <c r="F21">
        <f t="shared" si="10"/>
        <v>6</v>
      </c>
      <c r="G21">
        <f t="shared" si="11"/>
        <v>5.32</v>
      </c>
      <c r="H21">
        <f t="shared" si="12"/>
        <v>-0.01</v>
      </c>
      <c r="I21">
        <f t="shared" si="13"/>
        <v>0</v>
      </c>
      <c r="J21">
        <f t="shared" si="14"/>
        <v>0</v>
      </c>
      <c r="K21">
        <f t="shared" si="15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 t="e">
        <f t="shared" si="5"/>
        <v>#VALUE!</v>
      </c>
      <c r="Q21">
        <f t="shared" ca="1" si="16"/>
        <v>1000000</v>
      </c>
      <c r="R21">
        <f t="shared" ca="1" si="17"/>
        <v>100</v>
      </c>
      <c r="S21" t="e">
        <f t="shared" si="18"/>
        <v>#VALUE!</v>
      </c>
      <c r="T21">
        <f t="shared" ca="1" si="19"/>
        <v>1000000</v>
      </c>
      <c r="U21">
        <f t="shared" ca="1" si="20"/>
        <v>100</v>
      </c>
      <c r="V21" t="e">
        <f t="shared" si="21"/>
        <v>#VALUE!</v>
      </c>
      <c r="W21">
        <f t="shared" ca="1" si="22"/>
        <v>1000000000</v>
      </c>
      <c r="X21">
        <f t="shared" ca="1" si="23"/>
        <v>100</v>
      </c>
      <c r="Y21" t="e">
        <f>GetFollowingCarRow($B$45:$E$54,L21,$E$15,E21)</f>
        <v>#VALUE!</v>
      </c>
      <c r="Z21">
        <f t="shared" ca="1" si="24"/>
        <v>1000000000</v>
      </c>
      <c r="AA21">
        <f t="shared" ca="1" si="25"/>
        <v>100</v>
      </c>
      <c r="AB21">
        <f t="shared" si="26"/>
        <v>4.9999999999999822E-2</v>
      </c>
      <c r="AC21">
        <f t="shared" si="27"/>
        <v>1.5999999999999943</v>
      </c>
      <c r="AD21">
        <f t="shared" si="28"/>
        <v>10.595625</v>
      </c>
      <c r="AE21">
        <f t="shared" si="29"/>
        <v>-16.952999999999939</v>
      </c>
      <c r="AF21">
        <f t="shared" si="30"/>
        <v>1.6007810593582066</v>
      </c>
      <c r="AG21">
        <f t="shared" si="31"/>
        <v>1000000000</v>
      </c>
      <c r="AH21">
        <f t="shared" si="32"/>
        <v>0</v>
      </c>
      <c r="AI21">
        <f>IF(G21&lt;=0,1,0)</f>
        <v>0</v>
      </c>
      <c r="AJ21">
        <f>IF(G21&lt;0,1,0)</f>
        <v>0</v>
      </c>
      <c r="AK21">
        <f>MAX(($B$3-G21)/(G21 + 1),0) / $B$3</f>
        <v>0.11855903792696165</v>
      </c>
      <c r="AL21">
        <f>IF(H21+ABS(K21)&lt;0,Logistic(SQRT(H21^2+K21^2)/$B$4),0)</f>
        <v>6.2499991861977931E-4</v>
      </c>
      <c r="AM21">
        <f>IF(G21&gt;$B$3,1,0)</f>
        <v>0</v>
      </c>
      <c r="AN21">
        <f>IF(H21&gt;$B$4,1,0)</f>
        <v>0</v>
      </c>
      <c r="AO21">
        <f>ABS(H21)/$B$4</f>
        <v>1.25E-3</v>
      </c>
      <c r="AP21">
        <f>Logistic(I21/$B$5)</f>
        <v>0</v>
      </c>
      <c r="AQ21">
        <f>IF(I21&gt;$B$5,1,0)</f>
        <v>0</v>
      </c>
      <c r="AR21">
        <f>Logistic(ABS(F21-O21)/($B$6/2))</f>
        <v>0</v>
      </c>
      <c r="AS21">
        <f>IF(OR(F21&lt;M21,F21&gt;N21),1,0)</f>
        <v>0</v>
      </c>
      <c r="AT21">
        <f>ABS(K21)/$B$4</f>
        <v>0</v>
      </c>
      <c r="AU21">
        <f t="shared" ca="1" si="33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34"/>
        <v>0</v>
      </c>
      <c r="BB21">
        <f t="shared" ca="1" si="35"/>
        <v>0</v>
      </c>
      <c r="BC21">
        <f t="shared" si="36"/>
        <v>0</v>
      </c>
      <c r="BE21">
        <f t="shared" si="37"/>
        <v>0</v>
      </c>
      <c r="BF21">
        <f t="shared" si="38"/>
        <v>0</v>
      </c>
      <c r="BG21">
        <f t="shared" si="39"/>
        <v>0</v>
      </c>
      <c r="BH21">
        <f t="shared" si="40"/>
        <v>0.85048727718470307</v>
      </c>
      <c r="BI21">
        <f t="shared" si="41"/>
        <v>0</v>
      </c>
      <c r="BJ21">
        <f t="shared" si="42"/>
        <v>0</v>
      </c>
      <c r="BK21">
        <f t="shared" si="43"/>
        <v>0</v>
      </c>
      <c r="BL21">
        <f t="shared" si="44"/>
        <v>0</v>
      </c>
      <c r="BM21">
        <f t="shared" si="45"/>
        <v>0</v>
      </c>
      <c r="BN21">
        <f t="shared" si="46"/>
        <v>0</v>
      </c>
      <c r="BO21">
        <f t="shared" si="47"/>
        <v>0</v>
      </c>
      <c r="BP21">
        <f t="shared" si="7"/>
        <v>6.2499991861977931E-4</v>
      </c>
      <c r="BQ21">
        <f t="shared" si="48"/>
        <v>0.90412401415850585</v>
      </c>
    </row>
    <row r="22" spans="1:69" x14ac:dyDescent="0.25">
      <c r="A22" s="1" t="s">
        <v>11</v>
      </c>
      <c r="B22">
        <f t="shared" ca="1" si="2"/>
        <v>29.639759481740413</v>
      </c>
      <c r="C22" t="s">
        <v>159</v>
      </c>
      <c r="D22">
        <f t="shared" si="8"/>
        <v>50</v>
      </c>
      <c r="E22">
        <f t="shared" si="9"/>
        <v>147.06</v>
      </c>
      <c r="F22">
        <f t="shared" si="10"/>
        <v>6</v>
      </c>
      <c r="G22">
        <f t="shared" si="11"/>
        <v>5.32</v>
      </c>
      <c r="H22">
        <f t="shared" si="12"/>
        <v>0</v>
      </c>
      <c r="I22">
        <f t="shared" si="13"/>
        <v>0.01</v>
      </c>
      <c r="J22">
        <f t="shared" si="14"/>
        <v>0</v>
      </c>
      <c r="K22">
        <f t="shared" si="15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 t="e">
        <f t="shared" si="5"/>
        <v>#VALUE!</v>
      </c>
      <c r="Q22">
        <f t="shared" ca="1" si="16"/>
        <v>1000000</v>
      </c>
      <c r="R22">
        <f t="shared" ca="1" si="17"/>
        <v>100</v>
      </c>
      <c r="S22" t="e">
        <f t="shared" si="18"/>
        <v>#VALUE!</v>
      </c>
      <c r="T22">
        <f t="shared" ca="1" si="19"/>
        <v>1000000</v>
      </c>
      <c r="U22">
        <f t="shared" ca="1" si="20"/>
        <v>100</v>
      </c>
      <c r="V22" t="e">
        <f t="shared" si="21"/>
        <v>#VALUE!</v>
      </c>
      <c r="W22">
        <f t="shared" ca="1" si="22"/>
        <v>1000000000</v>
      </c>
      <c r="X22">
        <f t="shared" ca="1" si="23"/>
        <v>100</v>
      </c>
      <c r="Y22" t="e">
        <f>GetFollowingCarRow($B$45:$E$54,L22,$E$15,E22)</f>
        <v>#VALUE!</v>
      </c>
      <c r="Z22">
        <f t="shared" ca="1" si="24"/>
        <v>1000000000</v>
      </c>
      <c r="AA22">
        <f t="shared" ca="1" si="25"/>
        <v>100</v>
      </c>
      <c r="AB22">
        <f t="shared" si="26"/>
        <v>4.9999999999999822E-2</v>
      </c>
      <c r="AC22">
        <f t="shared" si="27"/>
        <v>1.5999999999999943</v>
      </c>
      <c r="AD22">
        <f t="shared" si="28"/>
        <v>10.595625</v>
      </c>
      <c r="AE22">
        <f t="shared" si="29"/>
        <v>-16.952999999999939</v>
      </c>
      <c r="AF22">
        <f t="shared" si="30"/>
        <v>1.6007810593582066</v>
      </c>
      <c r="AG22">
        <f t="shared" si="31"/>
        <v>1000000000</v>
      </c>
      <c r="AH22">
        <f t="shared" si="32"/>
        <v>0</v>
      </c>
      <c r="AI22">
        <f>IF(G22&lt;=0,1,0)</f>
        <v>0</v>
      </c>
      <c r="AJ22">
        <f>IF(G22&lt;0,1,0)</f>
        <v>0</v>
      </c>
      <c r="AK22">
        <f>MAX(($B$3-G22)/(G22 + 1),0) / $B$3</f>
        <v>0.11855903792696165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6.2499991861977931E-4</v>
      </c>
      <c r="AQ22">
        <f>IF(I22&gt;$B$5,1,0)</f>
        <v>0</v>
      </c>
      <c r="AR22">
        <f>Logistic(ABS(F22-O22)/($B$6/2))</f>
        <v>0</v>
      </c>
      <c r="AS22">
        <f>IF(OR(F22&lt;M22,F22&gt;N22),1,0)</f>
        <v>0</v>
      </c>
      <c r="AT22">
        <f>ABS(K22)/$B$4</f>
        <v>0</v>
      </c>
      <c r="AU22">
        <f t="shared" ca="1" si="33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34"/>
        <v>0</v>
      </c>
      <c r="BB22">
        <f t="shared" ca="1" si="35"/>
        <v>0</v>
      </c>
      <c r="BC22">
        <f t="shared" si="36"/>
        <v>0</v>
      </c>
      <c r="BE22">
        <f t="shared" si="37"/>
        <v>0</v>
      </c>
      <c r="BF22">
        <f t="shared" si="38"/>
        <v>0</v>
      </c>
      <c r="BG22">
        <f t="shared" si="39"/>
        <v>0</v>
      </c>
      <c r="BH22">
        <f t="shared" si="40"/>
        <v>0.85048727718470307</v>
      </c>
      <c r="BI22">
        <f t="shared" si="41"/>
        <v>0</v>
      </c>
      <c r="BJ22">
        <f t="shared" si="42"/>
        <v>0</v>
      </c>
      <c r="BK22">
        <f t="shared" si="43"/>
        <v>0</v>
      </c>
      <c r="BL22">
        <f t="shared" si="44"/>
        <v>0</v>
      </c>
      <c r="BM22">
        <f t="shared" si="45"/>
        <v>0</v>
      </c>
      <c r="BN22">
        <f t="shared" si="46"/>
        <v>0</v>
      </c>
      <c r="BO22">
        <f t="shared" si="47"/>
        <v>0</v>
      </c>
      <c r="BP22">
        <f t="shared" si="7"/>
        <v>0</v>
      </c>
      <c r="BQ22">
        <f t="shared" si="48"/>
        <v>0.90412401415850585</v>
      </c>
    </row>
    <row r="23" spans="1:69" x14ac:dyDescent="0.25">
      <c r="A23" s="1" t="s">
        <v>34</v>
      </c>
      <c r="B23">
        <f t="shared" ca="1" si="2"/>
        <v>169.72353925443312</v>
      </c>
      <c r="C23" t="s">
        <v>158</v>
      </c>
      <c r="D23">
        <f t="shared" si="8"/>
        <v>134</v>
      </c>
      <c r="E23">
        <f t="shared" si="9"/>
        <v>160.04</v>
      </c>
      <c r="F23">
        <f t="shared" si="10"/>
        <v>6.6</v>
      </c>
      <c r="G23">
        <f t="shared" si="11"/>
        <v>9.24</v>
      </c>
      <c r="H23">
        <f t="shared" si="12"/>
        <v>0.98</v>
      </c>
      <c r="I23">
        <f t="shared" si="13"/>
        <v>0.99</v>
      </c>
      <c r="J23">
        <f t="shared" si="14"/>
        <v>-0.57999999999999996</v>
      </c>
      <c r="K23">
        <f t="shared" si="15"/>
        <v>7.0000000000000007E-2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45</v>
      </c>
      <c r="Q23">
        <f t="shared" ca="1" si="16"/>
        <v>24.208902999999992</v>
      </c>
      <c r="R23">
        <f t="shared" ca="1" si="17"/>
        <v>21.101621999999999</v>
      </c>
      <c r="S23">
        <f t="shared" si="18"/>
        <v>48</v>
      </c>
      <c r="T23">
        <f t="shared" ca="1" si="19"/>
        <v>-56.385263000000009</v>
      </c>
      <c r="U23">
        <f t="shared" ca="1" si="20"/>
        <v>19.481217000000001</v>
      </c>
      <c r="V23">
        <f t="shared" si="21"/>
        <v>45</v>
      </c>
      <c r="W23">
        <f t="shared" ca="1" si="22"/>
        <v>9.6289030000000082</v>
      </c>
      <c r="X23">
        <f t="shared" ca="1" si="23"/>
        <v>21.101621999999999</v>
      </c>
      <c r="Y23">
        <f>GetFollowingCarRow($B$45:$E$54,L23,$E$15,E23)</f>
        <v>48</v>
      </c>
      <c r="Z23">
        <f t="shared" ca="1" si="24"/>
        <v>-70.965262999999993</v>
      </c>
      <c r="AA23">
        <f t="shared" ca="1" si="25"/>
        <v>19.481217000000001</v>
      </c>
      <c r="AB23">
        <f t="shared" si="26"/>
        <v>-0.54999999999999982</v>
      </c>
      <c r="AC23">
        <f t="shared" si="27"/>
        <v>14.579999999999984</v>
      </c>
      <c r="AD23">
        <f t="shared" si="28"/>
        <v>0.56282578875170941</v>
      </c>
      <c r="AE23">
        <f t="shared" si="29"/>
        <v>-8.2059999999999143</v>
      </c>
      <c r="AF23">
        <f t="shared" si="30"/>
        <v>14.590370111823741</v>
      </c>
      <c r="AG23">
        <f t="shared" si="31"/>
        <v>1.2356675986848276</v>
      </c>
      <c r="AH23">
        <f t="shared" si="32"/>
        <v>0.68580906222909455</v>
      </c>
      <c r="AI23">
        <f>IF(G23&lt;=0,1,0)</f>
        <v>0</v>
      </c>
      <c r="AJ23">
        <f>IF(G23&lt;0,1,0)</f>
        <v>0</v>
      </c>
      <c r="AK23">
        <f>MAX(($B$3-G23)/(G23 + 1),0) / $B$3</f>
        <v>5.513298185673892E-2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0.1225</v>
      </c>
      <c r="AP23">
        <f>Logistic(I23/$B$5)</f>
        <v>6.1796157602773426E-2</v>
      </c>
      <c r="AQ23">
        <f>IF(I23&gt;$B$5,1,0)</f>
        <v>0</v>
      </c>
      <c r="AR23">
        <f>Logistic(ABS(F23-O23)/($B$6/2))</f>
        <v>0.69106946983293061</v>
      </c>
      <c r="AS23">
        <f>IF(OR(F23&lt;M23,F23&gt;N23),1,0)</f>
        <v>1</v>
      </c>
      <c r="AT23">
        <f>ABS(K23)/$B$4</f>
        <v>8.7500000000000008E-3</v>
      </c>
      <c r="AU23">
        <f t="shared" ca="1" si="33"/>
        <v>6.3885856016059783E-2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0.44942810019551382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0.30706220754818503</v>
      </c>
      <c r="BA23">
        <f t="shared" ca="1" si="34"/>
        <v>0</v>
      </c>
      <c r="BB23">
        <f t="shared" ca="1" si="35"/>
        <v>0</v>
      </c>
      <c r="BC23">
        <f t="shared" si="36"/>
        <v>0</v>
      </c>
      <c r="BE23">
        <f t="shared" si="37"/>
        <v>0.68580906222909455</v>
      </c>
      <c r="BF23">
        <f t="shared" si="38"/>
        <v>0</v>
      </c>
      <c r="BG23">
        <f t="shared" si="39"/>
        <v>0</v>
      </c>
      <c r="BH23">
        <f t="shared" si="40"/>
        <v>0.52626178795110534</v>
      </c>
      <c r="BI23">
        <f t="shared" si="41"/>
        <v>0</v>
      </c>
      <c r="BJ23">
        <f t="shared" si="42"/>
        <v>0</v>
      </c>
      <c r="BK23">
        <f t="shared" si="43"/>
        <v>7.7452137028712997E-4</v>
      </c>
      <c r="BL23">
        <f t="shared" si="44"/>
        <v>0</v>
      </c>
      <c r="BM23">
        <f t="shared" si="45"/>
        <v>8.4109320241522879E-4</v>
      </c>
      <c r="BN23">
        <f t="shared" si="46"/>
        <v>0.35000000000000009</v>
      </c>
      <c r="BO23">
        <f t="shared" si="47"/>
        <v>8.7500000000000008E-3</v>
      </c>
      <c r="BP23">
        <f t="shared" si="7"/>
        <v>6.1173520364161939E-2</v>
      </c>
      <c r="BQ23">
        <f t="shared" si="48"/>
        <v>0.57050310923077208</v>
      </c>
    </row>
    <row r="24" spans="1:69" x14ac:dyDescent="0.25">
      <c r="A24" s="1" t="s">
        <v>35</v>
      </c>
      <c r="B24">
        <f t="shared" ca="1" si="2"/>
        <v>169.83020914562164</v>
      </c>
      <c r="C24" t="s">
        <v>157</v>
      </c>
      <c r="D24">
        <f t="shared" si="8"/>
        <v>134</v>
      </c>
      <c r="E24">
        <f t="shared" si="9"/>
        <v>159.99</v>
      </c>
      <c r="F24">
        <f t="shared" si="10"/>
        <v>7.1</v>
      </c>
      <c r="G24">
        <f t="shared" si="11"/>
        <v>9.19</v>
      </c>
      <c r="H24">
        <f t="shared" si="12"/>
        <v>0.97</v>
      </c>
      <c r="I24">
        <f t="shared" si="13"/>
        <v>0.98</v>
      </c>
      <c r="J24">
        <f t="shared" si="14"/>
        <v>-1.06</v>
      </c>
      <c r="K24">
        <f t="shared" si="15"/>
        <v>0.13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45</v>
      </c>
      <c r="Q24">
        <f t="shared" ca="1" si="16"/>
        <v>24.208902999999992</v>
      </c>
      <c r="R24">
        <f t="shared" ca="1" si="17"/>
        <v>21.101621999999999</v>
      </c>
      <c r="S24">
        <f t="shared" si="18"/>
        <v>48</v>
      </c>
      <c r="T24">
        <f t="shared" ca="1" si="19"/>
        <v>-56.385263000000009</v>
      </c>
      <c r="U24">
        <f t="shared" ca="1" si="20"/>
        <v>19.481217000000001</v>
      </c>
      <c r="V24">
        <f t="shared" si="21"/>
        <v>45</v>
      </c>
      <c r="W24">
        <f t="shared" ca="1" si="22"/>
        <v>9.6789029999999912</v>
      </c>
      <c r="X24">
        <f t="shared" ca="1" si="23"/>
        <v>21.101621999999999</v>
      </c>
      <c r="Y24">
        <f>GetFollowingCarRow($B$45:$E$54,L24,$E$15,E24)</f>
        <v>48</v>
      </c>
      <c r="Z24">
        <f t="shared" ca="1" si="24"/>
        <v>-70.91526300000001</v>
      </c>
      <c r="AA24">
        <f t="shared" ca="1" si="25"/>
        <v>19.481217000000001</v>
      </c>
      <c r="AB24">
        <f t="shared" si="26"/>
        <v>-1.0499999999999998</v>
      </c>
      <c r="AC24">
        <f t="shared" si="27"/>
        <v>14.530000000000001</v>
      </c>
      <c r="AD24">
        <f t="shared" si="28"/>
        <v>-4.4615622849277328</v>
      </c>
      <c r="AE24">
        <f t="shared" si="29"/>
        <v>64.826499999999967</v>
      </c>
      <c r="AF24">
        <f t="shared" si="30"/>
        <v>14.56788934609266</v>
      </c>
      <c r="AG24">
        <f t="shared" si="31"/>
        <v>2.0836677454679835</v>
      </c>
      <c r="AH24">
        <f t="shared" si="32"/>
        <v>0.68580906222909455</v>
      </c>
      <c r="AI24">
        <f>IF(G24&lt;=0,1,0)</f>
        <v>0</v>
      </c>
      <c r="AJ24">
        <f>IF(G24&lt;0,1,0)</f>
        <v>0</v>
      </c>
      <c r="AK24">
        <f>MAX(($B$3-G24)/(G24 + 1),0) / $B$3</f>
        <v>5.5634740126105413E-2</v>
      </c>
      <c r="AL24">
        <f>IF(H24+ABS(K24)&lt;0,Logistic(SQRT(H24^2+K24^2)/$B$4),0)</f>
        <v>0</v>
      </c>
      <c r="AM24">
        <f>IF(G24&gt;$B$3,1,0)</f>
        <v>0</v>
      </c>
      <c r="AN24">
        <f>IF(H24&gt;$B$4,1,0)</f>
        <v>0</v>
      </c>
      <c r="AO24">
        <f>ABS(H24)/$B$4</f>
        <v>0.12125</v>
      </c>
      <c r="AP24">
        <f>Logistic(I24/$B$5)</f>
        <v>6.1173520364161939E-2</v>
      </c>
      <c r="AQ24">
        <f>IF(I24&gt;$B$5,1,0)</f>
        <v>0</v>
      </c>
      <c r="AR24">
        <f>Logistic(ABS(F24-O24)/($B$6/2))</f>
        <v>0.61999686796937403</v>
      </c>
      <c r="AS24">
        <f>IF(OR(F24&lt;M24,F24&gt;N24),1,0)</f>
        <v>1</v>
      </c>
      <c r="AT24">
        <f>ABS(K24)/$B$4</f>
        <v>1.6250000000000001E-2</v>
      </c>
      <c r="AU24">
        <f t="shared" ca="1" si="33"/>
        <v>6.3430663243218971E-2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0.45210306030861069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0.31091470522874021</v>
      </c>
      <c r="BA24">
        <f t="shared" ca="1" si="34"/>
        <v>0</v>
      </c>
      <c r="BB24">
        <f t="shared" ca="1" si="35"/>
        <v>0</v>
      </c>
      <c r="BC24">
        <f t="shared" si="36"/>
        <v>0</v>
      </c>
      <c r="BE24">
        <f t="shared" si="37"/>
        <v>0.68580906222909455</v>
      </c>
      <c r="BF24">
        <f t="shared" si="38"/>
        <v>0</v>
      </c>
      <c r="BG24">
        <f t="shared" si="39"/>
        <v>0</v>
      </c>
      <c r="BH24">
        <f t="shared" si="40"/>
        <v>0.53010025878636424</v>
      </c>
      <c r="BI24">
        <f t="shared" si="41"/>
        <v>0</v>
      </c>
      <c r="BJ24">
        <f t="shared" si="42"/>
        <v>0</v>
      </c>
      <c r="BK24">
        <f t="shared" si="43"/>
        <v>7.1200709592698702E-4</v>
      </c>
      <c r="BL24">
        <f t="shared" si="44"/>
        <v>0</v>
      </c>
      <c r="BM24">
        <f t="shared" si="45"/>
        <v>7.7452137028712997E-4</v>
      </c>
      <c r="BN24">
        <f t="shared" si="46"/>
        <v>0.22500000000000009</v>
      </c>
      <c r="BO24">
        <f t="shared" si="47"/>
        <v>1.6250000000000001E-2</v>
      </c>
      <c r="BP24">
        <f t="shared" si="7"/>
        <v>6.0550835512596476E-2</v>
      </c>
      <c r="BQ24">
        <f t="shared" si="48"/>
        <v>0.57470211007345662</v>
      </c>
    </row>
    <row r="25" spans="1:69" x14ac:dyDescent="0.25">
      <c r="A25" s="1" t="s">
        <v>36</v>
      </c>
      <c r="B25">
        <f t="shared" ca="1" si="2"/>
        <v>170.38492923840721</v>
      </c>
      <c r="C25" t="s">
        <v>156</v>
      </c>
      <c r="D25">
        <f t="shared" si="8"/>
        <v>134</v>
      </c>
      <c r="E25">
        <f t="shared" si="9"/>
        <v>159.74</v>
      </c>
      <c r="F25">
        <f t="shared" si="10"/>
        <v>7.97</v>
      </c>
      <c r="G25">
        <f t="shared" si="11"/>
        <v>8.94</v>
      </c>
      <c r="H25">
        <f t="shared" si="12"/>
        <v>0.91</v>
      </c>
      <c r="I25">
        <f t="shared" si="13"/>
        <v>0.92</v>
      </c>
      <c r="J25">
        <f t="shared" si="14"/>
        <v>-1.72</v>
      </c>
      <c r="K25">
        <f t="shared" si="15"/>
        <v>0.28000000000000003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45</v>
      </c>
      <c r="Q25">
        <f t="shared" ca="1" si="16"/>
        <v>24.208902999999992</v>
      </c>
      <c r="R25">
        <f t="shared" ca="1" si="17"/>
        <v>21.101621999999999</v>
      </c>
      <c r="S25">
        <f t="shared" si="18"/>
        <v>48</v>
      </c>
      <c r="T25">
        <f t="shared" ca="1" si="19"/>
        <v>-56.385263000000009</v>
      </c>
      <c r="U25">
        <f t="shared" ca="1" si="20"/>
        <v>19.481217000000001</v>
      </c>
      <c r="V25">
        <f t="shared" si="21"/>
        <v>45</v>
      </c>
      <c r="W25">
        <f t="shared" ca="1" si="22"/>
        <v>9.9289029999999912</v>
      </c>
      <c r="X25">
        <f t="shared" ca="1" si="23"/>
        <v>21.101621999999999</v>
      </c>
      <c r="Y25">
        <f>GetFollowingCarRow($B$45:$E$54,L25,$E$15,E25)</f>
        <v>48</v>
      </c>
      <c r="Z25">
        <f t="shared" ca="1" si="24"/>
        <v>-70.66526300000001</v>
      </c>
      <c r="AA25">
        <f t="shared" ca="1" si="25"/>
        <v>19.481217000000001</v>
      </c>
      <c r="AB25">
        <f t="shared" si="26"/>
        <v>-1.92</v>
      </c>
      <c r="AC25">
        <f t="shared" si="27"/>
        <v>14.280000000000001</v>
      </c>
      <c r="AD25">
        <f t="shared" si="28"/>
        <v>-13.50764705882353</v>
      </c>
      <c r="AE25">
        <f t="shared" si="29"/>
        <v>192.88920000000002</v>
      </c>
      <c r="AF25">
        <f t="shared" si="30"/>
        <v>14.408497492799171</v>
      </c>
      <c r="AG25">
        <f t="shared" si="31"/>
        <v>1.9678358062088031</v>
      </c>
      <c r="AH25">
        <f t="shared" si="32"/>
        <v>0.68580906222909455</v>
      </c>
      <c r="AI25">
        <f>IF(G25&lt;=0,1,0)</f>
        <v>0</v>
      </c>
      <c r="AJ25">
        <f>IF(G25&lt;0,1,0)</f>
        <v>0</v>
      </c>
      <c r="AK25">
        <f>MAX(($B$3-G25)/(G25 + 1),0) / $B$3</f>
        <v>5.8219249521635E-2</v>
      </c>
      <c r="AL25">
        <f>IF(H25+ABS(K25)&lt;0,Logistic(SQRT(H25^2+K25^2)/$B$4),0)</f>
        <v>0</v>
      </c>
      <c r="AM25">
        <f>IF(G25&gt;$B$3,1,0)</f>
        <v>0</v>
      </c>
      <c r="AN25">
        <f>IF(H25&gt;$B$4,1,0)</f>
        <v>0</v>
      </c>
      <c r="AO25">
        <f>ABS(H25)/$B$4</f>
        <v>0.11375</v>
      </c>
      <c r="AP25">
        <f>Logistic(I25/$B$5)</f>
        <v>5.7436713902879279E-2</v>
      </c>
      <c r="AQ25">
        <f>IF(I25&gt;$B$5,1,0)</f>
        <v>0</v>
      </c>
      <c r="AR25">
        <f>Logistic(ABS(F25-O25)/($B$6/2))</f>
        <v>0.46799503304313944</v>
      </c>
      <c r="AS25">
        <f>IF(OR(F25&lt;M25,F25&gt;N25),1,0)</f>
        <v>1</v>
      </c>
      <c r="AT25">
        <f>ABS(K25)/$B$4</f>
        <v>3.5000000000000003E-2</v>
      </c>
      <c r="AU25">
        <f t="shared" ca="1" si="33"/>
        <v>6.1217174922923875E-2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0.46509721790187986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0.32962898875907787</v>
      </c>
      <c r="BA25">
        <f t="shared" ca="1" si="34"/>
        <v>0</v>
      </c>
      <c r="BB25">
        <f t="shared" ca="1" si="35"/>
        <v>0</v>
      </c>
      <c r="BC25">
        <f t="shared" si="36"/>
        <v>0</v>
      </c>
      <c r="BE25">
        <f t="shared" si="37"/>
        <v>0.68580906222909455</v>
      </c>
      <c r="BF25">
        <f t="shared" si="38"/>
        <v>0</v>
      </c>
      <c r="BG25">
        <f t="shared" si="39"/>
        <v>0</v>
      </c>
      <c r="BH25">
        <f t="shared" si="40"/>
        <v>0.54952895956349856</v>
      </c>
      <c r="BI25">
        <f t="shared" si="41"/>
        <v>0</v>
      </c>
      <c r="BJ25">
        <f t="shared" si="42"/>
        <v>0</v>
      </c>
      <c r="BK25">
        <f t="shared" si="43"/>
        <v>4.1335292448507304E-4</v>
      </c>
      <c r="BL25">
        <f t="shared" si="44"/>
        <v>0</v>
      </c>
      <c r="BM25">
        <f t="shared" si="45"/>
        <v>4.5480028296520985E-4</v>
      </c>
      <c r="BN25">
        <f t="shared" si="46"/>
        <v>7.5000000000000622E-3</v>
      </c>
      <c r="BO25">
        <f t="shared" si="47"/>
        <v>3.5000000000000003E-2</v>
      </c>
      <c r="BP25">
        <f t="shared" si="7"/>
        <v>5.6813753481059173E-2</v>
      </c>
      <c r="BQ25">
        <f t="shared" si="48"/>
        <v>0.59592290724658226</v>
      </c>
    </row>
    <row r="26" spans="1:69" x14ac:dyDescent="0.25">
      <c r="A26" s="1" t="s">
        <v>79</v>
      </c>
      <c r="B26">
        <f t="shared" ca="1" si="2"/>
        <v>184.60230554823113</v>
      </c>
      <c r="C26" t="s">
        <v>155</v>
      </c>
      <c r="D26">
        <f t="shared" ref="D26:D28" si="49">VALUE(MID(C26,FIND("#[",C26)+2,FIND("]",C26,FIND("#[",C26))-(FIND("#[",C26)+2)))</f>
        <v>134</v>
      </c>
      <c r="E26">
        <f t="shared" ref="E26:E28" si="50">VALUE(MID(C26,FIND("s[",C26)+2,FIND("]",C26,FIND("s[",C26))-(FIND("s[",C26)+2)))</f>
        <v>156.08000000000001</v>
      </c>
      <c r="F26">
        <f t="shared" ref="F26:F28" si="51">VALUE(MID(C26,FIND("d[",C26)+2,FIND("]",C26,FIND("d[",C26))-(FIND("d[",C26)+2)))</f>
        <v>6.36</v>
      </c>
      <c r="G26">
        <f t="shared" ref="G26:G28" si="52">VALUE(MID(C26,FIND("s_dot[",C26)+6,FIND("]",C26,FIND("s_dot[",C26))-(FIND("s_dot[",C26)+6)))</f>
        <v>5.3</v>
      </c>
      <c r="H26">
        <f t="shared" ref="H26:H28" si="53">VALUE(MID(C26,FIND("s_dot2[",C26)+7,FIND("]",C26,FIND("s_dot2[",C26))-(FIND("s_dot2[",C26)+7)))</f>
        <v>0</v>
      </c>
      <c r="I26">
        <f t="shared" ref="I26:I28" si="54">VALUE(MID(C26,FIND("s_dot3[",C26)+7,FIND("]",C26,FIND("s_dot3[",C26))-(FIND("s_dot3[",C26)+7)))</f>
        <v>0</v>
      </c>
      <c r="J26">
        <f t="shared" ref="J26:J28" si="55">VALUE(MID(C26,FIND("d_dot[",C26)+6,FIND("]",C26,FIND("d_dot[",C26))-(FIND("d_dot[",C26)+6)))</f>
        <v>-0.3</v>
      </c>
      <c r="K26">
        <f t="shared" ref="K26:K28" si="56">VALUE(MID(C26,FIND("d_dot2[",C26)+7,FIND("]",C26,FIND("d_dot2[",C26))-(FIND("d_dot2[",C26)+7)))</f>
        <v>7.0000000000000007E-2</v>
      </c>
      <c r="L26">
        <f t="shared" ref="L26:L28" si="57">VALUE(MID(C26,FIND("-",C26)+1,FIND(")",C26,FIND("-",C26))-(FIND("-",C26)+1)))</f>
        <v>3</v>
      </c>
      <c r="M26">
        <f t="shared" si="0"/>
        <v>8</v>
      </c>
      <c r="N26">
        <f t="shared" ref="N26:N28" si="58">$B$6*L26</f>
        <v>12</v>
      </c>
      <c r="O26">
        <f t="shared" ref="O26:O28" si="59">(N26+M26)/2</f>
        <v>10</v>
      </c>
      <c r="P26">
        <f t="shared" si="5"/>
        <v>45</v>
      </c>
      <c r="Q26">
        <f t="shared" ca="1" si="16"/>
        <v>24.208902999999992</v>
      </c>
      <c r="R26">
        <f t="shared" ca="1" si="17"/>
        <v>21.101621999999999</v>
      </c>
      <c r="S26">
        <f t="shared" si="18"/>
        <v>48</v>
      </c>
      <c r="T26">
        <f t="shared" ca="1" si="19"/>
        <v>-56.385263000000009</v>
      </c>
      <c r="U26">
        <f t="shared" ca="1" si="20"/>
        <v>19.481217000000001</v>
      </c>
      <c r="V26">
        <f t="shared" si="21"/>
        <v>45</v>
      </c>
      <c r="W26">
        <f t="shared" ca="1" si="22"/>
        <v>13.588902999999988</v>
      </c>
      <c r="X26">
        <f t="shared" ca="1" si="23"/>
        <v>21.101621999999999</v>
      </c>
      <c r="Y26">
        <f>GetFollowingCarRow($B$45:$E$54,L26,$E$15,E26)</f>
        <v>48</v>
      </c>
      <c r="Z26">
        <f t="shared" ca="1" si="24"/>
        <v>-67.005263000000014</v>
      </c>
      <c r="AA26">
        <f t="shared" ca="1" si="25"/>
        <v>19.481217000000001</v>
      </c>
      <c r="AB26">
        <f t="shared" ref="AB26:AB28" si="60">$F$15-F26</f>
        <v>-0.3100000000000005</v>
      </c>
      <c r="AC26">
        <f t="shared" ref="AC26:AC28" si="61">E26-$E$15</f>
        <v>10.620000000000005</v>
      </c>
      <c r="AD26">
        <f t="shared" ref="AD26:AD28" si="62">$F$15-(-AB26/AC26)*$E$15</f>
        <v>1.803992467043309</v>
      </c>
      <c r="AE26">
        <f t="shared" ref="AE26:AE28" si="63">AD26*-AC26</f>
        <v>-19.158399999999951</v>
      </c>
      <c r="AF26">
        <f t="shared" ref="AF26:AF28" si="64">SQRT(AB26^2+AC26^2)</f>
        <v>10.624523518727797</v>
      </c>
      <c r="AG26">
        <f t="shared" ref="AG26:AG28" si="65">GetSmallestNormalDistance($B$45:$E$56,AB26,AC26,AF26,$L$15,L26)</f>
        <v>0.99678481122775153</v>
      </c>
      <c r="AH26">
        <f t="shared" si="32"/>
        <v>0.68580906222909455</v>
      </c>
      <c r="AI26">
        <f>IF(G26&lt;=0,1,0)</f>
        <v>0</v>
      </c>
      <c r="AJ26">
        <f>IF(G26&lt;0,1,0)</f>
        <v>0</v>
      </c>
      <c r="AK26">
        <f>MAX(($B$3-G26)/(G26 + 1),0) / $B$3</f>
        <v>0.11908502012177789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0</v>
      </c>
      <c r="AQ26">
        <f>IF(I26&gt;$B$5,1,0)</f>
        <v>0</v>
      </c>
      <c r="AR26">
        <f>Logistic(ABS(F26-O26)/($B$6/2))</f>
        <v>0.72113225407669979</v>
      </c>
      <c r="AS26">
        <f>IF(OR(F26&lt;M26,F26&gt;N26),1,0)</f>
        <v>1</v>
      </c>
      <c r="AT26">
        <f>ABS(K26)/$B$4</f>
        <v>8.7500000000000008E-3</v>
      </c>
      <c r="AU26">
        <f t="shared" ca="1" si="33"/>
        <v>3.7496758095291162E-2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0.60239475215702565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0.52750696220218607</v>
      </c>
      <c r="BA26">
        <f t="shared" ca="1" si="34"/>
        <v>0</v>
      </c>
      <c r="BB26">
        <f t="shared" ca="1" si="35"/>
        <v>0</v>
      </c>
      <c r="BC26">
        <f t="shared" si="36"/>
        <v>0</v>
      </c>
      <c r="BE26">
        <f t="shared" ref="BE26:BE28" si="66">Logistic((D26-$B$2)/$B$2)</f>
        <v>0.68580906222909455</v>
      </c>
      <c r="BF26">
        <f t="shared" ref="BF26:BF28" si="67">IF(G26&lt;=0,1,0)</f>
        <v>0</v>
      </c>
      <c r="BG26">
        <f t="shared" ref="BG26:BG28" si="68">IF(G26&lt;0,1,0)</f>
        <v>0</v>
      </c>
      <c r="BH26">
        <f t="shared" ref="BH26:BH28" si="69">Logistic(($B$3-G26)/(G26+1))</f>
        <v>0.85202397963098109</v>
      </c>
      <c r="BI26">
        <f t="shared" ref="BI26:BI28" si="70">IF(G26&gt;$B$3,1,0)</f>
        <v>0</v>
      </c>
      <c r="BJ26">
        <f t="shared" ref="BJ26:BJ28" si="71">IF(H26&gt;$B$5,1,0)</f>
        <v>0</v>
      </c>
      <c r="BK26">
        <f t="shared" ref="BK26:BK28" si="72">EXP(-($B$4-ABS(H26))/MAX(ABS(H26),0.000000001))</f>
        <v>0</v>
      </c>
      <c r="BL26">
        <f t="shared" ref="BL26:BL28" si="73">IF(G26&lt;ABS(H26),1,0)</f>
        <v>0</v>
      </c>
      <c r="BM26">
        <f t="shared" ref="BM26:BM28" si="74">EXP(-($B$5-I26)/MAX(I26,0.000000001))</f>
        <v>0</v>
      </c>
      <c r="BN26">
        <f t="shared" ref="BN26:BN28" si="75">IF(F26&gt;N26,(F26-N26)/$B$6,0)+IF(F26&lt;M26,(M26-F26)/$B$6,0)</f>
        <v>0.40999999999999992</v>
      </c>
      <c r="BO26">
        <f t="shared" ref="BO26:BO28" si="76">ABS(K26/$B$4)</f>
        <v>8.7500000000000008E-3</v>
      </c>
      <c r="BP26">
        <f t="shared" ref="BP26:BP28" si="77">Logistic(ABS(H26)/$B$4)</f>
        <v>0</v>
      </c>
      <c r="BQ26">
        <f t="shared" ref="BQ26:BQ28" si="78">Logistic(($B$3-G26)/G26)</f>
        <v>0.90548862786321083</v>
      </c>
    </row>
    <row r="27" spans="1:69" x14ac:dyDescent="0.25">
      <c r="A27" s="1" t="s">
        <v>80</v>
      </c>
      <c r="B27">
        <f t="shared" ca="1" si="2"/>
        <v>184.85963360097298</v>
      </c>
      <c r="C27" t="s">
        <v>154</v>
      </c>
      <c r="D27">
        <f t="shared" si="49"/>
        <v>134</v>
      </c>
      <c r="E27">
        <f t="shared" si="50"/>
        <v>156.04</v>
      </c>
      <c r="F27">
        <f t="shared" si="51"/>
        <v>6.66</v>
      </c>
      <c r="G27">
        <f t="shared" si="52"/>
        <v>5.26</v>
      </c>
      <c r="H27">
        <f t="shared" si="53"/>
        <v>-0.02</v>
      </c>
      <c r="I27">
        <f t="shared" si="54"/>
        <v>0.01</v>
      </c>
      <c r="J27">
        <f t="shared" si="55"/>
        <v>-0.55000000000000004</v>
      </c>
      <c r="K27">
        <f t="shared" si="56"/>
        <v>0.13</v>
      </c>
      <c r="L27">
        <f t="shared" si="57"/>
        <v>3</v>
      </c>
      <c r="M27">
        <f t="shared" si="0"/>
        <v>8</v>
      </c>
      <c r="N27">
        <f t="shared" si="58"/>
        <v>12</v>
      </c>
      <c r="O27">
        <f t="shared" si="59"/>
        <v>10</v>
      </c>
      <c r="P27">
        <f t="shared" si="5"/>
        <v>45</v>
      </c>
      <c r="Q27">
        <f t="shared" ca="1" si="16"/>
        <v>24.208902999999992</v>
      </c>
      <c r="R27">
        <f t="shared" ca="1" si="17"/>
        <v>21.101621999999999</v>
      </c>
      <c r="S27">
        <f t="shared" si="18"/>
        <v>48</v>
      </c>
      <c r="T27">
        <f t="shared" ca="1" si="19"/>
        <v>-56.385263000000009</v>
      </c>
      <c r="U27">
        <f t="shared" ca="1" si="20"/>
        <v>19.481217000000001</v>
      </c>
      <c r="V27">
        <f t="shared" si="21"/>
        <v>45</v>
      </c>
      <c r="W27">
        <f t="shared" ca="1" si="22"/>
        <v>13.628903000000008</v>
      </c>
      <c r="X27">
        <f t="shared" ca="1" si="23"/>
        <v>21.101621999999999</v>
      </c>
      <c r="Y27">
        <f>GetFollowingCarRow($B$45:$E$54,L27,$E$15,E27)</f>
        <v>48</v>
      </c>
      <c r="Z27">
        <f t="shared" ca="1" si="24"/>
        <v>-66.965262999999993</v>
      </c>
      <c r="AA27">
        <f t="shared" ca="1" si="25"/>
        <v>19.481217000000001</v>
      </c>
      <c r="AB27">
        <f t="shared" si="60"/>
        <v>-0.61000000000000032</v>
      </c>
      <c r="AC27">
        <f t="shared" si="61"/>
        <v>10.579999999999984</v>
      </c>
      <c r="AD27">
        <f t="shared" si="62"/>
        <v>-2.3366351606805482</v>
      </c>
      <c r="AE27">
        <f t="shared" si="63"/>
        <v>24.721600000000162</v>
      </c>
      <c r="AF27">
        <f t="shared" si="64"/>
        <v>10.597570476293123</v>
      </c>
      <c r="AG27">
        <f t="shared" si="65"/>
        <v>0.38883168356537728</v>
      </c>
      <c r="AH27">
        <f t="shared" si="32"/>
        <v>0.68580906222909455</v>
      </c>
      <c r="AI27">
        <f>IF(G27&lt;=0,1,0)</f>
        <v>0</v>
      </c>
      <c r="AJ27">
        <f>IF(G27&lt;0,1,0)</f>
        <v>0</v>
      </c>
      <c r="AK27">
        <f>MAX(($B$3-G27)/(G27 + 1),0) / $B$3</f>
        <v>0.12014706723718958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2.5000000000000001E-3</v>
      </c>
      <c r="AP27">
        <f>Logistic(I27/$B$5)</f>
        <v>6.2499991861977931E-4</v>
      </c>
      <c r="AQ27">
        <f>IF(I27&gt;$B$5,1,0)</f>
        <v>0</v>
      </c>
      <c r="AR27">
        <f>Logistic(ABS(F27-O27)/($B$6/2))</f>
        <v>0.68315164231008829</v>
      </c>
      <c r="AS27">
        <f>IF(OR(F27&lt;M27,F27&gt;N27),1,0)</f>
        <v>1</v>
      </c>
      <c r="AT27">
        <f>ABS(K27)/$B$4</f>
        <v>1.6250000000000001E-2</v>
      </c>
      <c r="AU27">
        <f t="shared" ca="1" si="33"/>
        <v>3.7303086453805374E-2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0.60351309596077463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0.52911721268299339</v>
      </c>
      <c r="BA27">
        <f t="shared" ca="1" si="34"/>
        <v>0</v>
      </c>
      <c r="BB27">
        <f t="shared" ca="1" si="35"/>
        <v>0</v>
      </c>
      <c r="BC27">
        <f t="shared" si="36"/>
        <v>0</v>
      </c>
      <c r="BE27">
        <f t="shared" si="66"/>
        <v>0.68580906222909455</v>
      </c>
      <c r="BF27">
        <f t="shared" si="67"/>
        <v>0</v>
      </c>
      <c r="BG27">
        <f t="shared" si="68"/>
        <v>0</v>
      </c>
      <c r="BH27">
        <f t="shared" si="69"/>
        <v>0.85508262545238456</v>
      </c>
      <c r="BI27">
        <f t="shared" si="70"/>
        <v>0</v>
      </c>
      <c r="BJ27">
        <f t="shared" si="71"/>
        <v>0</v>
      </c>
      <c r="BK27">
        <f t="shared" si="72"/>
        <v>5.2059707131649192E-174</v>
      </c>
      <c r="BL27">
        <f t="shared" si="73"/>
        <v>0</v>
      </c>
      <c r="BM27">
        <f t="shared" si="74"/>
        <v>0</v>
      </c>
      <c r="BN27">
        <f t="shared" si="75"/>
        <v>0.33499999999999996</v>
      </c>
      <c r="BO27">
        <f t="shared" si="76"/>
        <v>1.6250000000000001E-2</v>
      </c>
      <c r="BP27">
        <f t="shared" si="77"/>
        <v>1.2499993489587598E-3</v>
      </c>
      <c r="BQ27">
        <f t="shared" si="78"/>
        <v>0.90819274421394336</v>
      </c>
    </row>
    <row r="28" spans="1:69" x14ac:dyDescent="0.25">
      <c r="A28" s="1" t="s">
        <v>81</v>
      </c>
      <c r="B28">
        <f t="shared" ca="1" si="2"/>
        <v>186.61958785954812</v>
      </c>
      <c r="C28" t="s">
        <v>153</v>
      </c>
      <c r="D28">
        <f t="shared" si="49"/>
        <v>134</v>
      </c>
      <c r="E28">
        <f t="shared" si="50"/>
        <v>155.78</v>
      </c>
      <c r="F28">
        <f t="shared" si="51"/>
        <v>7.2</v>
      </c>
      <c r="G28">
        <f t="shared" si="52"/>
        <v>5</v>
      </c>
      <c r="H28">
        <f t="shared" si="53"/>
        <v>-0.08</v>
      </c>
      <c r="I28">
        <f t="shared" si="54"/>
        <v>7.0000000000000007E-2</v>
      </c>
      <c r="J28">
        <f t="shared" si="55"/>
        <v>-0.94</v>
      </c>
      <c r="K28">
        <f t="shared" si="56"/>
        <v>0.28000000000000003</v>
      </c>
      <c r="L28">
        <f t="shared" si="57"/>
        <v>3</v>
      </c>
      <c r="M28">
        <f t="shared" si="0"/>
        <v>8</v>
      </c>
      <c r="N28">
        <f t="shared" si="58"/>
        <v>12</v>
      </c>
      <c r="O28">
        <f t="shared" si="59"/>
        <v>10</v>
      </c>
      <c r="P28">
        <f t="shared" si="5"/>
        <v>45</v>
      </c>
      <c r="Q28">
        <f t="shared" ca="1" si="16"/>
        <v>24.208902999999992</v>
      </c>
      <c r="R28">
        <f t="shared" ca="1" si="17"/>
        <v>21.101621999999999</v>
      </c>
      <c r="S28">
        <f t="shared" si="18"/>
        <v>48</v>
      </c>
      <c r="T28">
        <f t="shared" ca="1" si="19"/>
        <v>-56.385263000000009</v>
      </c>
      <c r="U28">
        <f t="shared" ca="1" si="20"/>
        <v>19.481217000000001</v>
      </c>
      <c r="V28">
        <f t="shared" si="21"/>
        <v>45</v>
      </c>
      <c r="W28">
        <f t="shared" ca="1" si="22"/>
        <v>13.888902999999999</v>
      </c>
      <c r="X28">
        <f t="shared" ca="1" si="23"/>
        <v>21.101621999999999</v>
      </c>
      <c r="Y28">
        <f>GetFollowingCarRow($B$45:$E$54,L28,$E$15,E28)</f>
        <v>48</v>
      </c>
      <c r="Z28">
        <f t="shared" ca="1" si="24"/>
        <v>-66.705263000000002</v>
      </c>
      <c r="AA28">
        <f t="shared" ca="1" si="25"/>
        <v>19.481217000000001</v>
      </c>
      <c r="AB28">
        <f t="shared" si="60"/>
        <v>-1.1500000000000004</v>
      </c>
      <c r="AC28">
        <f t="shared" si="61"/>
        <v>10.319999999999993</v>
      </c>
      <c r="AD28">
        <f t="shared" si="62"/>
        <v>-10.159205426356607</v>
      </c>
      <c r="AE28">
        <f t="shared" si="63"/>
        <v>104.84300000000012</v>
      </c>
      <c r="AF28">
        <f t="shared" si="64"/>
        <v>10.383876925310693</v>
      </c>
      <c r="AG28">
        <f t="shared" si="65"/>
        <v>6.4528681803483381E-2</v>
      </c>
      <c r="AH28">
        <f t="shared" si="32"/>
        <v>0.68580906222909455</v>
      </c>
      <c r="AI28">
        <f>IF(G28&lt;=0,1,0)</f>
        <v>0</v>
      </c>
      <c r="AJ28">
        <f>IF(G28&lt;0,1,0)</f>
        <v>0</v>
      </c>
      <c r="AK28">
        <f>MAX(($B$3-G28)/(G28 + 1),0) / $B$3</f>
        <v>0.12739553879987434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0.01</v>
      </c>
      <c r="AP28">
        <f>Logistic(I28/$B$5)</f>
        <v>4.3749720868022273E-3</v>
      </c>
      <c r="AQ28">
        <f>IF(I28&gt;$B$5,1,0)</f>
        <v>0</v>
      </c>
      <c r="AR28">
        <f>Logistic(ABS(F28-O28)/($B$6/2))</f>
        <v>0.6043677771171635</v>
      </c>
      <c r="AS28">
        <f>IF(OR(F28&lt;M28,F28&gt;N28),1,0)</f>
        <v>1</v>
      </c>
      <c r="AT28">
        <f>ABS(K28)/$B$4</f>
        <v>3.5000000000000003E-2</v>
      </c>
      <c r="AU28">
        <f t="shared" ca="1" si="33"/>
        <v>3.6069585963899871E-2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0.61063173765022649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0.5393670090020749</v>
      </c>
      <c r="BA28">
        <f t="shared" ca="1" si="34"/>
        <v>0</v>
      </c>
      <c r="BB28">
        <f t="shared" ca="1" si="35"/>
        <v>0</v>
      </c>
      <c r="BC28">
        <f t="shared" si="36"/>
        <v>0</v>
      </c>
      <c r="BE28">
        <f t="shared" si="66"/>
        <v>0.68580906222909455</v>
      </c>
      <c r="BF28">
        <f t="shared" si="67"/>
        <v>0</v>
      </c>
      <c r="BG28">
        <f t="shared" si="68"/>
        <v>0</v>
      </c>
      <c r="BH28">
        <f t="shared" si="69"/>
        <v>0.87444610004092571</v>
      </c>
      <c r="BI28">
        <f t="shared" si="70"/>
        <v>0</v>
      </c>
      <c r="BJ28">
        <f t="shared" si="71"/>
        <v>0</v>
      </c>
      <c r="BK28">
        <f t="shared" si="72"/>
        <v>1.0112214926104486E-43</v>
      </c>
      <c r="BL28">
        <f t="shared" si="73"/>
        <v>0</v>
      </c>
      <c r="BM28">
        <f t="shared" si="74"/>
        <v>6.318869805908125E-50</v>
      </c>
      <c r="BN28">
        <f t="shared" si="75"/>
        <v>0.19999999999999996</v>
      </c>
      <c r="BO28">
        <f t="shared" si="76"/>
        <v>3.5000000000000003E-2</v>
      </c>
      <c r="BP28">
        <f t="shared" si="77"/>
        <v>4.9999583337499692E-3</v>
      </c>
      <c r="BQ28">
        <f t="shared" si="78"/>
        <v>0.92491382315392923</v>
      </c>
    </row>
    <row r="29" spans="1:69" x14ac:dyDescent="0.25">
      <c r="A29" s="1" t="s">
        <v>22</v>
      </c>
      <c r="B29">
        <f t="shared" ca="1" si="2"/>
        <v>184.60230554823113</v>
      </c>
      <c r="C29" t="s">
        <v>152</v>
      </c>
      <c r="D29">
        <f t="shared" ref="D29:D34" si="79">VALUE(MID(C29,FIND("#[",C29)+2,FIND("]",C29,FIND("#[",C29))-(FIND("#[",C29)+2)))</f>
        <v>134</v>
      </c>
      <c r="E29">
        <f t="shared" ref="E29:E34" si="80">VALUE(MID(C29,FIND("s[",C29)+2,FIND("]",C29,FIND("s[",C29))-(FIND("s[",C29)+2)))</f>
        <v>156.08000000000001</v>
      </c>
      <c r="F29">
        <f t="shared" ref="F29:F34" si="81">VALUE(MID(C29,FIND("d[",C29)+2,FIND("]",C29,FIND("d[",C29))-(FIND("d[",C29)+2)))</f>
        <v>6.36</v>
      </c>
      <c r="G29">
        <f t="shared" ref="G29:G34" si="82">VALUE(MID(C29,FIND("s_dot[",C29)+6,FIND("]",C29,FIND("s_dot[",C29))-(FIND("s_dot[",C29)+6)))</f>
        <v>5.3</v>
      </c>
      <c r="H29">
        <f t="shared" ref="H29:H34" si="83">VALUE(MID(C29,FIND("s_dot2[",C29)+7,FIND("]",C29,FIND("s_dot2[",C29))-(FIND("s_dot2[",C29)+7)))</f>
        <v>0</v>
      </c>
      <c r="I29">
        <f t="shared" ref="I29:I34" si="84">VALUE(MID(C29,FIND("s_dot3[",C29)+7,FIND("]",C29,FIND("s_dot3[",C29))-(FIND("s_dot3[",C29)+7)))</f>
        <v>0</v>
      </c>
      <c r="J29">
        <f t="shared" ref="J29:J34" si="85">VALUE(MID(C29,FIND("d_dot[",C29)+6,FIND("]",C29,FIND("d_dot[",C29))-(FIND("d_dot[",C29)+6)))</f>
        <v>-0.3</v>
      </c>
      <c r="K29">
        <f t="shared" ref="K29:K34" si="86">VALUE(MID(C29,FIND("d_dot2[",C29)+7,FIND("]",C29,FIND("d_dot2[",C29))-(FIND("d_dot2[",C29)+7)))</f>
        <v>7.0000000000000007E-2</v>
      </c>
      <c r="L29">
        <f t="shared" ref="L29:L34" si="87">VALUE(MID(C29,FIND("-",C29)+1,FIND(")",C29,FIND("-",C29))-(FIND("-",C29)+1)))</f>
        <v>3</v>
      </c>
      <c r="M29">
        <f t="shared" ref="M29:M34" si="88">$B$6*(L29-1)</f>
        <v>8</v>
      </c>
      <c r="N29">
        <f t="shared" ref="N29:N34" si="89">$B$6*L29</f>
        <v>12</v>
      </c>
      <c r="O29">
        <f t="shared" ref="O29:O34" si="90">(N29+M29)/2</f>
        <v>10</v>
      </c>
      <c r="P29">
        <f t="shared" si="5"/>
        <v>45</v>
      </c>
      <c r="Q29">
        <f t="shared" ca="1" si="16"/>
        <v>24.208902999999992</v>
      </c>
      <c r="R29">
        <f t="shared" ca="1" si="17"/>
        <v>21.101621999999999</v>
      </c>
      <c r="S29">
        <f t="shared" si="18"/>
        <v>48</v>
      </c>
      <c r="T29">
        <f t="shared" ca="1" si="19"/>
        <v>-56.385263000000009</v>
      </c>
      <c r="U29">
        <f t="shared" ca="1" si="20"/>
        <v>19.481217000000001</v>
      </c>
      <c r="V29">
        <f t="shared" si="21"/>
        <v>45</v>
      </c>
      <c r="W29">
        <f t="shared" ca="1" si="22"/>
        <v>13.588902999999988</v>
      </c>
      <c r="X29">
        <f t="shared" ca="1" si="23"/>
        <v>21.101621999999999</v>
      </c>
      <c r="Y29">
        <f>GetFollowingCarRow($B$45:$E$54,L29,$E$15,E29)</f>
        <v>48</v>
      </c>
      <c r="Z29">
        <f t="shared" ca="1" si="24"/>
        <v>-67.005263000000014</v>
      </c>
      <c r="AA29">
        <f t="shared" ca="1" si="25"/>
        <v>19.481217000000001</v>
      </c>
      <c r="AB29">
        <f t="shared" ref="AB29:AB34" si="91">$F$15-F29</f>
        <v>-0.3100000000000005</v>
      </c>
      <c r="AC29">
        <f t="shared" ref="AC29:AC34" si="92">E29-$E$15</f>
        <v>10.620000000000005</v>
      </c>
      <c r="AD29">
        <f t="shared" ref="AD29:AD34" si="93">$F$15-(-AB29/AC29)*$E$15</f>
        <v>1.803992467043309</v>
      </c>
      <c r="AE29">
        <f t="shared" ref="AE29:AE34" si="94">AD29*-AC29</f>
        <v>-19.158399999999951</v>
      </c>
      <c r="AF29">
        <f t="shared" ref="AF29:AF34" si="95">SQRT(AB29^2+AC29^2)</f>
        <v>10.624523518727797</v>
      </c>
      <c r="AG29">
        <f t="shared" ref="AG29:AG34" si="96">GetSmallestNormalDistance($B$45:$E$56,AB29,AC29,AF29,$L$15,L29)</f>
        <v>0.99678481122775153</v>
      </c>
      <c r="AH29">
        <f t="shared" si="32"/>
        <v>0.68580906222909455</v>
      </c>
      <c r="AI29">
        <f>IF(G29&lt;=0,1,0)</f>
        <v>0</v>
      </c>
      <c r="AJ29">
        <f>IF(G29&lt;0,1,0)</f>
        <v>0</v>
      </c>
      <c r="AK29">
        <f>MAX(($B$3-G29)/(G29 + 1),0) / $B$3</f>
        <v>0.11908502012177789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0</v>
      </c>
      <c r="AP29">
        <f>Logistic(I29/$B$5)</f>
        <v>0</v>
      </c>
      <c r="AQ29">
        <f>IF(I29&gt;$B$5,1,0)</f>
        <v>0</v>
      </c>
      <c r="AR29">
        <f>Logistic(ABS(F29-O29)/($B$6/2))</f>
        <v>0.72113225407669979</v>
      </c>
      <c r="AS29">
        <f>IF(OR(F29&lt;M29,F29&gt;N29),1,0)</f>
        <v>1</v>
      </c>
      <c r="AT29">
        <f>ABS(K29)/$B$4</f>
        <v>8.7500000000000008E-3</v>
      </c>
      <c r="AU29">
        <f t="shared" ca="1" si="33"/>
        <v>3.7496758095291162E-2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0.60239475215702565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0.52750696220218607</v>
      </c>
      <c r="BA29">
        <f t="shared" ca="1" si="34"/>
        <v>0</v>
      </c>
      <c r="BB29">
        <f t="shared" ca="1" si="35"/>
        <v>0</v>
      </c>
      <c r="BC29">
        <f t="shared" si="36"/>
        <v>0</v>
      </c>
      <c r="BE29">
        <f t="shared" ref="BE29:BE34" si="97">Logistic((D29-$B$2)/$B$2)</f>
        <v>0.68580906222909455</v>
      </c>
      <c r="BF29">
        <f t="shared" ref="BF29:BF34" si="98">IF(G29&lt;=0,1,0)</f>
        <v>0</v>
      </c>
      <c r="BG29">
        <f t="shared" ref="BG29:BG34" si="99">IF(G29&lt;0,1,0)</f>
        <v>0</v>
      </c>
      <c r="BH29">
        <f t="shared" ref="BH29:BH34" si="100">Logistic(($B$3-G29)/(G29+1))</f>
        <v>0.85202397963098109</v>
      </c>
      <c r="BI29">
        <f t="shared" ref="BI29:BI34" si="101">IF(G29&gt;$B$3,1,0)</f>
        <v>0</v>
      </c>
      <c r="BJ29">
        <f t="shared" ref="BJ29:BJ34" si="102">IF(H29&gt;$B$5,1,0)</f>
        <v>0</v>
      </c>
      <c r="BK29">
        <f t="shared" ref="BK29:BK34" si="103">EXP(-($B$4-ABS(H29))/MAX(ABS(H29),0.000000001))</f>
        <v>0</v>
      </c>
      <c r="BL29">
        <f t="shared" ref="BL29:BL34" si="104">IF(G29&lt;ABS(H29),1,0)</f>
        <v>0</v>
      </c>
      <c r="BM29">
        <f t="shared" ref="BM29:BM34" si="105">EXP(-($B$5-I29)/MAX(I29,0.000000001))</f>
        <v>0</v>
      </c>
      <c r="BN29">
        <f t="shared" ref="BN29:BN34" si="106">IF(F29&gt;N29,(F29-N29)/$B$6,0)+IF(F29&lt;M29,(M29-F29)/$B$6,0)</f>
        <v>0.40999999999999992</v>
      </c>
      <c r="BO29">
        <f t="shared" ref="BO29:BO34" si="107">ABS(K29/$B$4)</f>
        <v>8.7500000000000008E-3</v>
      </c>
      <c r="BP29">
        <f t="shared" ref="BP29:BP34" si="108">Logistic(ABS(H29)/$B$4)</f>
        <v>0</v>
      </c>
      <c r="BQ29">
        <f t="shared" ref="BQ29:BQ34" si="109">Logistic(($B$3-G29)/G29)</f>
        <v>0.90548862786321083</v>
      </c>
    </row>
    <row r="30" spans="1:69" x14ac:dyDescent="0.25">
      <c r="A30" s="1" t="s">
        <v>21</v>
      </c>
      <c r="B30">
        <f t="shared" ca="1" si="2"/>
        <v>184.85963360097298</v>
      </c>
      <c r="C30" t="s">
        <v>151</v>
      </c>
      <c r="D30">
        <f t="shared" si="79"/>
        <v>134</v>
      </c>
      <c r="E30">
        <f t="shared" si="80"/>
        <v>156.04</v>
      </c>
      <c r="F30">
        <f t="shared" si="81"/>
        <v>6.66</v>
      </c>
      <c r="G30">
        <f t="shared" si="82"/>
        <v>5.26</v>
      </c>
      <c r="H30">
        <f t="shared" si="83"/>
        <v>-0.02</v>
      </c>
      <c r="I30">
        <f t="shared" si="84"/>
        <v>0.01</v>
      </c>
      <c r="J30">
        <f t="shared" si="85"/>
        <v>-0.55000000000000004</v>
      </c>
      <c r="K30">
        <f t="shared" si="86"/>
        <v>0.13</v>
      </c>
      <c r="L30">
        <f t="shared" si="87"/>
        <v>3</v>
      </c>
      <c r="M30">
        <f t="shared" si="88"/>
        <v>8</v>
      </c>
      <c r="N30">
        <f t="shared" si="89"/>
        <v>12</v>
      </c>
      <c r="O30">
        <f t="shared" si="90"/>
        <v>10</v>
      </c>
      <c r="P30">
        <f t="shared" si="5"/>
        <v>45</v>
      </c>
      <c r="Q30">
        <f t="shared" ca="1" si="16"/>
        <v>24.208902999999992</v>
      </c>
      <c r="R30">
        <f t="shared" ca="1" si="17"/>
        <v>21.101621999999999</v>
      </c>
      <c r="S30">
        <f t="shared" si="18"/>
        <v>48</v>
      </c>
      <c r="T30">
        <f t="shared" ca="1" si="19"/>
        <v>-56.385263000000009</v>
      </c>
      <c r="U30">
        <f t="shared" ca="1" si="20"/>
        <v>19.481217000000001</v>
      </c>
      <c r="V30">
        <f t="shared" si="21"/>
        <v>45</v>
      </c>
      <c r="W30">
        <f t="shared" ca="1" si="22"/>
        <v>13.628903000000008</v>
      </c>
      <c r="X30">
        <f t="shared" ca="1" si="23"/>
        <v>21.101621999999999</v>
      </c>
      <c r="Y30">
        <f>GetFollowingCarRow($B$45:$E$54,L30,$E$15,E30)</f>
        <v>48</v>
      </c>
      <c r="Z30">
        <f t="shared" ca="1" si="24"/>
        <v>-66.965262999999993</v>
      </c>
      <c r="AA30">
        <f t="shared" ca="1" si="25"/>
        <v>19.481217000000001</v>
      </c>
      <c r="AB30">
        <f t="shared" si="91"/>
        <v>-0.61000000000000032</v>
      </c>
      <c r="AC30">
        <f t="shared" si="92"/>
        <v>10.579999999999984</v>
      </c>
      <c r="AD30">
        <f t="shared" si="93"/>
        <v>-2.3366351606805482</v>
      </c>
      <c r="AE30">
        <f t="shared" si="94"/>
        <v>24.721600000000162</v>
      </c>
      <c r="AF30">
        <f t="shared" si="95"/>
        <v>10.597570476293123</v>
      </c>
      <c r="AG30">
        <f t="shared" si="96"/>
        <v>0.38883168356537728</v>
      </c>
      <c r="AH30">
        <f t="shared" si="32"/>
        <v>0.68580906222909455</v>
      </c>
      <c r="AI30">
        <f>IF(G30&lt;=0,1,0)</f>
        <v>0</v>
      </c>
      <c r="AJ30">
        <f>IF(G30&lt;0,1,0)</f>
        <v>0</v>
      </c>
      <c r="AK30">
        <f>MAX(($B$3-G30)/(G30 + 1),0) / $B$3</f>
        <v>0.12014706723718958</v>
      </c>
      <c r="AL30">
        <f>IF(H30+ABS(K30)&lt;0,Logistic(SQRT(H30^2+K30^2)/$B$4),0)</f>
        <v>0</v>
      </c>
      <c r="AM30">
        <f>IF(G30&gt;$B$3,1,0)</f>
        <v>0</v>
      </c>
      <c r="AN30">
        <f>IF(H30&gt;$B$4,1,0)</f>
        <v>0</v>
      </c>
      <c r="AO30">
        <f>ABS(H30)/$B$4</f>
        <v>2.5000000000000001E-3</v>
      </c>
      <c r="AP30">
        <f>Logistic(I30/$B$5)</f>
        <v>6.2499991861977931E-4</v>
      </c>
      <c r="AQ30">
        <f>IF(I30&gt;$B$5,1,0)</f>
        <v>0</v>
      </c>
      <c r="AR30">
        <f>Logistic(ABS(F30-O30)/($B$6/2))</f>
        <v>0.68315164231008829</v>
      </c>
      <c r="AS30">
        <f>IF(OR(F30&lt;M30,F30&gt;N30),1,0)</f>
        <v>1</v>
      </c>
      <c r="AT30">
        <f>ABS(K30)/$B$4</f>
        <v>1.6250000000000001E-2</v>
      </c>
      <c r="AU30">
        <f t="shared" ca="1" si="33"/>
        <v>3.7303086453805374E-2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0.60351309596077463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0.52911721268299339</v>
      </c>
      <c r="BA30">
        <f t="shared" ca="1" si="34"/>
        <v>0</v>
      </c>
      <c r="BB30">
        <f t="shared" ca="1" si="35"/>
        <v>0</v>
      </c>
      <c r="BC30">
        <f t="shared" si="36"/>
        <v>0</v>
      </c>
      <c r="BE30">
        <f t="shared" si="97"/>
        <v>0.68580906222909455</v>
      </c>
      <c r="BF30">
        <f t="shared" si="98"/>
        <v>0</v>
      </c>
      <c r="BG30">
        <f t="shared" si="99"/>
        <v>0</v>
      </c>
      <c r="BH30">
        <f t="shared" si="100"/>
        <v>0.85508262545238456</v>
      </c>
      <c r="BI30">
        <f t="shared" si="101"/>
        <v>0</v>
      </c>
      <c r="BJ30">
        <f t="shared" si="102"/>
        <v>0</v>
      </c>
      <c r="BK30">
        <f t="shared" si="103"/>
        <v>5.2059707131649192E-174</v>
      </c>
      <c r="BL30">
        <f t="shared" si="104"/>
        <v>0</v>
      </c>
      <c r="BM30">
        <f t="shared" si="105"/>
        <v>0</v>
      </c>
      <c r="BN30">
        <f t="shared" si="106"/>
        <v>0.33499999999999996</v>
      </c>
      <c r="BO30">
        <f t="shared" si="107"/>
        <v>1.6250000000000001E-2</v>
      </c>
      <c r="BP30">
        <f t="shared" si="108"/>
        <v>1.2499993489587598E-3</v>
      </c>
      <c r="BQ30">
        <f t="shared" si="109"/>
        <v>0.90819274421394336</v>
      </c>
    </row>
    <row r="31" spans="1:69" x14ac:dyDescent="0.25">
      <c r="A31" s="1" t="s">
        <v>20</v>
      </c>
      <c r="B31">
        <f t="shared" ca="1" si="2"/>
        <v>186.61958785954812</v>
      </c>
      <c r="C31" t="s">
        <v>150</v>
      </c>
      <c r="D31">
        <f t="shared" si="79"/>
        <v>134</v>
      </c>
      <c r="E31">
        <f t="shared" si="80"/>
        <v>155.78</v>
      </c>
      <c r="F31">
        <f t="shared" si="81"/>
        <v>7.2</v>
      </c>
      <c r="G31">
        <f t="shared" si="82"/>
        <v>5</v>
      </c>
      <c r="H31">
        <f t="shared" si="83"/>
        <v>-0.08</v>
      </c>
      <c r="I31">
        <f t="shared" si="84"/>
        <v>7.0000000000000007E-2</v>
      </c>
      <c r="J31">
        <f t="shared" si="85"/>
        <v>-0.94</v>
      </c>
      <c r="K31">
        <f t="shared" si="86"/>
        <v>0.28000000000000003</v>
      </c>
      <c r="L31">
        <f t="shared" si="87"/>
        <v>3</v>
      </c>
      <c r="M31">
        <f t="shared" si="88"/>
        <v>8</v>
      </c>
      <c r="N31">
        <f t="shared" si="89"/>
        <v>12</v>
      </c>
      <c r="O31">
        <f t="shared" si="90"/>
        <v>10</v>
      </c>
      <c r="P31">
        <f t="shared" si="5"/>
        <v>45</v>
      </c>
      <c r="Q31">
        <f t="shared" ca="1" si="16"/>
        <v>24.208902999999992</v>
      </c>
      <c r="R31">
        <f t="shared" ca="1" si="17"/>
        <v>21.101621999999999</v>
      </c>
      <c r="S31">
        <f t="shared" si="18"/>
        <v>48</v>
      </c>
      <c r="T31">
        <f t="shared" ca="1" si="19"/>
        <v>-56.385263000000009</v>
      </c>
      <c r="U31">
        <f t="shared" ca="1" si="20"/>
        <v>19.481217000000001</v>
      </c>
      <c r="V31">
        <f t="shared" si="21"/>
        <v>45</v>
      </c>
      <c r="W31">
        <f t="shared" ca="1" si="22"/>
        <v>13.888902999999999</v>
      </c>
      <c r="X31">
        <f t="shared" ca="1" si="23"/>
        <v>21.101621999999999</v>
      </c>
      <c r="Y31">
        <f>GetFollowingCarRow($B$45:$E$54,L31,$E$15,E31)</f>
        <v>48</v>
      </c>
      <c r="Z31">
        <f t="shared" ca="1" si="24"/>
        <v>-66.705263000000002</v>
      </c>
      <c r="AA31">
        <f t="shared" ca="1" si="25"/>
        <v>19.481217000000001</v>
      </c>
      <c r="AB31">
        <f t="shared" si="91"/>
        <v>-1.1500000000000004</v>
      </c>
      <c r="AC31">
        <f t="shared" si="92"/>
        <v>10.319999999999993</v>
      </c>
      <c r="AD31">
        <f t="shared" si="93"/>
        <v>-10.159205426356607</v>
      </c>
      <c r="AE31">
        <f t="shared" si="94"/>
        <v>104.84300000000012</v>
      </c>
      <c r="AF31">
        <f t="shared" si="95"/>
        <v>10.383876925310693</v>
      </c>
      <c r="AG31">
        <f t="shared" si="96"/>
        <v>6.4528681803483381E-2</v>
      </c>
      <c r="AH31">
        <f t="shared" si="32"/>
        <v>0.68580906222909455</v>
      </c>
      <c r="AI31">
        <f>IF(G31&lt;=0,1,0)</f>
        <v>0</v>
      </c>
      <c r="AJ31">
        <f>IF(G31&lt;0,1,0)</f>
        <v>0</v>
      </c>
      <c r="AK31">
        <f>MAX(($B$3-G31)/(G31 + 1),0) / $B$3</f>
        <v>0.12739553879987434</v>
      </c>
      <c r="AL31">
        <f>IF(H31+ABS(K31)&lt;0,Logistic(SQRT(H31^2+K31^2)/$B$4),0)</f>
        <v>0</v>
      </c>
      <c r="AM31">
        <f>IF(G31&gt;$B$3,1,0)</f>
        <v>0</v>
      </c>
      <c r="AN31">
        <f>IF(H31&gt;$B$4,1,0)</f>
        <v>0</v>
      </c>
      <c r="AO31">
        <f>ABS(H31)/$B$4</f>
        <v>0.01</v>
      </c>
      <c r="AP31">
        <f>Logistic(I31/$B$5)</f>
        <v>4.3749720868022273E-3</v>
      </c>
      <c r="AQ31">
        <f>IF(I31&gt;$B$5,1,0)</f>
        <v>0</v>
      </c>
      <c r="AR31">
        <f>Logistic(ABS(F31-O31)/($B$6/2))</f>
        <v>0.6043677771171635</v>
      </c>
      <c r="AS31">
        <f>IF(OR(F31&lt;M31,F31&gt;N31),1,0)</f>
        <v>1</v>
      </c>
      <c r="AT31">
        <f>ABS(K31)/$B$4</f>
        <v>3.5000000000000003E-2</v>
      </c>
      <c r="AU31">
        <f t="shared" ca="1" si="33"/>
        <v>3.6069585963899871E-2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0.61063173765022649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0.5393670090020749</v>
      </c>
      <c r="BA31">
        <f t="shared" ca="1" si="34"/>
        <v>0</v>
      </c>
      <c r="BB31">
        <f t="shared" ca="1" si="35"/>
        <v>0</v>
      </c>
      <c r="BC31">
        <f t="shared" si="36"/>
        <v>0</v>
      </c>
      <c r="BE31">
        <f t="shared" si="97"/>
        <v>0.68580906222909455</v>
      </c>
      <c r="BF31">
        <f t="shared" si="98"/>
        <v>0</v>
      </c>
      <c r="BG31">
        <f t="shared" si="99"/>
        <v>0</v>
      </c>
      <c r="BH31">
        <f t="shared" si="100"/>
        <v>0.87444610004092571</v>
      </c>
      <c r="BI31">
        <f t="shared" si="101"/>
        <v>0</v>
      </c>
      <c r="BJ31">
        <f t="shared" si="102"/>
        <v>0</v>
      </c>
      <c r="BK31">
        <f t="shared" si="103"/>
        <v>1.0112214926104486E-43</v>
      </c>
      <c r="BL31">
        <f t="shared" si="104"/>
        <v>0</v>
      </c>
      <c r="BM31">
        <f t="shared" si="105"/>
        <v>6.318869805908125E-50</v>
      </c>
      <c r="BN31">
        <f t="shared" si="106"/>
        <v>0.19999999999999996</v>
      </c>
      <c r="BO31">
        <f t="shared" si="107"/>
        <v>3.5000000000000003E-2</v>
      </c>
      <c r="BP31">
        <f t="shared" si="108"/>
        <v>4.9999583337499692E-3</v>
      </c>
      <c r="BQ31">
        <f t="shared" si="109"/>
        <v>0.92491382315392923</v>
      </c>
    </row>
    <row r="32" spans="1:69" x14ac:dyDescent="0.25">
      <c r="A32" s="1" t="s">
        <v>37</v>
      </c>
      <c r="B32">
        <f t="shared" ca="1" si="2"/>
        <v>158.84067265087202</v>
      </c>
      <c r="C32" t="s">
        <v>149</v>
      </c>
      <c r="D32">
        <f t="shared" si="79"/>
        <v>134</v>
      </c>
      <c r="E32">
        <f t="shared" si="80"/>
        <v>160.04</v>
      </c>
      <c r="F32">
        <f t="shared" si="81"/>
        <v>4.66</v>
      </c>
      <c r="G32">
        <f t="shared" si="82"/>
        <v>9.24</v>
      </c>
      <c r="H32">
        <f t="shared" si="83"/>
        <v>0.98</v>
      </c>
      <c r="I32">
        <f t="shared" si="84"/>
        <v>0.99</v>
      </c>
      <c r="J32">
        <f t="shared" si="85"/>
        <v>1.54</v>
      </c>
      <c r="K32">
        <f t="shared" si="86"/>
        <v>7.0000000000000007E-2</v>
      </c>
      <c r="L32">
        <f t="shared" si="87"/>
        <v>1</v>
      </c>
      <c r="M32">
        <f t="shared" si="88"/>
        <v>0</v>
      </c>
      <c r="N32">
        <f t="shared" si="89"/>
        <v>4</v>
      </c>
      <c r="O32">
        <f t="shared" si="90"/>
        <v>2</v>
      </c>
      <c r="P32">
        <f t="shared" si="5"/>
        <v>47</v>
      </c>
      <c r="Q32">
        <f t="shared" ca="1" si="16"/>
        <v>166.73946099999998</v>
      </c>
      <c r="R32">
        <f t="shared" ca="1" si="17"/>
        <v>12.857002</v>
      </c>
      <c r="S32" t="e">
        <f t="shared" si="18"/>
        <v>#VALUE!</v>
      </c>
      <c r="T32">
        <f t="shared" ca="1" si="19"/>
        <v>1000000</v>
      </c>
      <c r="U32">
        <f t="shared" ca="1" si="20"/>
        <v>100</v>
      </c>
      <c r="V32">
        <f t="shared" si="21"/>
        <v>47</v>
      </c>
      <c r="W32">
        <f t="shared" ca="1" si="22"/>
        <v>152.15946099999999</v>
      </c>
      <c r="X32">
        <f t="shared" ca="1" si="23"/>
        <v>12.857002</v>
      </c>
      <c r="Y32" t="e">
        <f>GetFollowingCarRow($B$45:$E$54,L32,$E$15,E32)</f>
        <v>#VALUE!</v>
      </c>
      <c r="Z32">
        <f t="shared" ca="1" si="24"/>
        <v>1000000000</v>
      </c>
      <c r="AA32">
        <f t="shared" ca="1" si="25"/>
        <v>100</v>
      </c>
      <c r="AB32">
        <f t="shared" si="91"/>
        <v>1.3899999999999997</v>
      </c>
      <c r="AC32">
        <f t="shared" si="92"/>
        <v>14.579999999999984</v>
      </c>
      <c r="AD32">
        <f t="shared" si="93"/>
        <v>19.917585733882042</v>
      </c>
      <c r="AE32">
        <f t="shared" si="94"/>
        <v>-290.39839999999987</v>
      </c>
      <c r="AF32">
        <f t="shared" si="95"/>
        <v>14.646108698217404</v>
      </c>
      <c r="AG32">
        <f t="shared" si="96"/>
        <v>31.627313098282453</v>
      </c>
      <c r="AH32">
        <f t="shared" si="32"/>
        <v>0.68580906222909455</v>
      </c>
      <c r="AI32">
        <f>IF(G32&lt;=0,1,0)</f>
        <v>0</v>
      </c>
      <c r="AJ32">
        <f>IF(G32&lt;0,1,0)</f>
        <v>0</v>
      </c>
      <c r="AK32">
        <f>MAX(($B$3-G32)/(G32 + 1),0) / $B$3</f>
        <v>5.513298185673892E-2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0.1225</v>
      </c>
      <c r="AP32">
        <f>Logistic(I32/$B$5)</f>
        <v>6.1796157602773426E-2</v>
      </c>
      <c r="AQ32">
        <f>IF(I32&gt;$B$5,1,0)</f>
        <v>0</v>
      </c>
      <c r="AR32">
        <f>Logistic(ABS(F32-O32)/($B$6/2))</f>
        <v>0.58168126957387334</v>
      </c>
      <c r="AS32">
        <f>IF(OR(F32&lt;M32,F32&gt;N32),1,0)</f>
        <v>1</v>
      </c>
      <c r="AT32">
        <f>ABS(K32)/$B$4</f>
        <v>8.7500000000000008E-3</v>
      </c>
      <c r="AU32">
        <f t="shared" ca="1" si="33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34"/>
        <v>0</v>
      </c>
      <c r="BB32">
        <f t="shared" ca="1" si="35"/>
        <v>0</v>
      </c>
      <c r="BC32">
        <f t="shared" si="36"/>
        <v>0</v>
      </c>
      <c r="BE32">
        <f t="shared" si="97"/>
        <v>0.68580906222909455</v>
      </c>
      <c r="BF32">
        <f t="shared" si="98"/>
        <v>0</v>
      </c>
      <c r="BG32">
        <f t="shared" si="99"/>
        <v>0</v>
      </c>
      <c r="BH32">
        <f t="shared" si="100"/>
        <v>0.52626178795110534</v>
      </c>
      <c r="BI32">
        <f t="shared" si="101"/>
        <v>0</v>
      </c>
      <c r="BJ32">
        <f t="shared" si="102"/>
        <v>0</v>
      </c>
      <c r="BK32">
        <f t="shared" si="103"/>
        <v>7.7452137028712997E-4</v>
      </c>
      <c r="BL32">
        <f t="shared" si="104"/>
        <v>0</v>
      </c>
      <c r="BM32">
        <f t="shared" si="105"/>
        <v>8.4109320241522879E-4</v>
      </c>
      <c r="BN32">
        <f t="shared" si="106"/>
        <v>0.16500000000000004</v>
      </c>
      <c r="BO32">
        <f t="shared" si="107"/>
        <v>8.7500000000000008E-3</v>
      </c>
      <c r="BP32">
        <f t="shared" si="108"/>
        <v>6.1173520364161939E-2</v>
      </c>
      <c r="BQ32">
        <f t="shared" si="109"/>
        <v>0.57050310923077208</v>
      </c>
    </row>
    <row r="33" spans="1:69" x14ac:dyDescent="0.25">
      <c r="A33" s="1" t="s">
        <v>38</v>
      </c>
      <c r="B33">
        <f t="shared" ca="1" si="2"/>
        <v>158.96611221821365</v>
      </c>
      <c r="C33" t="s">
        <v>148</v>
      </c>
      <c r="D33">
        <f t="shared" si="79"/>
        <v>134</v>
      </c>
      <c r="E33">
        <f t="shared" si="80"/>
        <v>159.99</v>
      </c>
      <c r="F33">
        <f t="shared" si="81"/>
        <v>4.1900000000000004</v>
      </c>
      <c r="G33">
        <f t="shared" si="82"/>
        <v>9.19</v>
      </c>
      <c r="H33">
        <f t="shared" si="83"/>
        <v>0.97</v>
      </c>
      <c r="I33">
        <f t="shared" si="84"/>
        <v>0.98</v>
      </c>
      <c r="J33">
        <f t="shared" si="85"/>
        <v>1.99</v>
      </c>
      <c r="K33">
        <f t="shared" si="86"/>
        <v>0.13</v>
      </c>
      <c r="L33">
        <f t="shared" si="87"/>
        <v>1</v>
      </c>
      <c r="M33">
        <f t="shared" si="88"/>
        <v>0</v>
      </c>
      <c r="N33">
        <f t="shared" si="89"/>
        <v>4</v>
      </c>
      <c r="O33">
        <f t="shared" si="90"/>
        <v>2</v>
      </c>
      <c r="P33">
        <f t="shared" si="5"/>
        <v>47</v>
      </c>
      <c r="Q33">
        <f t="shared" ca="1" si="16"/>
        <v>166.73946099999998</v>
      </c>
      <c r="R33">
        <f t="shared" ca="1" si="17"/>
        <v>12.857002</v>
      </c>
      <c r="S33" t="e">
        <f t="shared" si="18"/>
        <v>#VALUE!</v>
      </c>
      <c r="T33">
        <f t="shared" ca="1" si="19"/>
        <v>1000000</v>
      </c>
      <c r="U33">
        <f t="shared" ca="1" si="20"/>
        <v>100</v>
      </c>
      <c r="V33">
        <f t="shared" si="21"/>
        <v>47</v>
      </c>
      <c r="W33">
        <f t="shared" ca="1" si="22"/>
        <v>152.20946099999998</v>
      </c>
      <c r="X33">
        <f t="shared" ca="1" si="23"/>
        <v>12.857002</v>
      </c>
      <c r="Y33" t="e">
        <f>GetFollowingCarRow($B$45:$E$54,L33,$E$15,E33)</f>
        <v>#VALUE!</v>
      </c>
      <c r="Z33">
        <f t="shared" ca="1" si="24"/>
        <v>1000000000</v>
      </c>
      <c r="AA33">
        <f t="shared" ca="1" si="25"/>
        <v>100</v>
      </c>
      <c r="AB33">
        <f t="shared" si="91"/>
        <v>1.8599999999999994</v>
      </c>
      <c r="AC33">
        <f t="shared" si="92"/>
        <v>14.530000000000001</v>
      </c>
      <c r="AD33">
        <f t="shared" si="93"/>
        <v>24.670481761871983</v>
      </c>
      <c r="AE33">
        <f t="shared" si="94"/>
        <v>-358.46209999999996</v>
      </c>
      <c r="AF33">
        <f t="shared" si="95"/>
        <v>14.648566482765473</v>
      </c>
      <c r="AG33">
        <f t="shared" si="96"/>
        <v>41.632092161202891</v>
      </c>
      <c r="AH33">
        <f t="shared" si="32"/>
        <v>0.68580906222909455</v>
      </c>
      <c r="AI33">
        <f>IF(G33&lt;=0,1,0)</f>
        <v>0</v>
      </c>
      <c r="AJ33">
        <f>IF(G33&lt;0,1,0)</f>
        <v>0</v>
      </c>
      <c r="AK33">
        <f>MAX(($B$3-G33)/(G33 + 1),0) / $B$3</f>
        <v>5.5634740126105413E-2</v>
      </c>
      <c r="AL33">
        <f>IF(H33+ABS(K33)&lt;0,Logistic(SQRT(H33^2+K33^2)/$B$4),0)</f>
        <v>0</v>
      </c>
      <c r="AM33">
        <f>IF(G33&gt;$B$3,1,0)</f>
        <v>0</v>
      </c>
      <c r="AN33">
        <f>IF(H33&gt;$B$4,1,0)</f>
        <v>0</v>
      </c>
      <c r="AO33">
        <f>ABS(H33)/$B$4</f>
        <v>0.12125</v>
      </c>
      <c r="AP33">
        <f>Logistic(I33/$B$5)</f>
        <v>6.1173520364161939E-2</v>
      </c>
      <c r="AQ33">
        <f>IF(I33&gt;$B$5,1,0)</f>
        <v>0</v>
      </c>
      <c r="AR33">
        <f>Logistic(ABS(F33-O33)/($B$6/2))</f>
        <v>0.49864416881035961</v>
      </c>
      <c r="AS33">
        <f>IF(OR(F33&lt;M33,F33&gt;N33),1,0)</f>
        <v>1</v>
      </c>
      <c r="AT33">
        <f>ABS(K33)/$B$4</f>
        <v>1.6250000000000001E-2</v>
      </c>
      <c r="AU33">
        <f t="shared" ca="1" si="33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</v>
      </c>
      <c r="BA33">
        <f t="shared" ca="1" si="34"/>
        <v>0</v>
      </c>
      <c r="BB33">
        <f t="shared" ca="1" si="35"/>
        <v>0</v>
      </c>
      <c r="BC33">
        <f t="shared" si="36"/>
        <v>0</v>
      </c>
      <c r="BE33">
        <f t="shared" si="97"/>
        <v>0.68580906222909455</v>
      </c>
      <c r="BF33">
        <f t="shared" si="98"/>
        <v>0</v>
      </c>
      <c r="BG33">
        <f t="shared" si="99"/>
        <v>0</v>
      </c>
      <c r="BH33">
        <f t="shared" si="100"/>
        <v>0.53010025878636424</v>
      </c>
      <c r="BI33">
        <f t="shared" si="101"/>
        <v>0</v>
      </c>
      <c r="BJ33">
        <f t="shared" si="102"/>
        <v>0</v>
      </c>
      <c r="BK33">
        <f t="shared" si="103"/>
        <v>7.1200709592698702E-4</v>
      </c>
      <c r="BL33">
        <f t="shared" si="104"/>
        <v>0</v>
      </c>
      <c r="BM33">
        <f t="shared" si="105"/>
        <v>7.7452137028712997E-4</v>
      </c>
      <c r="BN33">
        <f t="shared" si="106"/>
        <v>4.7500000000000098E-2</v>
      </c>
      <c r="BO33">
        <f t="shared" si="107"/>
        <v>1.6250000000000001E-2</v>
      </c>
      <c r="BP33">
        <f t="shared" si="108"/>
        <v>6.0550835512596476E-2</v>
      </c>
      <c r="BQ33">
        <f t="shared" si="109"/>
        <v>0.57470211007345662</v>
      </c>
    </row>
    <row r="34" spans="1:69" x14ac:dyDescent="0.25">
      <c r="A34" s="1" t="s">
        <v>39</v>
      </c>
      <c r="B34">
        <f t="shared" ca="1" si="2"/>
        <v>136.61223956709603</v>
      </c>
      <c r="C34" t="s">
        <v>147</v>
      </c>
      <c r="D34">
        <f t="shared" si="79"/>
        <v>134</v>
      </c>
      <c r="E34">
        <f t="shared" si="80"/>
        <v>159.74</v>
      </c>
      <c r="F34">
        <f t="shared" si="81"/>
        <v>3.01</v>
      </c>
      <c r="G34">
        <f t="shared" si="82"/>
        <v>8.94</v>
      </c>
      <c r="H34">
        <f t="shared" si="83"/>
        <v>0.91</v>
      </c>
      <c r="I34">
        <f t="shared" si="84"/>
        <v>0.91</v>
      </c>
      <c r="J34">
        <f t="shared" si="85"/>
        <v>2.93</v>
      </c>
      <c r="K34">
        <f t="shared" si="86"/>
        <v>0.28000000000000003</v>
      </c>
      <c r="L34">
        <f t="shared" si="87"/>
        <v>1</v>
      </c>
      <c r="M34">
        <f t="shared" si="88"/>
        <v>0</v>
      </c>
      <c r="N34">
        <f t="shared" si="89"/>
        <v>4</v>
      </c>
      <c r="O34">
        <f t="shared" si="90"/>
        <v>2</v>
      </c>
      <c r="P34">
        <f t="shared" si="5"/>
        <v>47</v>
      </c>
      <c r="Q34">
        <f t="shared" ca="1" si="16"/>
        <v>166.73946099999998</v>
      </c>
      <c r="R34">
        <f t="shared" ca="1" si="17"/>
        <v>12.857002</v>
      </c>
      <c r="S34" t="e">
        <f t="shared" si="18"/>
        <v>#VALUE!</v>
      </c>
      <c r="T34">
        <f t="shared" ca="1" si="19"/>
        <v>1000000</v>
      </c>
      <c r="U34">
        <f t="shared" ca="1" si="20"/>
        <v>100</v>
      </c>
      <c r="V34">
        <f t="shared" si="21"/>
        <v>47</v>
      </c>
      <c r="W34">
        <f t="shared" ca="1" si="22"/>
        <v>152.45946099999998</v>
      </c>
      <c r="X34">
        <f t="shared" ca="1" si="23"/>
        <v>12.857002</v>
      </c>
      <c r="Y34" t="e">
        <f>GetFollowingCarRow($B$45:$E$54,L34,$E$15,E34)</f>
        <v>#VALUE!</v>
      </c>
      <c r="Z34">
        <f t="shared" ca="1" si="24"/>
        <v>1000000000</v>
      </c>
      <c r="AA34">
        <f t="shared" ca="1" si="25"/>
        <v>100</v>
      </c>
      <c r="AB34">
        <f t="shared" si="91"/>
        <v>3.04</v>
      </c>
      <c r="AC34">
        <f t="shared" si="92"/>
        <v>14.280000000000001</v>
      </c>
      <c r="AD34">
        <f t="shared" si="93"/>
        <v>37.016274509803921</v>
      </c>
      <c r="AE34">
        <f t="shared" si="94"/>
        <v>-528.5924</v>
      </c>
      <c r="AF34">
        <f t="shared" si="95"/>
        <v>14.600000000000001</v>
      </c>
      <c r="AG34">
        <f t="shared" si="96"/>
        <v>66.968775501369848</v>
      </c>
      <c r="AH34">
        <f t="shared" si="32"/>
        <v>0.68580906222909455</v>
      </c>
      <c r="AI34">
        <f>IF(G34&lt;=0,1,0)</f>
        <v>0</v>
      </c>
      <c r="AJ34">
        <f>IF(G34&lt;0,1,0)</f>
        <v>0</v>
      </c>
      <c r="AK34">
        <f>MAX(($B$3-G34)/(G34 + 1),0) / $B$3</f>
        <v>5.8219249521635E-2</v>
      </c>
      <c r="AL34">
        <f>IF(H34+ABS(K34)&lt;0,Logistic(SQRT(H34^2+K34^2)/$B$4),0)</f>
        <v>0</v>
      </c>
      <c r="AM34">
        <f>IF(G34&gt;$B$3,1,0)</f>
        <v>0</v>
      </c>
      <c r="AN34">
        <f>IF(H34&gt;$B$4,1,0)</f>
        <v>0</v>
      </c>
      <c r="AO34">
        <f>ABS(H34)/$B$4</f>
        <v>0.11375</v>
      </c>
      <c r="AP34">
        <f>Logistic(I34/$B$5)</f>
        <v>5.6813753481059173E-2</v>
      </c>
      <c r="AQ34">
        <f>IF(I34&gt;$B$5,1,0)</f>
        <v>0</v>
      </c>
      <c r="AR34">
        <f>Logistic(ABS(F34-O34)/($B$6/2))</f>
        <v>0.24726725659645193</v>
      </c>
      <c r="AS34">
        <f>IF(OR(F34&lt;M34,F34&gt;N34),1,0)</f>
        <v>0</v>
      </c>
      <c r="AT34">
        <f>ABS(K34)/$B$4</f>
        <v>3.5000000000000003E-2</v>
      </c>
      <c r="AU34">
        <f t="shared" ca="1" si="33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</v>
      </c>
      <c r="BA34">
        <f t="shared" ca="1" si="34"/>
        <v>0</v>
      </c>
      <c r="BB34">
        <f t="shared" ca="1" si="35"/>
        <v>0</v>
      </c>
      <c r="BC34">
        <f t="shared" si="36"/>
        <v>0</v>
      </c>
      <c r="BE34">
        <f t="shared" si="97"/>
        <v>0.68580906222909455</v>
      </c>
      <c r="BF34">
        <f t="shared" si="98"/>
        <v>0</v>
      </c>
      <c r="BG34">
        <f t="shared" si="99"/>
        <v>0</v>
      </c>
      <c r="BH34">
        <f t="shared" si="100"/>
        <v>0.54952895956349856</v>
      </c>
      <c r="BI34">
        <f t="shared" si="101"/>
        <v>0</v>
      </c>
      <c r="BJ34">
        <f t="shared" si="102"/>
        <v>0</v>
      </c>
      <c r="BK34">
        <f t="shared" si="103"/>
        <v>4.1335292448507304E-4</v>
      </c>
      <c r="BL34">
        <f t="shared" si="104"/>
        <v>0</v>
      </c>
      <c r="BM34">
        <f t="shared" si="105"/>
        <v>4.1335292448507304E-4</v>
      </c>
      <c r="BN34">
        <f t="shared" si="106"/>
        <v>0</v>
      </c>
      <c r="BO34">
        <f t="shared" si="107"/>
        <v>3.5000000000000003E-2</v>
      </c>
      <c r="BP34">
        <f t="shared" si="108"/>
        <v>5.6813753481059173E-2</v>
      </c>
      <c r="BQ34">
        <f t="shared" si="109"/>
        <v>0.59592290724658226</v>
      </c>
    </row>
    <row r="35" spans="1:69" x14ac:dyDescent="0.25">
      <c r="A35" s="1" t="s">
        <v>82</v>
      </c>
      <c r="B35">
        <f t="shared" ca="1" si="2"/>
        <v>174.82868221713176</v>
      </c>
      <c r="C35" t="s">
        <v>146</v>
      </c>
      <c r="D35">
        <f t="shared" ref="D35:D37" si="110">VALUE(MID(C35,FIND("#[",C35)+2,FIND("]",C35,FIND("#[",C35))-(FIND("#[",C35)+2)))</f>
        <v>134</v>
      </c>
      <c r="E35">
        <f t="shared" ref="E35:E37" si="111">VALUE(MID(C35,FIND("s[",C35)+2,FIND("]",C35,FIND("s[",C35))-(FIND("s[",C35)+2)))</f>
        <v>156.08000000000001</v>
      </c>
      <c r="F35">
        <f t="shared" ref="F35:F37" si="112">VALUE(MID(C35,FIND("d[",C35)+2,FIND("]",C35,FIND("d[",C35))-(FIND("d[",C35)+2)))</f>
        <v>5.26</v>
      </c>
      <c r="G35">
        <f t="shared" ref="G35:G37" si="113">VALUE(MID(C35,FIND("s_dot[",C35)+6,FIND("]",C35,FIND("s_dot[",C35))-(FIND("s_dot[",C35)+6)))</f>
        <v>5.3</v>
      </c>
      <c r="H35">
        <f t="shared" ref="H35:H37" si="114">VALUE(MID(C35,FIND("s_dot2[",C35)+7,FIND("]",C35,FIND("s_dot2[",C35))-(FIND("s_dot2[",C35)+7)))</f>
        <v>-0.01</v>
      </c>
      <c r="I35">
        <f t="shared" ref="I35:I37" si="115">VALUE(MID(C35,FIND("s_dot3[",C35)+7,FIND("]",C35,FIND("s_dot3[",C35))-(FIND("s_dot3[",C35)+7)))</f>
        <v>0</v>
      </c>
      <c r="J35">
        <f t="shared" ref="J35:J37" si="116">VALUE(MID(C35,FIND("d_dot[",C35)+6,FIND("]",C35,FIND("d_dot[",C35))-(FIND("d_dot[",C35)+6)))</f>
        <v>0.7</v>
      </c>
      <c r="K35">
        <f t="shared" ref="K35:K37" si="117">VALUE(MID(C35,FIND("d_dot2[",C35)+7,FIND("]",C35,FIND("d_dot2[",C35))-(FIND("d_dot2[",C35)+7)))</f>
        <v>7.0000000000000007E-2</v>
      </c>
      <c r="L35">
        <f t="shared" ref="L35:L37" si="118">VALUE(MID(C35,FIND("-",C35)+1,FIND(")",C35,FIND("-",C35))-(FIND("-",C35)+1)))</f>
        <v>1</v>
      </c>
      <c r="M35">
        <f t="shared" ref="M35:M37" si="119">$B$6*(L35-1)</f>
        <v>0</v>
      </c>
      <c r="N35">
        <f t="shared" ref="N35:N37" si="120">$B$6*L35</f>
        <v>4</v>
      </c>
      <c r="O35">
        <f t="shared" ref="O35:O37" si="121">(N35+M35)/2</f>
        <v>2</v>
      </c>
      <c r="P35">
        <f t="shared" si="5"/>
        <v>47</v>
      </c>
      <c r="Q35">
        <f t="shared" ca="1" si="16"/>
        <v>166.73946099999998</v>
      </c>
      <c r="R35">
        <f t="shared" ca="1" si="17"/>
        <v>12.857002</v>
      </c>
      <c r="S35" t="e">
        <f t="shared" si="18"/>
        <v>#VALUE!</v>
      </c>
      <c r="T35">
        <f t="shared" ca="1" si="19"/>
        <v>1000000</v>
      </c>
      <c r="U35">
        <f t="shared" ca="1" si="20"/>
        <v>100</v>
      </c>
      <c r="V35">
        <f t="shared" si="21"/>
        <v>47</v>
      </c>
      <c r="W35">
        <f t="shared" ca="1" si="22"/>
        <v>156.11946099999997</v>
      </c>
      <c r="X35">
        <f t="shared" ca="1" si="23"/>
        <v>12.857002</v>
      </c>
      <c r="Y35" t="e">
        <f>GetFollowingCarRow($B$45:$E$54,L35,$E$15,E35)</f>
        <v>#VALUE!</v>
      </c>
      <c r="Z35">
        <f t="shared" ca="1" si="24"/>
        <v>1000000000</v>
      </c>
      <c r="AA35">
        <f t="shared" ca="1" si="25"/>
        <v>100</v>
      </c>
      <c r="AB35">
        <f t="shared" ref="AB35:AB37" si="122">$F$15-F35</f>
        <v>0.79</v>
      </c>
      <c r="AC35">
        <f t="shared" ref="AC35:AC37" si="123">E35-$E$15</f>
        <v>10.620000000000005</v>
      </c>
      <c r="AD35">
        <f t="shared" ref="AD35:AD37" si="124">$F$15-(-AB35/AC35)*$E$15</f>
        <v>16.870470809792838</v>
      </c>
      <c r="AE35">
        <f t="shared" ref="AE35:AE37" si="125">AD35*-AC35</f>
        <v>-179.16440000000003</v>
      </c>
      <c r="AF35">
        <f t="shared" ref="AF35:AF37" si="126">SQRT(AB35^2+AC35^2)</f>
        <v>10.649342702721144</v>
      </c>
      <c r="AG35">
        <f t="shared" ref="AG35:AG37" si="127">GetSmallestNormalDistance($B$45:$E$56,AB35,AC35,AF35,$L$15,L35)</f>
        <v>25.161203483622774</v>
      </c>
      <c r="AH35">
        <f t="shared" si="32"/>
        <v>0.68580906222909455</v>
      </c>
      <c r="AI35">
        <f>IF(G35&lt;=0,1,0)</f>
        <v>0</v>
      </c>
      <c r="AJ35">
        <f>IF(G35&lt;0,1,0)</f>
        <v>0</v>
      </c>
      <c r="AK35">
        <f>MAX(($B$3-G35)/(G35 + 1),0) / $B$3</f>
        <v>0.11908502012177789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1.25E-3</v>
      </c>
      <c r="AP35">
        <f>Logistic(I35/$B$5)</f>
        <v>0</v>
      </c>
      <c r="AQ35">
        <f>IF(I35&gt;$B$5,1,0)</f>
        <v>0</v>
      </c>
      <c r="AR35">
        <f>Logistic(ABS(F35-O35)/($B$6/2))</f>
        <v>0.67233927755328216</v>
      </c>
      <c r="AS35">
        <f>IF(OR(F35&lt;M35,F35&gt;N35),1,0)</f>
        <v>1</v>
      </c>
      <c r="AT35">
        <f>ABS(K35)/$B$4</f>
        <v>8.7500000000000008E-3</v>
      </c>
      <c r="AU35">
        <f t="shared" ca="1" si="33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34"/>
        <v>0</v>
      </c>
      <c r="BB35">
        <f t="shared" ca="1" si="35"/>
        <v>0</v>
      </c>
      <c r="BC35">
        <f t="shared" si="36"/>
        <v>0</v>
      </c>
      <c r="BE35">
        <f t="shared" ref="BE35:BE37" si="128">Logistic((D35-$B$2)/$B$2)</f>
        <v>0.68580906222909455</v>
      </c>
      <c r="BF35">
        <f t="shared" ref="BF35:BF37" si="129">IF(G35&lt;=0,1,0)</f>
        <v>0</v>
      </c>
      <c r="BG35">
        <f t="shared" ref="BG35:BG37" si="130">IF(G35&lt;0,1,0)</f>
        <v>0</v>
      </c>
      <c r="BH35">
        <f t="shared" ref="BH35:BH37" si="131">Logistic(($B$3-G35)/(G35+1))</f>
        <v>0.85202397963098109</v>
      </c>
      <c r="BI35">
        <f t="shared" ref="BI35:BI37" si="132">IF(G35&gt;$B$3,1,0)</f>
        <v>0</v>
      </c>
      <c r="BJ35">
        <f t="shared" ref="BJ35:BJ37" si="133">IF(H35&gt;$B$5,1,0)</f>
        <v>0</v>
      </c>
      <c r="BK35">
        <f t="shared" ref="BK35:BK37" si="134">EXP(-($B$4-ABS(H35))/MAX(ABS(H35),0.000000001))</f>
        <v>0</v>
      </c>
      <c r="BL35">
        <f t="shared" ref="BL35:BL37" si="135">IF(G35&lt;ABS(H35),1,0)</f>
        <v>0</v>
      </c>
      <c r="BM35">
        <f t="shared" ref="BM35:BM37" si="136">EXP(-($B$5-I35)/MAX(I35,0.000000001))</f>
        <v>0</v>
      </c>
      <c r="BN35">
        <f t="shared" ref="BN35:BN37" si="137">IF(F35&gt;N35,(F35-N35)/$B$6,0)+IF(F35&lt;M35,(M35-F35)/$B$6,0)</f>
        <v>0.31499999999999995</v>
      </c>
      <c r="BO35">
        <f t="shared" ref="BO35:BO37" si="138">ABS(K35/$B$4)</f>
        <v>8.7500000000000008E-3</v>
      </c>
      <c r="BP35">
        <f t="shared" ref="BP35:BP37" si="139">Logistic(ABS(H35)/$B$4)</f>
        <v>6.2499991861977931E-4</v>
      </c>
      <c r="BQ35">
        <f t="shared" ref="BQ35:BQ37" si="140">Logistic(($B$3-G35)/G35)</f>
        <v>0.90548862786321083</v>
      </c>
    </row>
    <row r="36" spans="1:69" x14ac:dyDescent="0.25">
      <c r="A36" s="1" t="s">
        <v>83</v>
      </c>
      <c r="B36">
        <f t="shared" ca="1" si="2"/>
        <v>175.1611029642556</v>
      </c>
      <c r="C36" t="s">
        <v>143</v>
      </c>
      <c r="D36">
        <f t="shared" si="110"/>
        <v>134</v>
      </c>
      <c r="E36">
        <f t="shared" si="111"/>
        <v>156.03</v>
      </c>
      <c r="F36">
        <f t="shared" si="112"/>
        <v>4.97</v>
      </c>
      <c r="G36">
        <f t="shared" si="113"/>
        <v>5.25</v>
      </c>
      <c r="H36">
        <f t="shared" si="114"/>
        <v>-0.02</v>
      </c>
      <c r="I36">
        <f t="shared" si="115"/>
        <v>0.01</v>
      </c>
      <c r="J36">
        <f t="shared" si="116"/>
        <v>0.93</v>
      </c>
      <c r="K36">
        <f t="shared" si="117"/>
        <v>0.13</v>
      </c>
      <c r="L36">
        <f t="shared" si="118"/>
        <v>1</v>
      </c>
      <c r="M36">
        <f t="shared" si="119"/>
        <v>0</v>
      </c>
      <c r="N36">
        <f t="shared" si="120"/>
        <v>4</v>
      </c>
      <c r="O36">
        <f t="shared" si="121"/>
        <v>2</v>
      </c>
      <c r="P36">
        <f t="shared" si="5"/>
        <v>47</v>
      </c>
      <c r="Q36">
        <f t="shared" ca="1" si="16"/>
        <v>166.73946099999998</v>
      </c>
      <c r="R36">
        <f t="shared" ca="1" si="17"/>
        <v>12.857002</v>
      </c>
      <c r="S36" t="e">
        <f t="shared" si="18"/>
        <v>#VALUE!</v>
      </c>
      <c r="T36">
        <f t="shared" ca="1" si="19"/>
        <v>1000000</v>
      </c>
      <c r="U36">
        <f t="shared" ca="1" si="20"/>
        <v>100</v>
      </c>
      <c r="V36">
        <f t="shared" si="21"/>
        <v>47</v>
      </c>
      <c r="W36">
        <f t="shared" ca="1" si="22"/>
        <v>156.16946099999998</v>
      </c>
      <c r="X36">
        <f t="shared" ca="1" si="23"/>
        <v>12.857002</v>
      </c>
      <c r="Y36" t="e">
        <f>GetFollowingCarRow($B$45:$E$54,L36,$E$15,E36)</f>
        <v>#VALUE!</v>
      </c>
      <c r="Z36">
        <f t="shared" ca="1" si="24"/>
        <v>1000000000</v>
      </c>
      <c r="AA36">
        <f t="shared" ca="1" si="25"/>
        <v>100</v>
      </c>
      <c r="AB36">
        <f t="shared" si="122"/>
        <v>1.08</v>
      </c>
      <c r="AC36">
        <f t="shared" si="123"/>
        <v>10.569999999999993</v>
      </c>
      <c r="AD36">
        <f t="shared" si="124"/>
        <v>20.912516556291401</v>
      </c>
      <c r="AE36">
        <f t="shared" si="125"/>
        <v>-221.04529999999997</v>
      </c>
      <c r="AF36">
        <f t="shared" si="126"/>
        <v>10.625031764658393</v>
      </c>
      <c r="AG36">
        <f t="shared" si="127"/>
        <v>33.730513756400292</v>
      </c>
      <c r="AH36">
        <f t="shared" si="32"/>
        <v>0.68580906222909455</v>
      </c>
      <c r="AI36">
        <f>IF(G36&lt;=0,1,0)</f>
        <v>0</v>
      </c>
      <c r="AJ36">
        <f>IF(G36&lt;0,1,0)</f>
        <v>0</v>
      </c>
      <c r="AK36">
        <f>MAX(($B$3-G36)/(G36 + 1),0) / $B$3</f>
        <v>0.12041470311027332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2.5000000000000001E-3</v>
      </c>
      <c r="AP36">
        <f>Logistic(I36/$B$5)</f>
        <v>6.2499991861977931E-4</v>
      </c>
      <c r="AQ36">
        <f>IF(I36&gt;$B$5,1,0)</f>
        <v>0</v>
      </c>
      <c r="AR36">
        <f>Logistic(ABS(F36-O36)/($B$6/2))</f>
        <v>0.63065322720616579</v>
      </c>
      <c r="AS36">
        <f>IF(OR(F36&lt;M36,F36&gt;N36),1,0)</f>
        <v>1</v>
      </c>
      <c r="AT36">
        <f>ABS(K36)/$B$4</f>
        <v>1.6250000000000001E-2</v>
      </c>
      <c r="AU36">
        <f t="shared" ca="1" si="33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</v>
      </c>
      <c r="BA36">
        <f t="shared" ca="1" si="34"/>
        <v>0</v>
      </c>
      <c r="BB36">
        <f t="shared" ca="1" si="35"/>
        <v>0</v>
      </c>
      <c r="BC36">
        <f t="shared" si="36"/>
        <v>0</v>
      </c>
      <c r="BE36">
        <f t="shared" si="128"/>
        <v>0.68580906222909455</v>
      </c>
      <c r="BF36">
        <f t="shared" si="129"/>
        <v>0</v>
      </c>
      <c r="BG36">
        <f t="shared" si="130"/>
        <v>0</v>
      </c>
      <c r="BH36">
        <f t="shared" si="131"/>
        <v>0.85584415897192057</v>
      </c>
      <c r="BI36">
        <f t="shared" si="132"/>
        <v>0</v>
      </c>
      <c r="BJ36">
        <f t="shared" si="133"/>
        <v>0</v>
      </c>
      <c r="BK36">
        <f t="shared" si="134"/>
        <v>5.2059707131649192E-174</v>
      </c>
      <c r="BL36">
        <f t="shared" si="135"/>
        <v>0</v>
      </c>
      <c r="BM36">
        <f t="shared" si="136"/>
        <v>0</v>
      </c>
      <c r="BN36">
        <f t="shared" si="137"/>
        <v>0.24249999999999994</v>
      </c>
      <c r="BO36">
        <f t="shared" si="138"/>
        <v>1.6250000000000001E-2</v>
      </c>
      <c r="BP36">
        <f t="shared" si="139"/>
        <v>1.2499993489587598E-3</v>
      </c>
      <c r="BQ36">
        <f t="shared" si="140"/>
        <v>0.90886348493279323</v>
      </c>
    </row>
    <row r="37" spans="1:69" x14ac:dyDescent="0.25">
      <c r="A37" s="1" t="s">
        <v>84</v>
      </c>
      <c r="B37">
        <f t="shared" ca="1" si="2"/>
        <v>176.90631188665586</v>
      </c>
      <c r="C37" t="s">
        <v>145</v>
      </c>
      <c r="D37">
        <f t="shared" si="110"/>
        <v>134</v>
      </c>
      <c r="E37">
        <f t="shared" si="111"/>
        <v>155.78</v>
      </c>
      <c r="F37">
        <f t="shared" si="112"/>
        <v>4.25</v>
      </c>
      <c r="G37">
        <f t="shared" si="113"/>
        <v>5</v>
      </c>
      <c r="H37">
        <f t="shared" si="114"/>
        <v>-0.08</v>
      </c>
      <c r="I37">
        <f t="shared" si="115"/>
        <v>0.08</v>
      </c>
      <c r="J37">
        <f t="shared" si="116"/>
        <v>1.46</v>
      </c>
      <c r="K37">
        <f t="shared" si="117"/>
        <v>0.28000000000000003</v>
      </c>
      <c r="L37">
        <f t="shared" si="118"/>
        <v>1</v>
      </c>
      <c r="M37">
        <f t="shared" si="119"/>
        <v>0</v>
      </c>
      <c r="N37">
        <f t="shared" si="120"/>
        <v>4</v>
      </c>
      <c r="O37">
        <f t="shared" si="121"/>
        <v>2</v>
      </c>
      <c r="P37">
        <f t="shared" si="5"/>
        <v>47</v>
      </c>
      <c r="Q37">
        <f t="shared" ca="1" si="16"/>
        <v>166.73946099999998</v>
      </c>
      <c r="R37">
        <f t="shared" ca="1" si="17"/>
        <v>12.857002</v>
      </c>
      <c r="S37" t="e">
        <f t="shared" si="18"/>
        <v>#VALUE!</v>
      </c>
      <c r="T37">
        <f t="shared" ca="1" si="19"/>
        <v>1000000</v>
      </c>
      <c r="U37">
        <f t="shared" ca="1" si="20"/>
        <v>100</v>
      </c>
      <c r="V37">
        <f t="shared" si="21"/>
        <v>47</v>
      </c>
      <c r="W37">
        <f t="shared" ca="1" si="22"/>
        <v>156.41946099999998</v>
      </c>
      <c r="X37">
        <f t="shared" ca="1" si="23"/>
        <v>12.857002</v>
      </c>
      <c r="Y37" t="e">
        <f>GetFollowingCarRow($B$45:$E$54,L37,$E$15,E37)</f>
        <v>#VALUE!</v>
      </c>
      <c r="Z37">
        <f t="shared" ca="1" si="24"/>
        <v>1000000000</v>
      </c>
      <c r="AA37">
        <f t="shared" ca="1" si="25"/>
        <v>100</v>
      </c>
      <c r="AB37">
        <f t="shared" si="122"/>
        <v>1.7999999999999998</v>
      </c>
      <c r="AC37">
        <f t="shared" si="123"/>
        <v>10.319999999999993</v>
      </c>
      <c r="AD37">
        <f t="shared" si="124"/>
        <v>31.420930232558156</v>
      </c>
      <c r="AE37">
        <f t="shared" si="125"/>
        <v>-324.26399999999995</v>
      </c>
      <c r="AF37">
        <f t="shared" si="126"/>
        <v>10.475800685389153</v>
      </c>
      <c r="AG37">
        <f t="shared" si="127"/>
        <v>55.620538994471623</v>
      </c>
      <c r="AH37">
        <f t="shared" si="32"/>
        <v>0.68580906222909455</v>
      </c>
      <c r="AI37">
        <f>IF(G37&lt;=0,1,0)</f>
        <v>0</v>
      </c>
      <c r="AJ37">
        <f>IF(G37&lt;0,1,0)</f>
        <v>0</v>
      </c>
      <c r="AK37">
        <f>MAX(($B$3-G37)/(G37 + 1),0) / $B$3</f>
        <v>0.12739553879987434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0.01</v>
      </c>
      <c r="AP37">
        <f>Logistic(I37/$B$5)</f>
        <v>4.9999583337499692E-3</v>
      </c>
      <c r="AQ37">
        <f>IF(I37&gt;$B$5,1,0)</f>
        <v>0</v>
      </c>
      <c r="AR37">
        <f>Logistic(ABS(F37-O37)/($B$6/2))</f>
        <v>0.50982997373525663</v>
      </c>
      <c r="AS37">
        <f>IF(OR(F37&lt;M37,F37&gt;N37),1,0)</f>
        <v>1</v>
      </c>
      <c r="AT37">
        <f>ABS(K37)/$B$4</f>
        <v>3.5000000000000003E-2</v>
      </c>
      <c r="AU37">
        <f t="shared" ca="1" si="33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</v>
      </c>
      <c r="BA37">
        <f t="shared" ca="1" si="34"/>
        <v>0</v>
      </c>
      <c r="BB37">
        <f t="shared" ca="1" si="35"/>
        <v>0</v>
      </c>
      <c r="BC37">
        <f t="shared" si="36"/>
        <v>0</v>
      </c>
      <c r="BE37">
        <f t="shared" si="128"/>
        <v>0.68580906222909455</v>
      </c>
      <c r="BF37">
        <f t="shared" si="129"/>
        <v>0</v>
      </c>
      <c r="BG37">
        <f t="shared" si="130"/>
        <v>0</v>
      </c>
      <c r="BH37">
        <f t="shared" si="131"/>
        <v>0.87444610004092571</v>
      </c>
      <c r="BI37">
        <f t="shared" si="132"/>
        <v>0</v>
      </c>
      <c r="BJ37">
        <f t="shared" si="133"/>
        <v>0</v>
      </c>
      <c r="BK37">
        <f t="shared" si="134"/>
        <v>1.0112214926104486E-43</v>
      </c>
      <c r="BL37">
        <f t="shared" si="135"/>
        <v>0</v>
      </c>
      <c r="BM37">
        <f t="shared" si="136"/>
        <v>1.0112214926104486E-43</v>
      </c>
      <c r="BN37">
        <f t="shared" si="137"/>
        <v>6.25E-2</v>
      </c>
      <c r="BO37">
        <f t="shared" si="138"/>
        <v>3.5000000000000003E-2</v>
      </c>
      <c r="BP37">
        <f t="shared" si="139"/>
        <v>4.9999583337499692E-3</v>
      </c>
      <c r="BQ37">
        <f t="shared" si="140"/>
        <v>0.92491382315392923</v>
      </c>
    </row>
    <row r="38" spans="1:69" x14ac:dyDescent="0.25">
      <c r="A38" s="1" t="s">
        <v>19</v>
      </c>
      <c r="B38">
        <f t="shared" ca="1" si="2"/>
        <v>174.82868221713176</v>
      </c>
      <c r="C38" t="s">
        <v>144</v>
      </c>
      <c r="D38">
        <f>VALUE(MID(C38,FIND("#[",C38)+2,FIND("]",C38,FIND("#[",C38))-(FIND("#[",C38)+2)))</f>
        <v>134</v>
      </c>
      <c r="E38">
        <f>VALUE(MID(C38,FIND("s[",C38)+2,FIND("]",C38,FIND("s[",C38))-(FIND("s[",C38)+2)))</f>
        <v>156.08000000000001</v>
      </c>
      <c r="F38">
        <f>VALUE(MID(C38,FIND("d[",C38)+2,FIND("]",C38,FIND("d[",C38))-(FIND("d[",C38)+2)))</f>
        <v>5.26</v>
      </c>
      <c r="G38">
        <f>VALUE(MID(C38,FIND("s_dot[",C38)+6,FIND("]",C38,FIND("s_dot[",C38))-(FIND("s_dot[",C38)+6)))</f>
        <v>5.3</v>
      </c>
      <c r="H38">
        <f>VALUE(MID(C38,FIND("s_dot2[",C38)+7,FIND("]",C38,FIND("s_dot2[",C38))-(FIND("s_dot2[",C38)+7)))</f>
        <v>0</v>
      </c>
      <c r="I38">
        <f>VALUE(MID(C38,FIND("s_dot3[",C38)+7,FIND("]",C38,FIND("s_dot3[",C38))-(FIND("s_dot3[",C38)+7)))</f>
        <v>0</v>
      </c>
      <c r="J38">
        <f>VALUE(MID(C38,FIND("d_dot[",C38)+6,FIND("]",C38,FIND("d_dot[",C38))-(FIND("d_dot[",C38)+6)))</f>
        <v>0.7</v>
      </c>
      <c r="K38">
        <f>VALUE(MID(C38,FIND("d_dot2[",C38)+7,FIND("]",C38,FIND("d_dot2[",C38))-(FIND("d_dot2[",C38)+7)))</f>
        <v>7.0000000000000007E-2</v>
      </c>
      <c r="L38">
        <f>VALUE(MID(C38,FIND("-",C38)+1,FIND(")",C38,FIND("-",C38))-(FIND("-",C38)+1)))</f>
        <v>1</v>
      </c>
      <c r="M38">
        <f>$B$6*(L38-1)</f>
        <v>0</v>
      </c>
      <c r="N38">
        <f>$B$6*L38</f>
        <v>4</v>
      </c>
      <c r="O38">
        <f>(N38+M38)/2</f>
        <v>2</v>
      </c>
      <c r="P38">
        <f t="shared" si="5"/>
        <v>47</v>
      </c>
      <c r="Q38">
        <f t="shared" ca="1" si="16"/>
        <v>166.73946099999998</v>
      </c>
      <c r="R38">
        <f t="shared" ca="1" si="17"/>
        <v>12.857002</v>
      </c>
      <c r="S38" t="e">
        <f t="shared" si="18"/>
        <v>#VALUE!</v>
      </c>
      <c r="T38">
        <f t="shared" ca="1" si="19"/>
        <v>1000000</v>
      </c>
      <c r="U38">
        <f t="shared" ca="1" si="20"/>
        <v>100</v>
      </c>
      <c r="V38">
        <f t="shared" si="21"/>
        <v>47</v>
      </c>
      <c r="W38">
        <f t="shared" ca="1" si="22"/>
        <v>156.11946099999997</v>
      </c>
      <c r="X38">
        <f t="shared" ca="1" si="23"/>
        <v>12.857002</v>
      </c>
      <c r="Y38" t="e">
        <f>GetFollowingCarRow($B$45:$E$54,L38,$E$15,E38)</f>
        <v>#VALUE!</v>
      </c>
      <c r="Z38">
        <f t="shared" ca="1" si="24"/>
        <v>1000000000</v>
      </c>
      <c r="AA38">
        <f t="shared" ca="1" si="25"/>
        <v>100</v>
      </c>
      <c r="AB38">
        <f>$F$15-F38</f>
        <v>0.79</v>
      </c>
      <c r="AC38">
        <f>E38-$E$15</f>
        <v>10.620000000000005</v>
      </c>
      <c r="AD38">
        <f>$F$15-(-AB38/AC38)*$E$15</f>
        <v>16.870470809792838</v>
      </c>
      <c r="AE38">
        <f>AD38*-AC38</f>
        <v>-179.16440000000003</v>
      </c>
      <c r="AF38">
        <f>SQRT(AB38^2+AC38^2)</f>
        <v>10.649342702721144</v>
      </c>
      <c r="AG38">
        <f>GetSmallestNormalDistance($B$45:$E$56,AB38,AC38,AF38,$L$15,L38)</f>
        <v>25.161203483622774</v>
      </c>
      <c r="AH38">
        <f t="shared" si="32"/>
        <v>0.68580906222909455</v>
      </c>
      <c r="AI38">
        <f>IF(G38&lt;=0,1,0)</f>
        <v>0</v>
      </c>
      <c r="AJ38">
        <f>IF(G38&lt;0,1,0)</f>
        <v>0</v>
      </c>
      <c r="AK38">
        <f>MAX(($B$3-G38)/(G38 + 1),0) / $B$3</f>
        <v>0.11908502012177789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0</v>
      </c>
      <c r="AP38">
        <f>Logistic(I38/$B$5)</f>
        <v>0</v>
      </c>
      <c r="AQ38">
        <f>IF(I38&gt;$B$5,1,0)</f>
        <v>0</v>
      </c>
      <c r="AR38">
        <f>Logistic(ABS(F38-O38)/($B$6/2))</f>
        <v>0.67233927755328216</v>
      </c>
      <c r="AS38">
        <f>IF(OR(F38&lt;M38,F38&gt;N38),1,0)</f>
        <v>1</v>
      </c>
      <c r="AT38">
        <f>ABS(K38)/$B$4</f>
        <v>8.7500000000000008E-3</v>
      </c>
      <c r="AU38">
        <f t="shared" ca="1" si="33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34"/>
        <v>0</v>
      </c>
      <c r="BB38">
        <f t="shared" ca="1" si="35"/>
        <v>0</v>
      </c>
      <c r="BC38">
        <f t="shared" si="36"/>
        <v>0</v>
      </c>
      <c r="BE38">
        <f>Logistic((D38-$B$2)/$B$2)</f>
        <v>0.68580906222909455</v>
      </c>
      <c r="BF38">
        <f>IF(G38&lt;=0,1,0)</f>
        <v>0</v>
      </c>
      <c r="BG38">
        <f>IF(G38&lt;0,1,0)</f>
        <v>0</v>
      </c>
      <c r="BH38">
        <f>Logistic(($B$3-G38)/(G38+1))</f>
        <v>0.85202397963098109</v>
      </c>
      <c r="BI38">
        <f>IF(G38&gt;$B$3,1,0)</f>
        <v>0</v>
      </c>
      <c r="BJ38">
        <f>IF(H38&gt;$B$5,1,0)</f>
        <v>0</v>
      </c>
      <c r="BK38">
        <f>EXP(-($B$4-ABS(H38))/MAX(ABS(H38),0.000000001))</f>
        <v>0</v>
      </c>
      <c r="BL38">
        <f>IF(G38&lt;ABS(H38),1,0)</f>
        <v>0</v>
      </c>
      <c r="BM38">
        <f>EXP(-($B$5-I38)/MAX(I38,0.000000001))</f>
        <v>0</v>
      </c>
      <c r="BN38">
        <f>IF(F38&gt;N38,(F38-N38)/$B$6,0)+IF(F38&lt;M38,(M38-F38)/$B$6,0)</f>
        <v>0.31499999999999995</v>
      </c>
      <c r="BO38">
        <f>ABS(K38/$B$4)</f>
        <v>8.7500000000000008E-3</v>
      </c>
      <c r="BP38">
        <f>Logistic(ABS(H38)/$B$4)</f>
        <v>0</v>
      </c>
      <c r="BQ38">
        <f>Logistic(($B$3-G38)/G38)</f>
        <v>0.90548862786321083</v>
      </c>
    </row>
    <row r="39" spans="1:69" x14ac:dyDescent="0.25">
      <c r="A39" s="1" t="s">
        <v>18</v>
      </c>
      <c r="B39">
        <f t="shared" ca="1" si="2"/>
        <v>175.1611029642556</v>
      </c>
      <c r="C39" t="s">
        <v>143</v>
      </c>
      <c r="D39">
        <f>VALUE(MID(C39,FIND("#[",C39)+2,FIND("]",C39,FIND("#[",C39))-(FIND("#[",C39)+2)))</f>
        <v>134</v>
      </c>
      <c r="E39">
        <f>VALUE(MID(C39,FIND("s[",C39)+2,FIND("]",C39,FIND("s[",C39))-(FIND("s[",C39)+2)))</f>
        <v>156.03</v>
      </c>
      <c r="F39">
        <f>VALUE(MID(C39,FIND("d[",C39)+2,FIND("]",C39,FIND("d[",C39))-(FIND("d[",C39)+2)))</f>
        <v>4.97</v>
      </c>
      <c r="G39">
        <f>VALUE(MID(C39,FIND("s_dot[",C39)+6,FIND("]",C39,FIND("s_dot[",C39))-(FIND("s_dot[",C39)+6)))</f>
        <v>5.25</v>
      </c>
      <c r="H39">
        <f>VALUE(MID(C39,FIND("s_dot2[",C39)+7,FIND("]",C39,FIND("s_dot2[",C39))-(FIND("s_dot2[",C39)+7)))</f>
        <v>-0.02</v>
      </c>
      <c r="I39">
        <f>VALUE(MID(C39,FIND("s_dot3[",C39)+7,FIND("]",C39,FIND("s_dot3[",C39))-(FIND("s_dot3[",C39)+7)))</f>
        <v>0.01</v>
      </c>
      <c r="J39">
        <f>VALUE(MID(C39,FIND("d_dot[",C39)+6,FIND("]",C39,FIND("d_dot[",C39))-(FIND("d_dot[",C39)+6)))</f>
        <v>0.93</v>
      </c>
      <c r="K39">
        <f>VALUE(MID(C39,FIND("d_dot2[",C39)+7,FIND("]",C39,FIND("d_dot2[",C39))-(FIND("d_dot2[",C39)+7)))</f>
        <v>0.13</v>
      </c>
      <c r="L39">
        <f>VALUE(MID(C39,FIND("-",C39)+1,FIND(")",C39,FIND("-",C39))-(FIND("-",C39)+1)))</f>
        <v>1</v>
      </c>
      <c r="M39">
        <f>$B$6*(L39-1)</f>
        <v>0</v>
      </c>
      <c r="N39">
        <f>$B$6*L39</f>
        <v>4</v>
      </c>
      <c r="O39">
        <f>(N39+M39)/2</f>
        <v>2</v>
      </c>
      <c r="P39">
        <f t="shared" si="5"/>
        <v>47</v>
      </c>
      <c r="Q39">
        <f t="shared" ca="1" si="16"/>
        <v>166.73946099999998</v>
      </c>
      <c r="R39">
        <f t="shared" ca="1" si="17"/>
        <v>12.857002</v>
      </c>
      <c r="S39" t="e">
        <f t="shared" si="18"/>
        <v>#VALUE!</v>
      </c>
      <c r="T39">
        <f t="shared" ca="1" si="19"/>
        <v>1000000</v>
      </c>
      <c r="U39">
        <f t="shared" ca="1" si="20"/>
        <v>100</v>
      </c>
      <c r="V39">
        <f t="shared" si="21"/>
        <v>47</v>
      </c>
      <c r="W39">
        <f t="shared" ca="1" si="22"/>
        <v>156.16946099999998</v>
      </c>
      <c r="X39">
        <f t="shared" ca="1" si="23"/>
        <v>12.857002</v>
      </c>
      <c r="Y39" t="e">
        <f>GetFollowingCarRow($B$45:$E$54,L39,$E$15,E39)</f>
        <v>#VALUE!</v>
      </c>
      <c r="Z39">
        <f t="shared" ca="1" si="24"/>
        <v>1000000000</v>
      </c>
      <c r="AA39">
        <f t="shared" ca="1" si="25"/>
        <v>100</v>
      </c>
      <c r="AB39">
        <f>$F$15-F39</f>
        <v>1.08</v>
      </c>
      <c r="AC39">
        <f>E39-$E$15</f>
        <v>10.569999999999993</v>
      </c>
      <c r="AD39">
        <f>$F$15-(-AB39/AC39)*$E$15</f>
        <v>20.912516556291401</v>
      </c>
      <c r="AE39">
        <f>AD39*-AC39</f>
        <v>-221.04529999999997</v>
      </c>
      <c r="AF39">
        <f>SQRT(AB39^2+AC39^2)</f>
        <v>10.625031764658393</v>
      </c>
      <c r="AG39">
        <f>GetSmallestNormalDistance($B$45:$E$56,AB39,AC39,AF39,$L$15,L39)</f>
        <v>33.730513756400292</v>
      </c>
      <c r="AH39">
        <f t="shared" si="32"/>
        <v>0.68580906222909455</v>
      </c>
      <c r="AI39">
        <f>IF(G39&lt;=0,1,0)</f>
        <v>0</v>
      </c>
      <c r="AJ39">
        <f>IF(G39&lt;0,1,0)</f>
        <v>0</v>
      </c>
      <c r="AK39">
        <f>MAX(($B$3-G39)/(G39 + 1),0) / $B$3</f>
        <v>0.12041470311027332</v>
      </c>
      <c r="AL39">
        <f>IF(H39+ABS(K39)&lt;0,Logistic(SQRT(H39^2+K39^2)/$B$4),0)</f>
        <v>0</v>
      </c>
      <c r="AM39">
        <f>IF(G39&gt;$B$3,1,0)</f>
        <v>0</v>
      </c>
      <c r="AN39">
        <f>IF(H39&gt;$B$4,1,0)</f>
        <v>0</v>
      </c>
      <c r="AO39">
        <f>ABS(H39)/$B$4</f>
        <v>2.5000000000000001E-3</v>
      </c>
      <c r="AP39">
        <f>Logistic(I39/$B$5)</f>
        <v>6.2499991861977931E-4</v>
      </c>
      <c r="AQ39">
        <f>IF(I39&gt;$B$5,1,0)</f>
        <v>0</v>
      </c>
      <c r="AR39">
        <f>Logistic(ABS(F39-O39)/($B$6/2))</f>
        <v>0.63065322720616579</v>
      </c>
      <c r="AS39">
        <f>IF(OR(F39&lt;M39,F39&gt;N39),1,0)</f>
        <v>1</v>
      </c>
      <c r="AT39">
        <f>ABS(K39)/$B$4</f>
        <v>1.6250000000000001E-2</v>
      </c>
      <c r="AU39">
        <f t="shared" ca="1" si="33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</v>
      </c>
      <c r="BA39">
        <f t="shared" ca="1" si="34"/>
        <v>0</v>
      </c>
      <c r="BB39">
        <f t="shared" ca="1" si="35"/>
        <v>0</v>
      </c>
      <c r="BC39">
        <f t="shared" si="36"/>
        <v>0</v>
      </c>
      <c r="BE39">
        <f>Logistic((D39-$B$2)/$B$2)</f>
        <v>0.68580906222909455</v>
      </c>
      <c r="BF39">
        <f>IF(G39&lt;=0,1,0)</f>
        <v>0</v>
      </c>
      <c r="BG39">
        <f>IF(G39&lt;0,1,0)</f>
        <v>0</v>
      </c>
      <c r="BH39">
        <f>Logistic(($B$3-G39)/(G39+1))</f>
        <v>0.85584415897192057</v>
      </c>
      <c r="BI39">
        <f>IF(G39&gt;$B$3,1,0)</f>
        <v>0</v>
      </c>
      <c r="BJ39">
        <f>IF(H39&gt;$B$5,1,0)</f>
        <v>0</v>
      </c>
      <c r="BK39">
        <f>EXP(-($B$4-ABS(H39))/MAX(ABS(H39),0.000000001))</f>
        <v>5.2059707131649192E-174</v>
      </c>
      <c r="BL39">
        <f>IF(G39&lt;ABS(H39),1,0)</f>
        <v>0</v>
      </c>
      <c r="BM39">
        <f>EXP(-($B$5-I39)/MAX(I39,0.000000001))</f>
        <v>0</v>
      </c>
      <c r="BN39">
        <f>IF(F39&gt;N39,(F39-N39)/$B$6,0)+IF(F39&lt;M39,(M39-F39)/$B$6,0)</f>
        <v>0.24249999999999994</v>
      </c>
      <c r="BO39">
        <f>ABS(K39/$B$4)</f>
        <v>1.6250000000000001E-2</v>
      </c>
      <c r="BP39">
        <f>Logistic(ABS(H39)/$B$4)</f>
        <v>1.2499993489587598E-3</v>
      </c>
      <c r="BQ39">
        <f>Logistic(($B$3-G39)/G39)</f>
        <v>0.90886348493279323</v>
      </c>
    </row>
    <row r="40" spans="1:69" x14ac:dyDescent="0.25">
      <c r="A40" s="1" t="s">
        <v>17</v>
      </c>
      <c r="B40">
        <f t="shared" ca="1" si="2"/>
        <v>176.90631188665586</v>
      </c>
      <c r="C40" t="s">
        <v>142</v>
      </c>
      <c r="D40">
        <f>VALUE(MID(C40,FIND("#[",C40)+2,FIND("]",C40,FIND("#[",C40))-(FIND("#[",C40)+2)))</f>
        <v>134</v>
      </c>
      <c r="E40">
        <f>VALUE(MID(C40,FIND("s[",C40)+2,FIND("]",C40,FIND("s[",C40))-(FIND("s[",C40)+2)))</f>
        <v>155.78</v>
      </c>
      <c r="F40">
        <f>VALUE(MID(C40,FIND("d[",C40)+2,FIND("]",C40,FIND("d[",C40))-(FIND("d[",C40)+2)))</f>
        <v>4.25</v>
      </c>
      <c r="G40">
        <f>VALUE(MID(C40,FIND("s_dot[",C40)+6,FIND("]",C40,FIND("s_dot[",C40))-(FIND("s_dot[",C40)+6)))</f>
        <v>5</v>
      </c>
      <c r="H40">
        <f>VALUE(MID(C40,FIND("s_dot2[",C40)+7,FIND("]",C40,FIND("s_dot2[",C40))-(FIND("s_dot2[",C40)+7)))</f>
        <v>-0.08</v>
      </c>
      <c r="I40">
        <f>VALUE(MID(C40,FIND("s_dot3[",C40)+7,FIND("]",C40,FIND("s_dot3[",C40))-(FIND("s_dot3[",C40)+7)))</f>
        <v>0.08</v>
      </c>
      <c r="J40">
        <f>VALUE(MID(C40,FIND("d_dot[",C40)+6,FIND("]",C40,FIND("d_dot[",C40))-(FIND("d_dot[",C40)+6)))</f>
        <v>1.46</v>
      </c>
      <c r="K40">
        <f>VALUE(MID(C40,FIND("d_dot2[",C40)+7,FIND("]",C40,FIND("d_dot2[",C40))-(FIND("d_dot2[",C40)+7)))</f>
        <v>0.28000000000000003</v>
      </c>
      <c r="L40">
        <f>VALUE(MID(C40,FIND("-",C40)+1,FIND(")",C40,FIND("-",C40))-(FIND("-",C40)+1)))</f>
        <v>1</v>
      </c>
      <c r="M40">
        <f>$B$6*(L40-1)</f>
        <v>0</v>
      </c>
      <c r="N40">
        <f>$B$6*L40</f>
        <v>4</v>
      </c>
      <c r="O40">
        <f>(N40+M40)/2</f>
        <v>2</v>
      </c>
      <c r="P40">
        <f t="shared" si="5"/>
        <v>47</v>
      </c>
      <c r="Q40">
        <f t="shared" ca="1" si="16"/>
        <v>166.73946099999998</v>
      </c>
      <c r="R40">
        <f t="shared" ca="1" si="17"/>
        <v>12.857002</v>
      </c>
      <c r="S40" t="e">
        <f t="shared" si="18"/>
        <v>#VALUE!</v>
      </c>
      <c r="T40">
        <f t="shared" ca="1" si="19"/>
        <v>1000000</v>
      </c>
      <c r="U40">
        <f t="shared" ca="1" si="20"/>
        <v>100</v>
      </c>
      <c r="V40">
        <f t="shared" si="21"/>
        <v>47</v>
      </c>
      <c r="W40">
        <f t="shared" ca="1" si="22"/>
        <v>156.41946099999998</v>
      </c>
      <c r="X40">
        <f t="shared" ca="1" si="23"/>
        <v>12.857002</v>
      </c>
      <c r="Y40" t="e">
        <f>GetFollowingCarRow($B$45:$E$54,L40,$E$15,E40)</f>
        <v>#VALUE!</v>
      </c>
      <c r="Z40">
        <f t="shared" ca="1" si="24"/>
        <v>1000000000</v>
      </c>
      <c r="AA40">
        <f t="shared" ca="1" si="25"/>
        <v>100</v>
      </c>
      <c r="AB40">
        <f>$F$15-F40</f>
        <v>1.7999999999999998</v>
      </c>
      <c r="AC40">
        <f>E40-$E$15</f>
        <v>10.319999999999993</v>
      </c>
      <c r="AD40">
        <f>$F$15-(-AB40/AC40)*$E$15</f>
        <v>31.420930232558156</v>
      </c>
      <c r="AE40">
        <f>AD40*-AC40</f>
        <v>-324.26399999999995</v>
      </c>
      <c r="AF40">
        <f>SQRT(AB40^2+AC40^2)</f>
        <v>10.475800685389153</v>
      </c>
      <c r="AG40">
        <f>GetSmallestNormalDistance($B$45:$E$56,AB40,AC40,AF40,$L$15,L40)</f>
        <v>55.620538994471623</v>
      </c>
      <c r="AH40">
        <f t="shared" si="32"/>
        <v>0.68580906222909455</v>
      </c>
      <c r="AI40">
        <f>IF(G40&lt;=0,1,0)</f>
        <v>0</v>
      </c>
      <c r="AJ40">
        <f>IF(G40&lt;0,1,0)</f>
        <v>0</v>
      </c>
      <c r="AK40">
        <f>MAX(($B$3-G40)/(G40 + 1),0) / $B$3</f>
        <v>0.12739553879987434</v>
      </c>
      <c r="AL40">
        <f>IF(H40+ABS(K40)&lt;0,Logistic(SQRT(H40^2+K40^2)/$B$4),0)</f>
        <v>0</v>
      </c>
      <c r="AM40">
        <f>IF(G40&gt;$B$3,1,0)</f>
        <v>0</v>
      </c>
      <c r="AN40">
        <f>IF(H40&gt;$B$4,1,0)</f>
        <v>0</v>
      </c>
      <c r="AO40">
        <f>ABS(H40)/$B$4</f>
        <v>0.01</v>
      </c>
      <c r="AP40">
        <f>Logistic(I40/$B$5)</f>
        <v>4.9999583337499692E-3</v>
      </c>
      <c r="AQ40">
        <f>IF(I40&gt;$B$5,1,0)</f>
        <v>0</v>
      </c>
      <c r="AR40">
        <f>Logistic(ABS(F40-O40)/($B$6/2))</f>
        <v>0.50982997373525663</v>
      </c>
      <c r="AS40">
        <f>IF(OR(F40&lt;M40,F40&gt;N40),1,0)</f>
        <v>1</v>
      </c>
      <c r="AT40">
        <f>ABS(K40)/$B$4</f>
        <v>3.5000000000000003E-2</v>
      </c>
      <c r="AU40">
        <f t="shared" ca="1" si="33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</v>
      </c>
      <c r="BA40">
        <f t="shared" ca="1" si="34"/>
        <v>0</v>
      </c>
      <c r="BB40">
        <f t="shared" ca="1" si="35"/>
        <v>0</v>
      </c>
      <c r="BC40">
        <f t="shared" si="36"/>
        <v>0</v>
      </c>
      <c r="BE40">
        <f>Logistic((D40-$B$2)/$B$2)</f>
        <v>0.68580906222909455</v>
      </c>
      <c r="BF40">
        <f>IF(G40&lt;=0,1,0)</f>
        <v>0</v>
      </c>
      <c r="BG40">
        <f>IF(G40&lt;0,1,0)</f>
        <v>0</v>
      </c>
      <c r="BH40">
        <f>Logistic(($B$3-G40)/(G40+1))</f>
        <v>0.87444610004092571</v>
      </c>
      <c r="BI40">
        <f>IF(G40&gt;$B$3,1,0)</f>
        <v>0</v>
      </c>
      <c r="BJ40">
        <f>IF(H40&gt;$B$5,1,0)</f>
        <v>0</v>
      </c>
      <c r="BK40">
        <f>EXP(-($B$4-ABS(H40))/MAX(ABS(H40),0.000000001))</f>
        <v>1.0112214926104486E-43</v>
      </c>
      <c r="BL40">
        <f>IF(G40&lt;ABS(H40),1,0)</f>
        <v>0</v>
      </c>
      <c r="BM40">
        <f>EXP(-($B$5-I40)/MAX(I40,0.000000001))</f>
        <v>1.0112214926104486E-43</v>
      </c>
      <c r="BN40">
        <f>IF(F40&gt;N40,(F40-N40)/$B$6,0)+IF(F40&lt;M40,(M40-F40)/$B$6,0)</f>
        <v>6.25E-2</v>
      </c>
      <c r="BO40">
        <f>ABS(K40/$B$4)</f>
        <v>3.5000000000000003E-2</v>
      </c>
      <c r="BP40">
        <f>Logistic(ABS(H40)/$B$4)</f>
        <v>4.9999583337499692E-3</v>
      </c>
      <c r="BQ40">
        <f>Logistic(($B$3-G40)/G40)</f>
        <v>0.92491382315392923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169.668903</v>
      </c>
      <c r="C45">
        <v>10.171900000000001</v>
      </c>
      <c r="D45">
        <v>21.101621999999999</v>
      </c>
      <c r="E45">
        <v>3</v>
      </c>
    </row>
    <row r="46" spans="1:69" x14ac:dyDescent="0.25">
      <c r="B46">
        <v>312.97964300000001</v>
      </c>
      <c r="C46">
        <v>10.133150000000001</v>
      </c>
      <c r="D46">
        <v>17.417121000000002</v>
      </c>
      <c r="E46">
        <v>3</v>
      </c>
    </row>
    <row r="47" spans="1:69" x14ac:dyDescent="0.25">
      <c r="B47">
        <v>312.19946099999999</v>
      </c>
      <c r="C47">
        <v>2.0068459999999999</v>
      </c>
      <c r="D47">
        <v>12.857002</v>
      </c>
      <c r="E47">
        <v>1</v>
      </c>
    </row>
    <row r="48" spans="1:69" x14ac:dyDescent="0.25">
      <c r="B48">
        <v>89.074736999999999</v>
      </c>
      <c r="C48">
        <v>9.9908920000000006</v>
      </c>
      <c r="D48">
        <v>19.481217000000001</v>
      </c>
      <c r="E48">
        <v>3</v>
      </c>
    </row>
    <row r="49" spans="2:5" x14ac:dyDescent="0.25">
      <c r="B49">
        <v>326.27715599999999</v>
      </c>
      <c r="C49">
        <v>1.3180829999999999</v>
      </c>
      <c r="D49">
        <v>17.114494000000001</v>
      </c>
      <c r="E49">
        <v>1</v>
      </c>
    </row>
    <row r="50" spans="2:5" x14ac:dyDescent="0.25">
      <c r="B50">
        <v>298.87373600000001</v>
      </c>
      <c r="C50">
        <v>10.037839999999999</v>
      </c>
      <c r="D50">
        <v>15.480347999999999</v>
      </c>
      <c r="E50">
        <v>3</v>
      </c>
    </row>
  </sheetData>
  <mergeCells count="4">
    <mergeCell ref="A1:B1"/>
    <mergeCell ref="B43:E43"/>
    <mergeCell ref="BE12:BO12"/>
    <mergeCell ref="AH12:BB12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:BQ56"/>
  <sheetViews>
    <sheetView topLeftCell="A11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1406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3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166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335.26</v>
      </c>
      <c r="F15">
        <f>VALUE(MID(C15,FIND("d[",C15)+2,FIND("]",C15,FIND("d[",C15))-(FIND("d[",C15)+2)))</f>
        <v>10.07</v>
      </c>
      <c r="G15">
        <f>VALUE(MID(C15,FIND("s_dot[",C15)+6,FIND("]",C15,FIND("s_dot[",C15))-(FIND("s_dot[",C15)+6)))</f>
        <v>17.809999999999999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3</v>
      </c>
      <c r="M15">
        <f t="shared" ref="M15:M40" si="0">$B$6*(L15-1)</f>
        <v>8</v>
      </c>
      <c r="N15">
        <f t="shared" ref="N15:N34" si="1">$B$6*L15</f>
        <v>12</v>
      </c>
      <c r="O15">
        <f>(N15+M15)/2</f>
        <v>10</v>
      </c>
      <c r="P15">
        <f>GetLeadingCarRow($B$45:$E$56,L15,$E$15, $E$15)</f>
        <v>50</v>
      </c>
      <c r="Q15">
        <f ca="1">IFERROR(INDIRECT(CONCATENATE("B", P15))-$E$15,1000000)</f>
        <v>141.69060400000001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2.4924532626470155</v>
      </c>
      <c r="C16" t="s">
        <v>182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339.42</v>
      </c>
      <c r="F16">
        <f>VALUE(MID(C16,FIND("d[",C16)+2,FIND("]",C16,FIND("d[",C16))-(FIND("d[",C16)+2)))</f>
        <v>9.9499999999999993</v>
      </c>
      <c r="G16">
        <f>VALUE(MID(C16,FIND("s_dot[",C16)+6,FIND("]",C16,FIND("s_dot[",C16))-(FIND("s_dot[",C16)+6)))</f>
        <v>17.34</v>
      </c>
      <c r="H16">
        <f>VALUE(MID(C16,FIND("s_dot2[",C16)+7,FIND("]",C16,FIND("s_dot2[",C16))-(FIND("s_dot2[",C16)+7)))</f>
        <v>-1.96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34" si="3">VALUE(MID(C16,FIND("-",C16)+1,FIND(")",C16,FIND("-",C16))-(FIND("-",C16)+1)))</f>
        <v>3</v>
      </c>
      <c r="M16">
        <f t="shared" si="0"/>
        <v>8</v>
      </c>
      <c r="N16">
        <f t="shared" si="1"/>
        <v>12</v>
      </c>
      <c r="O16">
        <f t="shared" ref="O16:O34" si="4">(N16+M16)/2</f>
        <v>10</v>
      </c>
      <c r="P16">
        <f t="shared" ref="P16:P40" si="5">GetLeadingCarRow($B$45:$E$56,L16,$E$15, $E$15)</f>
        <v>50</v>
      </c>
      <c r="Q16">
        <f ca="1">IFERROR(INDIRECT(CONCATENATE("B", P16))-$E$15,1000000)</f>
        <v>141.69060400000001</v>
      </c>
      <c r="R16">
        <f ca="1">IFERROR(INDIRECT(CONCATENATE("D", P16)),100)</f>
        <v>17.440681000000001</v>
      </c>
      <c r="S16">
        <f>GetFollowingCarRow($B$45:$E$56,L16,$E$15, $E$15)</f>
        <v>46</v>
      </c>
      <c r="T16">
        <f ca="1">IFERROR(INDIRECT(CONCATENATE("B", S16))-$E$15,1000000)</f>
        <v>-24.926332000000002</v>
      </c>
      <c r="U16">
        <f ca="1">IFERROR(INDIRECT(CONCATENATE("D", S16)),100)</f>
        <v>17.400632000000002</v>
      </c>
      <c r="V16">
        <f>GetLeadingCarRow($B$45:$E$56,L16,$E$15,E16)</f>
        <v>50</v>
      </c>
      <c r="W16">
        <f ca="1">IFERROR(INDIRECT(CONCATENATE("B", V16))-E16,1000000000)</f>
        <v>137.53060399999998</v>
      </c>
      <c r="X16">
        <f ca="1">IFERROR(INDIRECT(CONCATENATE("D", V16)),100)</f>
        <v>17.440681000000001</v>
      </c>
      <c r="Y16">
        <f>GetFollowingCarRow($B$45:$E$56,L16,$E$15,E16)</f>
        <v>46</v>
      </c>
      <c r="Z16">
        <f ca="1">IFERROR(INDIRECT(CONCATENATE("B", Y16))-E16,1000000000)</f>
        <v>-29.086332000000027</v>
      </c>
      <c r="AA16">
        <f ca="1">IFERROR(INDIRECT(CONCATENATE("D", Y16)),100)</f>
        <v>17.400632000000002</v>
      </c>
      <c r="AB16">
        <f>$F$15-F16</f>
        <v>0.12000000000000099</v>
      </c>
      <c r="AC16">
        <f>E16-$E$15</f>
        <v>4.160000000000025</v>
      </c>
      <c r="AD16">
        <f>$F$15-(-AB16/AC16)*$E$15</f>
        <v>19.740961538461562</v>
      </c>
      <c r="AE16">
        <f>AD16*-AC16</f>
        <v>-82.122400000000596</v>
      </c>
      <c r="AF16">
        <f>SQRT(AB16^2+AC16^2)</f>
        <v>4.1617304093369878</v>
      </c>
      <c r="AG16">
        <f>GetSmallestNormalDistance($B$45:$E$56,AB16,AC16,AF16,$L$15,L16)</f>
        <v>17.381432203707931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9.9698130505880625E-3</v>
      </c>
      <c r="AL16">
        <f>IF(H16+ABS(K16)&lt;0,Logistic(SQRT(H16^2+K16^2)/$B$4),0)</f>
        <v>0.12189090064943242</v>
      </c>
      <c r="AM16">
        <f>IF(G16&gt;$B$3,1,0)</f>
        <v>0</v>
      </c>
      <c r="AN16">
        <f>IF(H16&gt;$B$4,1,0)</f>
        <v>0</v>
      </c>
      <c r="AO16">
        <f>ABS(H16)/$B$4</f>
        <v>0.245</v>
      </c>
      <c r="AP16">
        <f>Logistic(I16/$B$5)</f>
        <v>0.12435300177159621</v>
      </c>
      <c r="AQ16">
        <f>IF(I16&gt;$B$5,1,0)</f>
        <v>0</v>
      </c>
      <c r="AR16">
        <f>Logistic(ABS(F16-O16)/($B$6/2))</f>
        <v>1.2499348999021062E-2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>Logistic((D16-$B$2)/$B$2)</f>
        <v>0</v>
      </c>
      <c r="BF16">
        <f>IF(G16&lt;=0,1,0)</f>
        <v>0</v>
      </c>
      <c r="BG16">
        <f>IF(G16&lt;0,1,0)</f>
        <v>0</v>
      </c>
      <c r="BH16">
        <f>Logistic(($B$3-G16)/(G16+1))</f>
        <v>0.1053869389751748</v>
      </c>
      <c r="BI16">
        <f>IF(G16&gt;$B$3,1,0)</f>
        <v>0</v>
      </c>
      <c r="BJ16">
        <f>IF(H16&gt;$B$5,1,0)</f>
        <v>0</v>
      </c>
      <c r="BK16">
        <f>EXP(-($B$4-ABS(H16))/MAX(ABS(H16),0.000000001))</f>
        <v>4.5884282348149494E-2</v>
      </c>
      <c r="BL16">
        <f>IF(G16&lt;ABS(H16),1,0)</f>
        <v>0</v>
      </c>
      <c r="BM16">
        <f>EXP(-($B$5-I16)/MAX(I16,0.000000001))</f>
        <v>4.9787068367863944E-2</v>
      </c>
      <c r="BN16">
        <f>IF(F16&gt;N16,(F16-N16)/$B$6,0)+IF(F16&lt;M16,(M16-F16)/$B$6,0)</f>
        <v>0</v>
      </c>
      <c r="BO16">
        <f>ABS(K16/$B$4)</f>
        <v>0</v>
      </c>
      <c r="BP16">
        <f t="shared" ref="BP16:BP34" si="7">Logistic(ABS(H16)/$B$4)</f>
        <v>0.12189090064943242</v>
      </c>
      <c r="BQ16">
        <f>Logistic(($B$3-G16)/G16)</f>
        <v>0.11141556534383065</v>
      </c>
    </row>
    <row r="17" spans="1:69" x14ac:dyDescent="0.25">
      <c r="A17" s="1" t="s">
        <v>15</v>
      </c>
      <c r="B17">
        <f t="shared" ca="1" si="2"/>
        <v>2.3080770522355891</v>
      </c>
      <c r="C17" t="s">
        <v>181</v>
      </c>
      <c r="D17">
        <f t="shared" ref="D17:D34" si="8">VALUE(MID(C17,FIND("#[",C17)+2,FIND("]",C17,FIND("#[",C17))-(FIND("#[",C17)+2)))</f>
        <v>50</v>
      </c>
      <c r="E17">
        <f t="shared" ref="E17:E34" si="9">VALUE(MID(C17,FIND("s[",C17)+2,FIND("]",C17,FIND("s[",C17))-(FIND("s[",C17)+2)))</f>
        <v>339.48</v>
      </c>
      <c r="F17">
        <f t="shared" ref="F17:F34" si="10">VALUE(MID(C17,FIND("d[",C17)+2,FIND("]",C17,FIND("d[",C17))-(FIND("d[",C17)+2)))</f>
        <v>9.9499999999999993</v>
      </c>
      <c r="G17">
        <f t="shared" ref="G17:G34" si="11">VALUE(MID(C17,FIND("s_dot[",C17)+6,FIND("]",C17,FIND("s_dot[",C17))-(FIND("s_dot[",C17)+6)))</f>
        <v>17.579999999999998</v>
      </c>
      <c r="H17">
        <f t="shared" ref="H17:H34" si="12">VALUE(MID(C17,FIND("s_dot2[",C17)+7,FIND("]",C17,FIND("s_dot2[",C17))-(FIND("s_dot2[",C17)+7)))</f>
        <v>-0.96</v>
      </c>
      <c r="I17">
        <f t="shared" ref="I17:I34" si="13">VALUE(MID(C17,FIND("s_dot3[",C17)+7,FIND("]",C17,FIND("s_dot3[",C17))-(FIND("s_dot3[",C17)+7)))</f>
        <v>1</v>
      </c>
      <c r="J17">
        <f t="shared" ref="J17:J34" si="14">VALUE(MID(C17,FIND("d_dot[",C17)+6,FIND("]",C17,FIND("d_dot[",C17))-(FIND("d_dot[",C17)+6)))</f>
        <v>0</v>
      </c>
      <c r="K17">
        <f t="shared" ref="K17:K34" si="15">VALUE(MID(C17,FIND("d_dot2[",C17)+7,FIND("]",C17,FIND("d_dot2[",C17))-(FIND("d_dot2[",C17)+7)))</f>
        <v>0</v>
      </c>
      <c r="L17">
        <f t="shared" si="3"/>
        <v>3</v>
      </c>
      <c r="M17">
        <f t="shared" si="0"/>
        <v>8</v>
      </c>
      <c r="N17">
        <f t="shared" si="1"/>
        <v>12</v>
      </c>
      <c r="O17">
        <f t="shared" si="4"/>
        <v>10</v>
      </c>
      <c r="P17">
        <f t="shared" si="5"/>
        <v>50</v>
      </c>
      <c r="Q17">
        <f t="shared" ref="Q17:Q40" ca="1" si="16">IFERROR(INDIRECT(CONCATENATE("B", P17))-$E$15,1000000)</f>
        <v>141.69060400000001</v>
      </c>
      <c r="R17">
        <f t="shared" ref="R17:R40" ca="1" si="17">IFERROR(INDIRECT(CONCATENATE("D", P17)),100)</f>
        <v>17.440681000000001</v>
      </c>
      <c r="S17">
        <f t="shared" ref="S17:S40" si="18">GetFollowingCarRow($B$45:$E$56,L17,$E$15, $E$15)</f>
        <v>46</v>
      </c>
      <c r="T17">
        <f t="shared" ref="T17:T40" ca="1" si="19">IFERROR(INDIRECT(CONCATENATE("B", S17))-$E$15,1000000)</f>
        <v>-24.926332000000002</v>
      </c>
      <c r="U17">
        <f t="shared" ref="U17:U40" ca="1" si="20">IFERROR(INDIRECT(CONCATENATE("D", S17)),100)</f>
        <v>17.400632000000002</v>
      </c>
      <c r="V17">
        <f t="shared" ref="V17:V40" si="21">GetLeadingCarRow($B$45:$E$56,L17,$E$15,E17)</f>
        <v>50</v>
      </c>
      <c r="W17">
        <f t="shared" ref="W17:W40" ca="1" si="22">IFERROR(INDIRECT(CONCATENATE("B", V17))-E17,1000000000)</f>
        <v>137.47060399999998</v>
      </c>
      <c r="X17">
        <f t="shared" ref="X17:X40" ca="1" si="23">IFERROR(INDIRECT(CONCATENATE("D", V17)),100)</f>
        <v>17.440681000000001</v>
      </c>
      <c r="Y17">
        <f>GetFollowingCarRow($B$45:$E$54,L17,$E$15,E17)</f>
        <v>46</v>
      </c>
      <c r="Z17">
        <f t="shared" ref="Z17:Z40" ca="1" si="24">IFERROR(INDIRECT(CONCATENATE("B", Y17))-E17,1000000000)</f>
        <v>-29.146332000000029</v>
      </c>
      <c r="AA17">
        <f t="shared" ref="AA17:AA40" ca="1" si="25">IFERROR(INDIRECT(CONCATENATE("D", Y17)),100)</f>
        <v>17.400632000000002</v>
      </c>
      <c r="AB17">
        <f t="shared" ref="AB17:AB34" si="26">$F$15-F17</f>
        <v>0.12000000000000099</v>
      </c>
      <c r="AC17">
        <f t="shared" ref="AC17:AC34" si="27">E17-$E$15</f>
        <v>4.2200000000000273</v>
      </c>
      <c r="AD17">
        <f t="shared" ref="AD17:AD34" si="28">$F$15-(-AB17/AC17)*$E$15</f>
        <v>19.603459715639829</v>
      </c>
      <c r="AE17">
        <f t="shared" ref="AE17:AE34" si="29">AD17*-AC17</f>
        <v>-82.726600000000616</v>
      </c>
      <c r="AF17">
        <f t="shared" ref="AF17:AF34" si="30">SQRT(AB17^2+AC17^2)</f>
        <v>4.2217058163733094</v>
      </c>
      <c r="AG17">
        <f t="shared" ref="AG17:AG34" si="31">GetSmallestNormalDistance($B$45:$E$56,AB17,AC17,AF17,$L$15,L17)</f>
        <v>17.283094875303501</v>
      </c>
      <c r="AH17">
        <f t="shared" ref="AH17:AH40" si="32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9.2323082089423563E-3</v>
      </c>
      <c r="AL17">
        <f>IF(H17+ABS(K17)&lt;0,Logistic(SQRT(H17^2+K17^2)/$B$4),0)</f>
        <v>5.9928103529143524E-2</v>
      </c>
      <c r="AM17">
        <f>IF(G17&gt;$B$3,1,0)</f>
        <v>0</v>
      </c>
      <c r="AN17">
        <f>IF(H17&gt;$B$4,1,0)</f>
        <v>0</v>
      </c>
      <c r="AO17">
        <f>ABS(H17)/$B$4</f>
        <v>0.12</v>
      </c>
      <c r="AP17">
        <f>Logistic(I17/$B$5)</f>
        <v>6.2418746747512487E-2</v>
      </c>
      <c r="AQ17">
        <f>IF(I17&gt;$B$5,1,0)</f>
        <v>0</v>
      </c>
      <c r="AR17">
        <f>Logistic(ABS(F17-O17)/($B$6/2))</f>
        <v>1.2499348999021062E-2</v>
      </c>
      <c r="AS17">
        <f>IF(OR(F17&lt;M17,F17&gt;N17),1,0)</f>
        <v>0</v>
      </c>
      <c r="AT17">
        <f>ABS(K17)/$B$4</f>
        <v>0</v>
      </c>
      <c r="AU17">
        <f t="shared" ref="AU17:AU40" ca="1" si="33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34">IF(OR(ABS(Q17)&lt;$B$8,ABS(W17)&lt;$B$8),1,0)</f>
        <v>0</v>
      </c>
      <c r="BB17">
        <f t="shared" ref="BB17:BB40" ca="1" si="35">IF(OR(ABS(T17)&lt;$B$8,ABS(Z17)&lt;$B$8),1,0)</f>
        <v>0</v>
      </c>
      <c r="BC17">
        <f t="shared" ref="BC17:BC40" si="36">IFERROR(IF(P17=Y17,1,0),0)</f>
        <v>0</v>
      </c>
      <c r="BE17">
        <f t="shared" ref="BE17:BE34" si="37">Logistic((D17-$B$2)/$B$2)</f>
        <v>0</v>
      </c>
      <c r="BF17">
        <f t="shared" ref="BF17:BF34" si="38">IF(G17&lt;=0,1,0)</f>
        <v>0</v>
      </c>
      <c r="BG17">
        <f t="shared" ref="BG17:BG34" si="39">IF(G17&lt;0,1,0)</f>
        <v>0</v>
      </c>
      <c r="BH17">
        <f t="shared" ref="BH17:BH34" si="40">Logistic(($B$3-G17)/(G17+1))</f>
        <v>9.7642691224202091E-2</v>
      </c>
      <c r="BI17">
        <f t="shared" ref="BI17:BI34" si="41">IF(G17&gt;$B$3,1,0)</f>
        <v>0</v>
      </c>
      <c r="BJ17">
        <f t="shared" ref="BJ17:BJ34" si="42">IF(H17&gt;$B$5,1,0)</f>
        <v>0</v>
      </c>
      <c r="BK17">
        <f t="shared" ref="BK17:BK34" si="43">EXP(-($B$4-ABS(H17))/MAX(ABS(H17),0.000000001))</f>
        <v>6.5339197986738007E-4</v>
      </c>
      <c r="BL17">
        <f t="shared" ref="BL17:BL34" si="44">IF(G17&lt;ABS(H17),1,0)</f>
        <v>0</v>
      </c>
      <c r="BM17">
        <f t="shared" ref="BM17:BM34" si="45">EXP(-($B$5-I17)/MAX(I17,0.000000001))</f>
        <v>9.1188196555451624E-4</v>
      </c>
      <c r="BN17">
        <f t="shared" ref="BN17:BN34" si="46">IF(F17&gt;N17,(F17-N17)/$B$6,0)+IF(F17&lt;M17,(M17-F17)/$B$6,0)</f>
        <v>0</v>
      </c>
      <c r="BO17">
        <f t="shared" ref="BO17:BO34" si="47">ABS(K17/$B$4)</f>
        <v>0</v>
      </c>
      <c r="BP17">
        <f t="shared" si="7"/>
        <v>5.9928103529143524E-2</v>
      </c>
      <c r="BQ17">
        <f t="shared" ref="BQ17:BQ34" si="48">Logistic(($B$3-G17)/G17)</f>
        <v>0.10315845461496978</v>
      </c>
    </row>
    <row r="18" spans="1:69" x14ac:dyDescent="0.25">
      <c r="A18" s="1" t="s">
        <v>14</v>
      </c>
      <c r="B18">
        <f t="shared" ca="1" si="2"/>
        <v>2.0402740137763269</v>
      </c>
      <c r="C18" t="s">
        <v>180</v>
      </c>
      <c r="D18">
        <f t="shared" si="8"/>
        <v>50</v>
      </c>
      <c r="E18">
        <f t="shared" si="9"/>
        <v>339.56</v>
      </c>
      <c r="F18">
        <f t="shared" si="10"/>
        <v>9.9499999999999993</v>
      </c>
      <c r="G18">
        <f t="shared" si="11"/>
        <v>17.940000000000001</v>
      </c>
      <c r="H18">
        <f t="shared" si="12"/>
        <v>0.54</v>
      </c>
      <c r="I18">
        <f t="shared" si="13"/>
        <v>0.5</v>
      </c>
      <c r="J18">
        <f t="shared" si="14"/>
        <v>0</v>
      </c>
      <c r="K18">
        <f t="shared" si="15"/>
        <v>0</v>
      </c>
      <c r="L18">
        <f t="shared" si="3"/>
        <v>3</v>
      </c>
      <c r="M18">
        <f t="shared" si="0"/>
        <v>8</v>
      </c>
      <c r="N18">
        <f t="shared" si="1"/>
        <v>12</v>
      </c>
      <c r="O18">
        <f t="shared" si="4"/>
        <v>10</v>
      </c>
      <c r="P18">
        <f t="shared" si="5"/>
        <v>50</v>
      </c>
      <c r="Q18">
        <f t="shared" ca="1" si="16"/>
        <v>141.69060400000001</v>
      </c>
      <c r="R18">
        <f t="shared" ca="1" si="17"/>
        <v>17.440681000000001</v>
      </c>
      <c r="S18">
        <f t="shared" si="18"/>
        <v>46</v>
      </c>
      <c r="T18">
        <f t="shared" ca="1" si="19"/>
        <v>-24.926332000000002</v>
      </c>
      <c r="U18">
        <f t="shared" ca="1" si="20"/>
        <v>17.400632000000002</v>
      </c>
      <c r="V18">
        <f t="shared" si="21"/>
        <v>50</v>
      </c>
      <c r="W18">
        <f t="shared" ca="1" si="22"/>
        <v>137.390604</v>
      </c>
      <c r="X18">
        <f t="shared" ca="1" si="23"/>
        <v>17.440681000000001</v>
      </c>
      <c r="Y18">
        <f>GetFollowingCarRow($B$45:$E$54,L18,$E$15,E18)</f>
        <v>46</v>
      </c>
      <c r="Z18">
        <f t="shared" ca="1" si="24"/>
        <v>-29.226332000000014</v>
      </c>
      <c r="AA18">
        <f t="shared" ca="1" si="25"/>
        <v>17.400632000000002</v>
      </c>
      <c r="AB18">
        <f t="shared" si="26"/>
        <v>0.12000000000000099</v>
      </c>
      <c r="AC18">
        <f t="shared" si="27"/>
        <v>4.3000000000000114</v>
      </c>
      <c r="AD18">
        <f t="shared" si="28"/>
        <v>19.426093023255866</v>
      </c>
      <c r="AE18">
        <f t="shared" si="29"/>
        <v>-83.532200000000444</v>
      </c>
      <c r="AF18">
        <f t="shared" si="30"/>
        <v>4.3016740927225179</v>
      </c>
      <c r="AG18">
        <f t="shared" si="31"/>
        <v>17.156239680001466</v>
      </c>
      <c r="AH18">
        <f t="shared" si="32"/>
        <v>0</v>
      </c>
      <c r="AI18">
        <f>IF(G18&lt;=0,1,0)</f>
        <v>0</v>
      </c>
      <c r="AJ18">
        <f>IF(G18&lt;0,1,0)</f>
        <v>0</v>
      </c>
      <c r="AK18">
        <f>MAX(($B$3-G18)/(G18 + 1),0) / $B$3</f>
        <v>8.1610960551053071E-3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6.7500000000000004E-2</v>
      </c>
      <c r="AP18">
        <f>Logistic(I18/$B$5)</f>
        <v>3.1239831446031246E-2</v>
      </c>
      <c r="AQ18">
        <f>IF(I18&gt;$B$5,1,0)</f>
        <v>0</v>
      </c>
      <c r="AR18">
        <f>Logistic(ABS(F18-O18)/($B$6/2))</f>
        <v>1.2499348999021062E-2</v>
      </c>
      <c r="AS18">
        <f>IF(OR(F18&lt;M18,F18&gt;N18),1,0)</f>
        <v>0</v>
      </c>
      <c r="AT18">
        <f>ABS(K18)/$B$4</f>
        <v>0</v>
      </c>
      <c r="AU18">
        <f t="shared" ca="1" si="33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34"/>
        <v>0</v>
      </c>
      <c r="BB18">
        <f t="shared" ca="1" si="35"/>
        <v>0</v>
      </c>
      <c r="BC18">
        <f t="shared" si="36"/>
        <v>0</v>
      </c>
      <c r="BE18">
        <f t="shared" si="37"/>
        <v>0</v>
      </c>
      <c r="BF18">
        <f t="shared" si="38"/>
        <v>0</v>
      </c>
      <c r="BG18">
        <f t="shared" si="39"/>
        <v>0</v>
      </c>
      <c r="BH18">
        <f t="shared" si="40"/>
        <v>8.6373469668997699E-2</v>
      </c>
      <c r="BI18">
        <f t="shared" si="41"/>
        <v>0</v>
      </c>
      <c r="BJ18">
        <f t="shared" si="42"/>
        <v>0</v>
      </c>
      <c r="BK18">
        <f t="shared" si="43"/>
        <v>1.0006959852348659E-6</v>
      </c>
      <c r="BL18">
        <f t="shared" si="44"/>
        <v>0</v>
      </c>
      <c r="BM18">
        <f t="shared" si="45"/>
        <v>3.0590232050182579E-7</v>
      </c>
      <c r="BN18">
        <f t="shared" si="46"/>
        <v>0</v>
      </c>
      <c r="BO18">
        <f t="shared" si="47"/>
        <v>0</v>
      </c>
      <c r="BP18">
        <f t="shared" si="7"/>
        <v>3.37371913827696E-2</v>
      </c>
      <c r="BQ18">
        <f t="shared" si="48"/>
        <v>9.1162029319120416E-2</v>
      </c>
    </row>
    <row r="19" spans="1:69" x14ac:dyDescent="0.25">
      <c r="A19" s="1" t="s">
        <v>13</v>
      </c>
      <c r="B19">
        <f t="shared" ca="1" si="2"/>
        <v>1.9532544185581917</v>
      </c>
      <c r="C19" t="s">
        <v>179</v>
      </c>
      <c r="D19">
        <f t="shared" si="8"/>
        <v>50</v>
      </c>
      <c r="E19">
        <f t="shared" si="9"/>
        <v>339.59</v>
      </c>
      <c r="F19">
        <f t="shared" si="10"/>
        <v>9.9499999999999993</v>
      </c>
      <c r="G19">
        <f t="shared" si="11"/>
        <v>18.059999999999999</v>
      </c>
      <c r="H19">
        <f t="shared" si="12"/>
        <v>1.04</v>
      </c>
      <c r="I19">
        <f t="shared" si="13"/>
        <v>1</v>
      </c>
      <c r="J19">
        <f t="shared" si="14"/>
        <v>0</v>
      </c>
      <c r="K19">
        <f t="shared" si="15"/>
        <v>0</v>
      </c>
      <c r="L19">
        <f t="shared" si="3"/>
        <v>3</v>
      </c>
      <c r="M19">
        <f t="shared" si="0"/>
        <v>8</v>
      </c>
      <c r="N19">
        <f t="shared" si="1"/>
        <v>12</v>
      </c>
      <c r="O19">
        <f t="shared" si="4"/>
        <v>10</v>
      </c>
      <c r="P19">
        <f t="shared" si="5"/>
        <v>50</v>
      </c>
      <c r="Q19">
        <f t="shared" ca="1" si="16"/>
        <v>141.69060400000001</v>
      </c>
      <c r="R19">
        <f t="shared" ca="1" si="17"/>
        <v>17.440681000000001</v>
      </c>
      <c r="S19">
        <f t="shared" si="18"/>
        <v>46</v>
      </c>
      <c r="T19">
        <f t="shared" ca="1" si="19"/>
        <v>-24.926332000000002</v>
      </c>
      <c r="U19">
        <f t="shared" ca="1" si="20"/>
        <v>17.400632000000002</v>
      </c>
      <c r="V19">
        <f t="shared" si="21"/>
        <v>50</v>
      </c>
      <c r="W19">
        <f t="shared" ca="1" si="22"/>
        <v>137.36060400000002</v>
      </c>
      <c r="X19">
        <f t="shared" ca="1" si="23"/>
        <v>17.440681000000001</v>
      </c>
      <c r="Y19">
        <f>GetFollowingCarRow($B$45:$E$54,L19,$E$15,E19)</f>
        <v>46</v>
      </c>
      <c r="Z19">
        <f t="shared" ca="1" si="24"/>
        <v>-29.256331999999986</v>
      </c>
      <c r="AA19">
        <f t="shared" ca="1" si="25"/>
        <v>17.400632000000002</v>
      </c>
      <c r="AB19">
        <f t="shared" si="26"/>
        <v>0.12000000000000099</v>
      </c>
      <c r="AC19">
        <f t="shared" si="27"/>
        <v>4.3299999999999841</v>
      </c>
      <c r="AD19">
        <f t="shared" si="28"/>
        <v>19.361270207852307</v>
      </c>
      <c r="AE19">
        <f t="shared" si="29"/>
        <v>-83.834300000000184</v>
      </c>
      <c r="AF19">
        <f t="shared" si="30"/>
        <v>4.331662498394798</v>
      </c>
      <c r="AG19">
        <f t="shared" si="31"/>
        <v>17.109875339425656</v>
      </c>
      <c r="AH19">
        <f t="shared" si="32"/>
        <v>0</v>
      </c>
      <c r="AI19">
        <f>IF(G19&lt;=0,1,0)</f>
        <v>0</v>
      </c>
      <c r="AJ19">
        <f>IF(G19&lt;0,1,0)</f>
        <v>0</v>
      </c>
      <c r="AK19">
        <f>MAX(($B$3-G19)/(G19 + 1),0) / $B$3</f>
        <v>7.8130176742327671E-3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0.13</v>
      </c>
      <c r="AP19">
        <f>Logistic(I19/$B$5)</f>
        <v>6.2418746747512487E-2</v>
      </c>
      <c r="AQ19">
        <f>IF(I19&gt;$B$5,1,0)</f>
        <v>0</v>
      </c>
      <c r="AR19">
        <f>Logistic(ABS(F19-O19)/($B$6/2))</f>
        <v>1.2499348999021062E-2</v>
      </c>
      <c r="AS19">
        <f>IF(OR(F19&lt;M19,F19&gt;N19),1,0)</f>
        <v>0</v>
      </c>
      <c r="AT19">
        <f>ABS(K19)/$B$4</f>
        <v>0</v>
      </c>
      <c r="AU19">
        <f t="shared" ca="1" si="33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34"/>
        <v>0</v>
      </c>
      <c r="BB19">
        <f t="shared" ca="1" si="35"/>
        <v>0</v>
      </c>
      <c r="BC19">
        <f t="shared" si="36"/>
        <v>0</v>
      </c>
      <c r="BE19">
        <f t="shared" si="37"/>
        <v>0</v>
      </c>
      <c r="BF19">
        <f t="shared" si="38"/>
        <v>0</v>
      </c>
      <c r="BG19">
        <f t="shared" si="39"/>
        <v>0</v>
      </c>
      <c r="BH19">
        <f t="shared" si="40"/>
        <v>8.2706757087235599E-2</v>
      </c>
      <c r="BI19">
        <f t="shared" si="41"/>
        <v>0</v>
      </c>
      <c r="BJ19">
        <f t="shared" si="42"/>
        <v>0</v>
      </c>
      <c r="BK19">
        <f t="shared" si="43"/>
        <v>1.2404169668409695E-3</v>
      </c>
      <c r="BL19">
        <f t="shared" si="44"/>
        <v>0</v>
      </c>
      <c r="BM19">
        <f t="shared" si="45"/>
        <v>9.1188196555451624E-4</v>
      </c>
      <c r="BN19">
        <f t="shared" si="46"/>
        <v>0</v>
      </c>
      <c r="BO19">
        <f t="shared" si="47"/>
        <v>0</v>
      </c>
      <c r="BP19">
        <f t="shared" si="7"/>
        <v>6.4908612774637511E-2</v>
      </c>
      <c r="BQ19">
        <f t="shared" si="48"/>
        <v>8.7263637156068052E-2</v>
      </c>
    </row>
    <row r="20" spans="1:69" x14ac:dyDescent="0.25">
      <c r="A20" s="1" t="s">
        <v>12</v>
      </c>
      <c r="B20">
        <f t="shared" ca="1" si="2"/>
        <v>1.8673237025294369</v>
      </c>
      <c r="C20" t="s">
        <v>178</v>
      </c>
      <c r="D20">
        <f t="shared" si="8"/>
        <v>50</v>
      </c>
      <c r="E20">
        <f t="shared" si="9"/>
        <v>339.62</v>
      </c>
      <c r="F20">
        <f t="shared" si="10"/>
        <v>9.9499999999999993</v>
      </c>
      <c r="G20">
        <f t="shared" si="11"/>
        <v>18.18</v>
      </c>
      <c r="H20">
        <f t="shared" si="12"/>
        <v>1.54</v>
      </c>
      <c r="I20">
        <f t="shared" si="13"/>
        <v>1.5</v>
      </c>
      <c r="J20">
        <f t="shared" si="14"/>
        <v>0</v>
      </c>
      <c r="K20">
        <f t="shared" si="15"/>
        <v>0</v>
      </c>
      <c r="L20">
        <f t="shared" si="3"/>
        <v>3</v>
      </c>
      <c r="M20">
        <f t="shared" si="0"/>
        <v>8</v>
      </c>
      <c r="N20">
        <f t="shared" si="1"/>
        <v>12</v>
      </c>
      <c r="O20">
        <f t="shared" si="4"/>
        <v>10</v>
      </c>
      <c r="P20">
        <f t="shared" si="5"/>
        <v>50</v>
      </c>
      <c r="Q20">
        <f t="shared" ca="1" si="16"/>
        <v>141.69060400000001</v>
      </c>
      <c r="R20">
        <f t="shared" ca="1" si="17"/>
        <v>17.440681000000001</v>
      </c>
      <c r="S20">
        <f t="shared" si="18"/>
        <v>46</v>
      </c>
      <c r="T20">
        <f t="shared" ca="1" si="19"/>
        <v>-24.926332000000002</v>
      </c>
      <c r="U20">
        <f t="shared" ca="1" si="20"/>
        <v>17.400632000000002</v>
      </c>
      <c r="V20">
        <f t="shared" si="21"/>
        <v>50</v>
      </c>
      <c r="W20">
        <f t="shared" ca="1" si="22"/>
        <v>137.33060399999999</v>
      </c>
      <c r="X20">
        <f t="shared" ca="1" si="23"/>
        <v>17.440681000000001</v>
      </c>
      <c r="Y20">
        <f>GetFollowingCarRow($B$45:$E$54,L20,$E$15,E20)</f>
        <v>46</v>
      </c>
      <c r="Z20">
        <f t="shared" ca="1" si="24"/>
        <v>-29.286332000000016</v>
      </c>
      <c r="AA20">
        <f t="shared" ca="1" si="25"/>
        <v>17.400632000000002</v>
      </c>
      <c r="AB20">
        <f t="shared" si="26"/>
        <v>0.12000000000000099</v>
      </c>
      <c r="AC20">
        <f t="shared" si="27"/>
        <v>4.3600000000000136</v>
      </c>
      <c r="AD20">
        <f t="shared" si="28"/>
        <v>19.297339449541333</v>
      </c>
      <c r="AE20">
        <f t="shared" si="29"/>
        <v>-84.136400000000478</v>
      </c>
      <c r="AF20">
        <f t="shared" si="30"/>
        <v>4.3616510635308874</v>
      </c>
      <c r="AG20">
        <f t="shared" si="31"/>
        <v>17.064147928364722</v>
      </c>
      <c r="AH20">
        <f t="shared" si="32"/>
        <v>0</v>
      </c>
      <c r="AI20">
        <f>IF(G20&lt;=0,1,0)</f>
        <v>0</v>
      </c>
      <c r="AJ20">
        <f>IF(G20&lt;0,1,0)</f>
        <v>0</v>
      </c>
      <c r="AK20">
        <f>MAX(($B$3-G20)/(G20 + 1),0) / $B$3</f>
        <v>7.4692948101177476E-3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0.1925</v>
      </c>
      <c r="AP20">
        <f>Logistic(I20/$B$5)</f>
        <v>9.3476303969227723E-2</v>
      </c>
      <c r="AQ20">
        <f>IF(I20&gt;$B$5,1,0)</f>
        <v>0</v>
      </c>
      <c r="AR20">
        <f>Logistic(ABS(F20-O20)/($B$6/2))</f>
        <v>1.2499348999021062E-2</v>
      </c>
      <c r="AS20">
        <f>IF(OR(F20&lt;M20,F20&gt;N20),1,0)</f>
        <v>0</v>
      </c>
      <c r="AT20">
        <f>ABS(K20)/$B$4</f>
        <v>0</v>
      </c>
      <c r="AU20">
        <f t="shared" ca="1" si="33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34"/>
        <v>0</v>
      </c>
      <c r="BB20">
        <f t="shared" ca="1" si="35"/>
        <v>0</v>
      </c>
      <c r="BC20">
        <f t="shared" si="36"/>
        <v>0</v>
      </c>
      <c r="BE20">
        <f t="shared" si="37"/>
        <v>0</v>
      </c>
      <c r="BF20">
        <f t="shared" si="38"/>
        <v>0</v>
      </c>
      <c r="BG20">
        <f t="shared" si="39"/>
        <v>0</v>
      </c>
      <c r="BH20">
        <f t="shared" si="40"/>
        <v>7.9083727050767064E-2</v>
      </c>
      <c r="BI20">
        <f t="shared" si="41"/>
        <v>0</v>
      </c>
      <c r="BJ20">
        <f t="shared" si="42"/>
        <v>0</v>
      </c>
      <c r="BK20">
        <f t="shared" si="43"/>
        <v>1.5073678606989143E-2</v>
      </c>
      <c r="BL20">
        <f t="shared" si="44"/>
        <v>0</v>
      </c>
      <c r="BM20">
        <f t="shared" si="45"/>
        <v>1.3123728736940968E-2</v>
      </c>
      <c r="BN20">
        <f t="shared" si="46"/>
        <v>0</v>
      </c>
      <c r="BO20">
        <f t="shared" si="47"/>
        <v>0</v>
      </c>
      <c r="BP20">
        <f t="shared" si="7"/>
        <v>9.595387527359274E-2</v>
      </c>
      <c r="BQ20">
        <f t="shared" si="48"/>
        <v>8.3414086578591257E-2</v>
      </c>
    </row>
    <row r="21" spans="1:69" x14ac:dyDescent="0.25">
      <c r="A21" s="1" t="s">
        <v>33</v>
      </c>
      <c r="B21">
        <f t="shared" ca="1" si="2"/>
        <v>2.1284033169037286</v>
      </c>
      <c r="C21" t="s">
        <v>177</v>
      </c>
      <c r="D21">
        <f t="shared" si="8"/>
        <v>50</v>
      </c>
      <c r="E21">
        <f t="shared" si="9"/>
        <v>339.53</v>
      </c>
      <c r="F21">
        <f t="shared" si="10"/>
        <v>9.9499999999999993</v>
      </c>
      <c r="G21">
        <f t="shared" si="11"/>
        <v>17.82</v>
      </c>
      <c r="H21">
        <f t="shared" si="12"/>
        <v>0.04</v>
      </c>
      <c r="I21">
        <f t="shared" si="13"/>
        <v>0</v>
      </c>
      <c r="J21">
        <f t="shared" si="14"/>
        <v>0</v>
      </c>
      <c r="K21">
        <f t="shared" si="15"/>
        <v>0</v>
      </c>
      <c r="L21">
        <f t="shared" si="3"/>
        <v>3</v>
      </c>
      <c r="M21">
        <f t="shared" si="0"/>
        <v>8</v>
      </c>
      <c r="N21">
        <f t="shared" si="1"/>
        <v>12</v>
      </c>
      <c r="O21">
        <f t="shared" si="4"/>
        <v>10</v>
      </c>
      <c r="P21">
        <f t="shared" si="5"/>
        <v>50</v>
      </c>
      <c r="Q21">
        <f t="shared" ca="1" si="16"/>
        <v>141.69060400000001</v>
      </c>
      <c r="R21">
        <f t="shared" ca="1" si="17"/>
        <v>17.440681000000001</v>
      </c>
      <c r="S21">
        <f t="shared" si="18"/>
        <v>46</v>
      </c>
      <c r="T21">
        <f t="shared" ca="1" si="19"/>
        <v>-24.926332000000002</v>
      </c>
      <c r="U21">
        <f t="shared" ca="1" si="20"/>
        <v>17.400632000000002</v>
      </c>
      <c r="V21">
        <f t="shared" si="21"/>
        <v>50</v>
      </c>
      <c r="W21">
        <f t="shared" ca="1" si="22"/>
        <v>137.42060400000003</v>
      </c>
      <c r="X21">
        <f t="shared" ca="1" si="23"/>
        <v>17.440681000000001</v>
      </c>
      <c r="Y21">
        <f>GetFollowingCarRow($B$45:$E$54,L21,$E$15,E21)</f>
        <v>46</v>
      </c>
      <c r="Z21">
        <f t="shared" ca="1" si="24"/>
        <v>-29.196331999999984</v>
      </c>
      <c r="AA21">
        <f t="shared" ca="1" si="25"/>
        <v>17.400632000000002</v>
      </c>
      <c r="AB21">
        <f t="shared" si="26"/>
        <v>0.12000000000000099</v>
      </c>
      <c r="AC21">
        <f t="shared" si="27"/>
        <v>4.2699999999999818</v>
      </c>
      <c r="AD21">
        <f t="shared" si="28"/>
        <v>19.491826697892392</v>
      </c>
      <c r="AE21">
        <f t="shared" si="29"/>
        <v>-83.230100000000164</v>
      </c>
      <c r="AF21">
        <f t="shared" si="30"/>
        <v>4.2716858498723713</v>
      </c>
      <c r="AG21">
        <f t="shared" si="31"/>
        <v>17.203254345633979</v>
      </c>
      <c r="AH21">
        <f t="shared" si="32"/>
        <v>0</v>
      </c>
      <c r="AI21">
        <f>IF(G21&lt;=0,1,0)</f>
        <v>0</v>
      </c>
      <c r="AJ21">
        <f>IF(G21&lt;0,1,0)</f>
        <v>0</v>
      </c>
      <c r="AK21">
        <f>MAX(($B$3-G21)/(G21 + 1),0) / $B$3</f>
        <v>8.5136132676149143E-3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5.0000000000000001E-3</v>
      </c>
      <c r="AP21">
        <f>Logistic(I21/$B$5)</f>
        <v>0</v>
      </c>
      <c r="AQ21">
        <f>IF(I21&gt;$B$5,1,0)</f>
        <v>0</v>
      </c>
      <c r="AR21">
        <f>Logistic(ABS(F21-O21)/($B$6/2))</f>
        <v>1.2499348999021062E-2</v>
      </c>
      <c r="AS21">
        <f>IF(OR(F21&lt;M21,F21&gt;N21),1,0)</f>
        <v>0</v>
      </c>
      <c r="AT21">
        <f>ABS(K21)/$B$4</f>
        <v>0</v>
      </c>
      <c r="AU21">
        <f t="shared" ca="1" si="33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34"/>
        <v>0</v>
      </c>
      <c r="BB21">
        <f t="shared" ca="1" si="35"/>
        <v>0</v>
      </c>
      <c r="BC21">
        <f t="shared" si="36"/>
        <v>0</v>
      </c>
      <c r="BE21">
        <f t="shared" si="37"/>
        <v>0</v>
      </c>
      <c r="BF21">
        <f t="shared" si="38"/>
        <v>0</v>
      </c>
      <c r="BG21">
        <f t="shared" si="39"/>
        <v>0</v>
      </c>
      <c r="BH21">
        <f t="shared" si="40"/>
        <v>9.0084557748084187E-2</v>
      </c>
      <c r="BI21">
        <f t="shared" si="41"/>
        <v>0</v>
      </c>
      <c r="BJ21">
        <f t="shared" si="42"/>
        <v>0</v>
      </c>
      <c r="BK21">
        <f t="shared" si="43"/>
        <v>3.7618207810960609E-87</v>
      </c>
      <c r="BL21">
        <f t="shared" si="44"/>
        <v>0</v>
      </c>
      <c r="BM21">
        <f t="shared" si="45"/>
        <v>0</v>
      </c>
      <c r="BN21">
        <f t="shared" si="46"/>
        <v>0</v>
      </c>
      <c r="BO21">
        <f t="shared" si="47"/>
        <v>0</v>
      </c>
      <c r="BP21">
        <f t="shared" si="7"/>
        <v>2.4999947916796842E-3</v>
      </c>
      <c r="BQ21">
        <f t="shared" si="48"/>
        <v>9.5110075802297273E-2</v>
      </c>
    </row>
    <row r="22" spans="1:69" x14ac:dyDescent="0.25">
      <c r="A22" s="1" t="s">
        <v>11</v>
      </c>
      <c r="B22">
        <f t="shared" ca="1" si="2"/>
        <v>2.1357981822290575</v>
      </c>
      <c r="C22" t="s">
        <v>176</v>
      </c>
      <c r="D22">
        <f t="shared" si="8"/>
        <v>50</v>
      </c>
      <c r="E22">
        <f t="shared" si="9"/>
        <v>339.53</v>
      </c>
      <c r="F22">
        <f t="shared" si="10"/>
        <v>9.9499999999999993</v>
      </c>
      <c r="G22">
        <f t="shared" si="11"/>
        <v>17.809999999999999</v>
      </c>
      <c r="H22">
        <f t="shared" si="12"/>
        <v>0</v>
      </c>
      <c r="I22">
        <f t="shared" si="13"/>
        <v>0.04</v>
      </c>
      <c r="J22">
        <f t="shared" si="14"/>
        <v>0</v>
      </c>
      <c r="K22">
        <f t="shared" si="15"/>
        <v>0</v>
      </c>
      <c r="L22">
        <f t="shared" si="3"/>
        <v>3</v>
      </c>
      <c r="M22">
        <f t="shared" si="0"/>
        <v>8</v>
      </c>
      <c r="N22">
        <f t="shared" si="1"/>
        <v>12</v>
      </c>
      <c r="O22">
        <f t="shared" si="4"/>
        <v>10</v>
      </c>
      <c r="P22">
        <f t="shared" si="5"/>
        <v>50</v>
      </c>
      <c r="Q22">
        <f t="shared" ca="1" si="16"/>
        <v>141.69060400000001</v>
      </c>
      <c r="R22">
        <f t="shared" ca="1" si="17"/>
        <v>17.440681000000001</v>
      </c>
      <c r="S22">
        <f t="shared" si="18"/>
        <v>46</v>
      </c>
      <c r="T22">
        <f t="shared" ca="1" si="19"/>
        <v>-24.926332000000002</v>
      </c>
      <c r="U22">
        <f t="shared" ca="1" si="20"/>
        <v>17.400632000000002</v>
      </c>
      <c r="V22">
        <f t="shared" si="21"/>
        <v>50</v>
      </c>
      <c r="W22">
        <f t="shared" ca="1" si="22"/>
        <v>137.42060400000003</v>
      </c>
      <c r="X22">
        <f t="shared" ca="1" si="23"/>
        <v>17.440681000000001</v>
      </c>
      <c r="Y22">
        <f>GetFollowingCarRow($B$45:$E$54,L22,$E$15,E22)</f>
        <v>46</v>
      </c>
      <c r="Z22">
        <f t="shared" ca="1" si="24"/>
        <v>-29.196331999999984</v>
      </c>
      <c r="AA22">
        <f t="shared" ca="1" si="25"/>
        <v>17.400632000000002</v>
      </c>
      <c r="AB22">
        <f t="shared" si="26"/>
        <v>0.12000000000000099</v>
      </c>
      <c r="AC22">
        <f t="shared" si="27"/>
        <v>4.2699999999999818</v>
      </c>
      <c r="AD22">
        <f t="shared" si="28"/>
        <v>19.491826697892392</v>
      </c>
      <c r="AE22">
        <f t="shared" si="29"/>
        <v>-83.230100000000164</v>
      </c>
      <c r="AF22">
        <f t="shared" si="30"/>
        <v>4.2716858498723713</v>
      </c>
      <c r="AG22">
        <f t="shared" si="31"/>
        <v>17.203254345633979</v>
      </c>
      <c r="AH22">
        <f t="shared" si="32"/>
        <v>0</v>
      </c>
      <c r="AI22">
        <f>IF(G22&lt;=0,1,0)</f>
        <v>0</v>
      </c>
      <c r="AJ22">
        <f>IF(G22&lt;0,1,0)</f>
        <v>0</v>
      </c>
      <c r="AK22">
        <f>MAX(($B$3-G22)/(G22 + 1),0) / $B$3</f>
        <v>8.5431927289162293E-3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2.4999947916796842E-3</v>
      </c>
      <c r="AQ22">
        <f>IF(I22&gt;$B$5,1,0)</f>
        <v>0</v>
      </c>
      <c r="AR22">
        <f>Logistic(ABS(F22-O22)/($B$6/2))</f>
        <v>1.2499348999021062E-2</v>
      </c>
      <c r="AS22">
        <f>IF(OR(F22&lt;M22,F22&gt;N22),1,0)</f>
        <v>0</v>
      </c>
      <c r="AT22">
        <f>ABS(K22)/$B$4</f>
        <v>0</v>
      </c>
      <c r="AU22">
        <f t="shared" ca="1" si="33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34"/>
        <v>0</v>
      </c>
      <c r="BB22">
        <f t="shared" ca="1" si="35"/>
        <v>0</v>
      </c>
      <c r="BC22">
        <f t="shared" si="36"/>
        <v>0</v>
      </c>
      <c r="BE22">
        <f t="shared" si="37"/>
        <v>0</v>
      </c>
      <c r="BF22">
        <f t="shared" si="38"/>
        <v>0</v>
      </c>
      <c r="BG22">
        <f t="shared" si="39"/>
        <v>0</v>
      </c>
      <c r="BH22">
        <f t="shared" si="40"/>
        <v>9.0395840154238877E-2</v>
      </c>
      <c r="BI22">
        <f t="shared" si="41"/>
        <v>0</v>
      </c>
      <c r="BJ22">
        <f t="shared" si="42"/>
        <v>0</v>
      </c>
      <c r="BK22">
        <f t="shared" si="43"/>
        <v>0</v>
      </c>
      <c r="BL22">
        <f t="shared" si="44"/>
        <v>0</v>
      </c>
      <c r="BM22">
        <f t="shared" si="45"/>
        <v>3.7618207810960609E-87</v>
      </c>
      <c r="BN22">
        <f t="shared" si="46"/>
        <v>0</v>
      </c>
      <c r="BO22">
        <f t="shared" si="47"/>
        <v>0</v>
      </c>
      <c r="BP22">
        <f t="shared" si="7"/>
        <v>0</v>
      </c>
      <c r="BQ22">
        <f t="shared" si="48"/>
        <v>9.544134683933897E-2</v>
      </c>
    </row>
    <row r="23" spans="1:69" x14ac:dyDescent="0.25">
      <c r="A23" s="1" t="s">
        <v>34</v>
      </c>
      <c r="B23">
        <f t="shared" si="2"/>
        <v>1000000</v>
      </c>
      <c r="D23" t="e">
        <f t="shared" si="8"/>
        <v>#VALUE!</v>
      </c>
      <c r="E23" t="e">
        <f t="shared" si="9"/>
        <v>#VALUE!</v>
      </c>
      <c r="F23" t="e">
        <f t="shared" si="10"/>
        <v>#VALUE!</v>
      </c>
      <c r="G23" t="e">
        <f t="shared" si="11"/>
        <v>#VALUE!</v>
      </c>
      <c r="H23" t="e">
        <f t="shared" si="12"/>
        <v>#VALUE!</v>
      </c>
      <c r="I23" t="e">
        <f t="shared" si="13"/>
        <v>#VALUE!</v>
      </c>
      <c r="J23" t="e">
        <f t="shared" si="14"/>
        <v>#VALUE!</v>
      </c>
      <c r="K23" t="e">
        <f t="shared" si="15"/>
        <v>#VALUE!</v>
      </c>
      <c r="L23" t="e">
        <f t="shared" si="3"/>
        <v>#VALUE!</v>
      </c>
      <c r="M23" t="e">
        <f t="shared" si="0"/>
        <v>#VALUE!</v>
      </c>
      <c r="N23" t="e">
        <f t="shared" si="1"/>
        <v>#VALUE!</v>
      </c>
      <c r="O23" t="e">
        <f t="shared" si="4"/>
        <v>#VALUE!</v>
      </c>
      <c r="P23" t="e">
        <f t="shared" si="5"/>
        <v>#VALUE!</v>
      </c>
      <c r="Q23">
        <f t="shared" ca="1" si="16"/>
        <v>1000000</v>
      </c>
      <c r="R23">
        <f t="shared" ca="1" si="17"/>
        <v>100</v>
      </c>
      <c r="S23" t="e">
        <f t="shared" si="18"/>
        <v>#VALUE!</v>
      </c>
      <c r="T23">
        <f t="shared" ca="1" si="19"/>
        <v>1000000</v>
      </c>
      <c r="U23">
        <f t="shared" ca="1" si="20"/>
        <v>100</v>
      </c>
      <c r="V23" t="e">
        <f t="shared" si="21"/>
        <v>#VALUE!</v>
      </c>
      <c r="W23">
        <f t="shared" ca="1" si="22"/>
        <v>1000000000</v>
      </c>
      <c r="X23">
        <f t="shared" ca="1" si="23"/>
        <v>100</v>
      </c>
      <c r="Y23" t="e">
        <f>GetFollowingCarRow($B$45:$E$54,L23,$E$15,E23)</f>
        <v>#VALUE!</v>
      </c>
      <c r="Z23">
        <f t="shared" ca="1" si="24"/>
        <v>1000000000</v>
      </c>
      <c r="AA23">
        <f t="shared" ca="1" si="25"/>
        <v>100</v>
      </c>
      <c r="AB23" t="e">
        <f t="shared" si="26"/>
        <v>#VALUE!</v>
      </c>
      <c r="AC23" t="e">
        <f t="shared" si="27"/>
        <v>#VALUE!</v>
      </c>
      <c r="AD23" t="e">
        <f t="shared" si="28"/>
        <v>#VALUE!</v>
      </c>
      <c r="AE23" t="e">
        <f t="shared" si="29"/>
        <v>#VALUE!</v>
      </c>
      <c r="AF23" t="e">
        <f t="shared" si="30"/>
        <v>#VALUE!</v>
      </c>
      <c r="AG23" t="e">
        <f t="shared" si="31"/>
        <v>#VALUE!</v>
      </c>
      <c r="AH23" t="e">
        <f t="shared" si="32"/>
        <v>#VALUE!</v>
      </c>
      <c r="AI23" t="e">
        <f>IF(G23&lt;=0,1,0)</f>
        <v>#VALUE!</v>
      </c>
      <c r="AJ23" t="e">
        <f>IF(G23&lt;0,1,0)</f>
        <v>#VALUE!</v>
      </c>
      <c r="AK23" t="e">
        <f>MAX(($B$3-G23)/(G23 + 1),0) / $B$3</f>
        <v>#VALUE!</v>
      </c>
      <c r="AL23" t="e">
        <f>IF(H23+ABS(K23)&lt;0,Logistic(SQRT(H23^2+K23^2)/$B$4),0)</f>
        <v>#VALUE!</v>
      </c>
      <c r="AM23" t="e">
        <f>IF(G23&gt;$B$3,1,0)</f>
        <v>#VALUE!</v>
      </c>
      <c r="AN23" t="e">
        <f>IF(H23&gt;$B$4,1,0)</f>
        <v>#VALUE!</v>
      </c>
      <c r="AO23" t="e">
        <f>ABS(H23)/$B$4</f>
        <v>#VALUE!</v>
      </c>
      <c r="AP23" t="e">
        <f>Logistic(I23/$B$5)</f>
        <v>#VALUE!</v>
      </c>
      <c r="AQ23" t="e">
        <f>IF(I23&gt;$B$5,1,0)</f>
        <v>#VALUE!</v>
      </c>
      <c r="AR23" t="e">
        <f>Logistic(ABS(F23-O23)/($B$6/2))</f>
        <v>#VALUE!</v>
      </c>
      <c r="AS23" t="e">
        <f>IF(OR(F23&lt;M23,F23&gt;N23),1,0)</f>
        <v>#VALUE!</v>
      </c>
      <c r="AT23" t="e">
        <f>ABS(K23)/$B$4</f>
        <v>#VALUE!</v>
      </c>
      <c r="AU23">
        <f t="shared" ca="1" si="33"/>
        <v>0</v>
      </c>
      <c r="AV23" t="e">
        <f ca="1">IF(AND(L23&lt;&gt;$L$15,$Q$15&gt;Safety_Distance),1,0)</f>
        <v>#VALUE!</v>
      </c>
      <c r="AW23" t="e">
        <f ca="1">MAX(1-(IF(Q23/(G23-R23)&gt;0,Q23/(G23-R23),Collision_Time_Buffer)/Collision_Time_Buffer),0)*IF($L$15&lt;&gt;L23,Lane_Change_Multiplier,1)</f>
        <v>#VALUE!</v>
      </c>
      <c r="AX23" t="e">
        <f ca="1">MAX(1-(IF(T23/(G23-U23)&gt;0,T23/(G23-U23),Collision_Time_Buffer)/Collision_Time_Buffer),0)*IF($L$15&lt;&gt;L23,Lane_Change_Multiplier,1)</f>
        <v>#VALUE!</v>
      </c>
      <c r="AY23" t="e">
        <f ca="1">MAX(1-(IF(W23/(G23-X23)&gt;0,W23/(G23-X23),Collision_Time_Buffer)/Collision_Time_Buffer),0)*IF($L$15&lt;&gt;L23,Lane_Change_Multiplier,1)</f>
        <v>#VALUE!</v>
      </c>
      <c r="AZ23" t="e">
        <f ca="1">MAX(1-(IF(Z23/(G23-AA23)&gt;0,Z23/(G23-AA23),Collision_Time_Buffer)/Collision_Time_Buffer),0)*IF($L$15&lt;&gt;L23,Lane_Change_Multiplier,1)</f>
        <v>#VALUE!</v>
      </c>
      <c r="BA23">
        <f t="shared" ca="1" si="34"/>
        <v>0</v>
      </c>
      <c r="BB23">
        <f t="shared" ca="1" si="35"/>
        <v>0</v>
      </c>
      <c r="BC23">
        <f t="shared" si="36"/>
        <v>0</v>
      </c>
      <c r="BE23" t="e">
        <f t="shared" si="37"/>
        <v>#VALUE!</v>
      </c>
      <c r="BF23" t="e">
        <f t="shared" si="38"/>
        <v>#VALUE!</v>
      </c>
      <c r="BG23" t="e">
        <f t="shared" si="39"/>
        <v>#VALUE!</v>
      </c>
      <c r="BH23" t="e">
        <f t="shared" si="40"/>
        <v>#VALUE!</v>
      </c>
      <c r="BI23" t="e">
        <f t="shared" si="41"/>
        <v>#VALUE!</v>
      </c>
      <c r="BJ23" t="e">
        <f t="shared" si="42"/>
        <v>#VALUE!</v>
      </c>
      <c r="BK23" t="e">
        <f t="shared" si="43"/>
        <v>#VALUE!</v>
      </c>
      <c r="BL23" t="e">
        <f t="shared" si="44"/>
        <v>#VALUE!</v>
      </c>
      <c r="BM23" t="e">
        <f t="shared" si="45"/>
        <v>#VALUE!</v>
      </c>
      <c r="BN23" t="e">
        <f t="shared" si="46"/>
        <v>#VALUE!</v>
      </c>
      <c r="BO23" t="e">
        <f t="shared" si="47"/>
        <v>#VALUE!</v>
      </c>
      <c r="BP23" t="e">
        <f t="shared" si="7"/>
        <v>#VALUE!</v>
      </c>
      <c r="BQ23" t="e">
        <f t="shared" si="48"/>
        <v>#VALUE!</v>
      </c>
    </row>
    <row r="24" spans="1:69" x14ac:dyDescent="0.25">
      <c r="A24" s="1" t="s">
        <v>35</v>
      </c>
      <c r="B24">
        <f t="shared" si="2"/>
        <v>1000000</v>
      </c>
      <c r="D24" t="e">
        <f t="shared" si="8"/>
        <v>#VALUE!</v>
      </c>
      <c r="E24" t="e">
        <f t="shared" si="9"/>
        <v>#VALUE!</v>
      </c>
      <c r="F24" t="e">
        <f t="shared" si="10"/>
        <v>#VALUE!</v>
      </c>
      <c r="G24" t="e">
        <f t="shared" si="11"/>
        <v>#VALUE!</v>
      </c>
      <c r="H24" t="e">
        <f t="shared" si="12"/>
        <v>#VALUE!</v>
      </c>
      <c r="I24" t="e">
        <f t="shared" si="13"/>
        <v>#VALUE!</v>
      </c>
      <c r="J24" t="e">
        <f t="shared" si="14"/>
        <v>#VALUE!</v>
      </c>
      <c r="K24" t="e">
        <f t="shared" si="15"/>
        <v>#VALUE!</v>
      </c>
      <c r="L24" t="e">
        <f t="shared" si="3"/>
        <v>#VALUE!</v>
      </c>
      <c r="M24" t="e">
        <f t="shared" si="0"/>
        <v>#VALUE!</v>
      </c>
      <c r="N24" t="e">
        <f t="shared" si="1"/>
        <v>#VALUE!</v>
      </c>
      <c r="O24" t="e">
        <f t="shared" si="4"/>
        <v>#VALUE!</v>
      </c>
      <c r="P24" t="e">
        <f t="shared" si="5"/>
        <v>#VALUE!</v>
      </c>
      <c r="Q24">
        <f t="shared" ca="1" si="16"/>
        <v>1000000</v>
      </c>
      <c r="R24">
        <f t="shared" ca="1" si="17"/>
        <v>100</v>
      </c>
      <c r="S24" t="e">
        <f t="shared" si="18"/>
        <v>#VALUE!</v>
      </c>
      <c r="T24">
        <f t="shared" ca="1" si="19"/>
        <v>1000000</v>
      </c>
      <c r="U24">
        <f t="shared" ca="1" si="20"/>
        <v>100</v>
      </c>
      <c r="V24" t="e">
        <f t="shared" si="21"/>
        <v>#VALUE!</v>
      </c>
      <c r="W24">
        <f t="shared" ca="1" si="22"/>
        <v>1000000000</v>
      </c>
      <c r="X24">
        <f t="shared" ca="1" si="23"/>
        <v>100</v>
      </c>
      <c r="Y24" t="e">
        <f>GetFollowingCarRow($B$45:$E$54,L24,$E$15,E24)</f>
        <v>#VALUE!</v>
      </c>
      <c r="Z24">
        <f t="shared" ca="1" si="24"/>
        <v>1000000000</v>
      </c>
      <c r="AA24">
        <f t="shared" ca="1" si="25"/>
        <v>100</v>
      </c>
      <c r="AB24" t="e">
        <f t="shared" si="26"/>
        <v>#VALUE!</v>
      </c>
      <c r="AC24" t="e">
        <f t="shared" si="27"/>
        <v>#VALUE!</v>
      </c>
      <c r="AD24" t="e">
        <f t="shared" si="28"/>
        <v>#VALUE!</v>
      </c>
      <c r="AE24" t="e">
        <f t="shared" si="29"/>
        <v>#VALUE!</v>
      </c>
      <c r="AF24" t="e">
        <f t="shared" si="30"/>
        <v>#VALUE!</v>
      </c>
      <c r="AG24" t="e">
        <f t="shared" si="31"/>
        <v>#VALUE!</v>
      </c>
      <c r="AH24" t="e">
        <f t="shared" si="32"/>
        <v>#VALUE!</v>
      </c>
      <c r="AI24" t="e">
        <f>IF(G24&lt;=0,1,0)</f>
        <v>#VALUE!</v>
      </c>
      <c r="AJ24" t="e">
        <f>IF(G24&lt;0,1,0)</f>
        <v>#VALUE!</v>
      </c>
      <c r="AK24" t="e">
        <f>MAX(($B$3-G24)/(G24 + 1),0) / $B$3</f>
        <v>#VALUE!</v>
      </c>
      <c r="AL24" t="e">
        <f>IF(H24+ABS(K24)&lt;0,Logistic(SQRT(H24^2+K24^2)/$B$4),0)</f>
        <v>#VALUE!</v>
      </c>
      <c r="AM24" t="e">
        <f>IF(G24&gt;$B$3,1,0)</f>
        <v>#VALUE!</v>
      </c>
      <c r="AN24" t="e">
        <f>IF(H24&gt;$B$4,1,0)</f>
        <v>#VALUE!</v>
      </c>
      <c r="AO24" t="e">
        <f>ABS(H24)/$B$4</f>
        <v>#VALUE!</v>
      </c>
      <c r="AP24" t="e">
        <f>Logistic(I24/$B$5)</f>
        <v>#VALUE!</v>
      </c>
      <c r="AQ24" t="e">
        <f>IF(I24&gt;$B$5,1,0)</f>
        <v>#VALUE!</v>
      </c>
      <c r="AR24" t="e">
        <f>Logistic(ABS(F24-O24)/($B$6/2))</f>
        <v>#VALUE!</v>
      </c>
      <c r="AS24" t="e">
        <f>IF(OR(F24&lt;M24,F24&gt;N24),1,0)</f>
        <v>#VALUE!</v>
      </c>
      <c r="AT24" t="e">
        <f>ABS(K24)/$B$4</f>
        <v>#VALUE!</v>
      </c>
      <c r="AU24">
        <f t="shared" ca="1" si="33"/>
        <v>0</v>
      </c>
      <c r="AV24" t="e">
        <f ca="1">IF(AND(L24&lt;&gt;$L$15,$Q$15&gt;Safety_Distance),1,0)</f>
        <v>#VALUE!</v>
      </c>
      <c r="AW24" t="e">
        <f ca="1">MAX(1-(IF(Q24/(G24-R24)&gt;0,Q24/(G24-R24),Collision_Time_Buffer)/Collision_Time_Buffer),0)*IF($L$15&lt;&gt;L24,Lane_Change_Multiplier,1)</f>
        <v>#VALUE!</v>
      </c>
      <c r="AX24" t="e">
        <f ca="1">MAX(1-(IF(T24/(G24-U24)&gt;0,T24/(G24-U24),Collision_Time_Buffer)/Collision_Time_Buffer),0)*IF($L$15&lt;&gt;L24,Lane_Change_Multiplier,1)</f>
        <v>#VALUE!</v>
      </c>
      <c r="AY24" t="e">
        <f ca="1">MAX(1-(IF(W24/(G24-X24)&gt;0,W24/(G24-X24),Collision_Time_Buffer)/Collision_Time_Buffer),0)*IF($L$15&lt;&gt;L24,Lane_Change_Multiplier,1)</f>
        <v>#VALUE!</v>
      </c>
      <c r="AZ24" t="e">
        <f ca="1">MAX(1-(IF(Z24/(G24-AA24)&gt;0,Z24/(G24-AA24),Collision_Time_Buffer)/Collision_Time_Buffer),0)*IF($L$15&lt;&gt;L24,Lane_Change_Multiplier,1)</f>
        <v>#VALUE!</v>
      </c>
      <c r="BA24">
        <f t="shared" ca="1" si="34"/>
        <v>0</v>
      </c>
      <c r="BB24">
        <f t="shared" ca="1" si="35"/>
        <v>0</v>
      </c>
      <c r="BC24">
        <f t="shared" si="36"/>
        <v>0</v>
      </c>
      <c r="BE24" t="e">
        <f t="shared" si="37"/>
        <v>#VALUE!</v>
      </c>
      <c r="BF24" t="e">
        <f t="shared" si="38"/>
        <v>#VALUE!</v>
      </c>
      <c r="BG24" t="e">
        <f t="shared" si="39"/>
        <v>#VALUE!</v>
      </c>
      <c r="BH24" t="e">
        <f t="shared" si="40"/>
        <v>#VALUE!</v>
      </c>
      <c r="BI24" t="e">
        <f t="shared" si="41"/>
        <v>#VALUE!</v>
      </c>
      <c r="BJ24" t="e">
        <f t="shared" si="42"/>
        <v>#VALUE!</v>
      </c>
      <c r="BK24" t="e">
        <f t="shared" si="43"/>
        <v>#VALUE!</v>
      </c>
      <c r="BL24" t="e">
        <f t="shared" si="44"/>
        <v>#VALUE!</v>
      </c>
      <c r="BM24" t="e">
        <f t="shared" si="45"/>
        <v>#VALUE!</v>
      </c>
      <c r="BN24" t="e">
        <f t="shared" si="46"/>
        <v>#VALUE!</v>
      </c>
      <c r="BO24" t="e">
        <f t="shared" si="47"/>
        <v>#VALUE!</v>
      </c>
      <c r="BP24" t="e">
        <f t="shared" si="7"/>
        <v>#VALUE!</v>
      </c>
      <c r="BQ24" t="e">
        <f t="shared" si="48"/>
        <v>#VALUE!</v>
      </c>
    </row>
    <row r="25" spans="1:69" x14ac:dyDescent="0.25">
      <c r="A25" s="1" t="s">
        <v>36</v>
      </c>
      <c r="B25">
        <f t="shared" si="2"/>
        <v>1000000</v>
      </c>
      <c r="D25" t="e">
        <f t="shared" si="8"/>
        <v>#VALUE!</v>
      </c>
      <c r="E25" t="e">
        <f t="shared" si="9"/>
        <v>#VALUE!</v>
      </c>
      <c r="F25" t="e">
        <f t="shared" si="10"/>
        <v>#VALUE!</v>
      </c>
      <c r="G25" t="e">
        <f t="shared" si="11"/>
        <v>#VALUE!</v>
      </c>
      <c r="H25" t="e">
        <f t="shared" si="12"/>
        <v>#VALUE!</v>
      </c>
      <c r="I25" t="e">
        <f t="shared" si="13"/>
        <v>#VALUE!</v>
      </c>
      <c r="J25" t="e">
        <f t="shared" si="14"/>
        <v>#VALUE!</v>
      </c>
      <c r="K25" t="e">
        <f t="shared" si="15"/>
        <v>#VALUE!</v>
      </c>
      <c r="L25" t="e">
        <f t="shared" si="3"/>
        <v>#VALUE!</v>
      </c>
      <c r="M25" t="e">
        <f t="shared" si="0"/>
        <v>#VALUE!</v>
      </c>
      <c r="N25" t="e">
        <f t="shared" si="1"/>
        <v>#VALUE!</v>
      </c>
      <c r="O25" t="e">
        <f t="shared" si="4"/>
        <v>#VALUE!</v>
      </c>
      <c r="P25" t="e">
        <f t="shared" si="5"/>
        <v>#VALUE!</v>
      </c>
      <c r="Q25">
        <f t="shared" ca="1" si="16"/>
        <v>1000000</v>
      </c>
      <c r="R25">
        <f t="shared" ca="1" si="17"/>
        <v>100</v>
      </c>
      <c r="S25" t="e">
        <f t="shared" si="18"/>
        <v>#VALUE!</v>
      </c>
      <c r="T25">
        <f t="shared" ca="1" si="19"/>
        <v>1000000</v>
      </c>
      <c r="U25">
        <f t="shared" ca="1" si="20"/>
        <v>100</v>
      </c>
      <c r="V25" t="e">
        <f t="shared" si="21"/>
        <v>#VALUE!</v>
      </c>
      <c r="W25">
        <f t="shared" ca="1" si="22"/>
        <v>1000000000</v>
      </c>
      <c r="X25">
        <f t="shared" ca="1" si="23"/>
        <v>100</v>
      </c>
      <c r="Y25" t="e">
        <f>GetFollowingCarRow($B$45:$E$54,L25,$E$15,E25)</f>
        <v>#VALUE!</v>
      </c>
      <c r="Z25">
        <f t="shared" ca="1" si="24"/>
        <v>1000000000</v>
      </c>
      <c r="AA25">
        <f t="shared" ca="1" si="25"/>
        <v>100</v>
      </c>
      <c r="AB25" t="e">
        <f t="shared" si="26"/>
        <v>#VALUE!</v>
      </c>
      <c r="AC25" t="e">
        <f t="shared" si="27"/>
        <v>#VALUE!</v>
      </c>
      <c r="AD25" t="e">
        <f t="shared" si="28"/>
        <v>#VALUE!</v>
      </c>
      <c r="AE25" t="e">
        <f t="shared" si="29"/>
        <v>#VALUE!</v>
      </c>
      <c r="AF25" t="e">
        <f t="shared" si="30"/>
        <v>#VALUE!</v>
      </c>
      <c r="AG25" t="e">
        <f t="shared" si="31"/>
        <v>#VALUE!</v>
      </c>
      <c r="AH25" t="e">
        <f t="shared" si="32"/>
        <v>#VALUE!</v>
      </c>
      <c r="AI25" t="e">
        <f>IF(G25&lt;=0,1,0)</f>
        <v>#VALUE!</v>
      </c>
      <c r="AJ25" t="e">
        <f>IF(G25&lt;0,1,0)</f>
        <v>#VALUE!</v>
      </c>
      <c r="AK25" t="e">
        <f>MAX(($B$3-G25)/(G25 + 1),0) / $B$3</f>
        <v>#VALUE!</v>
      </c>
      <c r="AL25" t="e">
        <f>IF(H25+ABS(K25)&lt;0,Logistic(SQRT(H25^2+K25^2)/$B$4),0)</f>
        <v>#VALUE!</v>
      </c>
      <c r="AM25" t="e">
        <f>IF(G25&gt;$B$3,1,0)</f>
        <v>#VALUE!</v>
      </c>
      <c r="AN25" t="e">
        <f>IF(H25&gt;$B$4,1,0)</f>
        <v>#VALUE!</v>
      </c>
      <c r="AO25" t="e">
        <f>ABS(H25)/$B$4</f>
        <v>#VALUE!</v>
      </c>
      <c r="AP25" t="e">
        <f>Logistic(I25/$B$5)</f>
        <v>#VALUE!</v>
      </c>
      <c r="AQ25" t="e">
        <f>IF(I25&gt;$B$5,1,0)</f>
        <v>#VALUE!</v>
      </c>
      <c r="AR25" t="e">
        <f>Logistic(ABS(F25-O25)/($B$6/2))</f>
        <v>#VALUE!</v>
      </c>
      <c r="AS25" t="e">
        <f>IF(OR(F25&lt;M25,F25&gt;N25),1,0)</f>
        <v>#VALUE!</v>
      </c>
      <c r="AT25" t="e">
        <f>ABS(K25)/$B$4</f>
        <v>#VALUE!</v>
      </c>
      <c r="AU25">
        <f t="shared" ca="1" si="33"/>
        <v>0</v>
      </c>
      <c r="AV25" t="e">
        <f ca="1">IF(AND(L25&lt;&gt;$L$15,$Q$15&gt;Safety_Distance),1,0)</f>
        <v>#VALUE!</v>
      </c>
      <c r="AW25" t="e">
        <f ca="1">MAX(1-(IF(Q25/(G25-R25)&gt;0,Q25/(G25-R25),Collision_Time_Buffer)/Collision_Time_Buffer),0)*IF($L$15&lt;&gt;L25,Lane_Change_Multiplier,1)</f>
        <v>#VALUE!</v>
      </c>
      <c r="AX25" t="e">
        <f ca="1">MAX(1-(IF(T25/(G25-U25)&gt;0,T25/(G25-U25),Collision_Time_Buffer)/Collision_Time_Buffer),0)*IF($L$15&lt;&gt;L25,Lane_Change_Multiplier,1)</f>
        <v>#VALUE!</v>
      </c>
      <c r="AY25" t="e">
        <f ca="1">MAX(1-(IF(W25/(G25-X25)&gt;0,W25/(G25-X25),Collision_Time_Buffer)/Collision_Time_Buffer),0)*IF($L$15&lt;&gt;L25,Lane_Change_Multiplier,1)</f>
        <v>#VALUE!</v>
      </c>
      <c r="AZ25" t="e">
        <f ca="1">MAX(1-(IF(Z25/(G25-AA25)&gt;0,Z25/(G25-AA25),Collision_Time_Buffer)/Collision_Time_Buffer),0)*IF($L$15&lt;&gt;L25,Lane_Change_Multiplier,1)</f>
        <v>#VALUE!</v>
      </c>
      <c r="BA25">
        <f t="shared" ca="1" si="34"/>
        <v>0</v>
      </c>
      <c r="BB25">
        <f t="shared" ca="1" si="35"/>
        <v>0</v>
      </c>
      <c r="BC25">
        <f t="shared" si="36"/>
        <v>0</v>
      </c>
      <c r="BE25" t="e">
        <f t="shared" si="37"/>
        <v>#VALUE!</v>
      </c>
      <c r="BF25" t="e">
        <f t="shared" si="38"/>
        <v>#VALUE!</v>
      </c>
      <c r="BG25" t="e">
        <f t="shared" si="39"/>
        <v>#VALUE!</v>
      </c>
      <c r="BH25" t="e">
        <f t="shared" si="40"/>
        <v>#VALUE!</v>
      </c>
      <c r="BI25" t="e">
        <f t="shared" si="41"/>
        <v>#VALUE!</v>
      </c>
      <c r="BJ25" t="e">
        <f t="shared" si="42"/>
        <v>#VALUE!</v>
      </c>
      <c r="BK25" t="e">
        <f t="shared" si="43"/>
        <v>#VALUE!</v>
      </c>
      <c r="BL25" t="e">
        <f t="shared" si="44"/>
        <v>#VALUE!</v>
      </c>
      <c r="BM25" t="e">
        <f t="shared" si="45"/>
        <v>#VALUE!</v>
      </c>
      <c r="BN25" t="e">
        <f t="shared" si="46"/>
        <v>#VALUE!</v>
      </c>
      <c r="BO25" t="e">
        <f t="shared" si="47"/>
        <v>#VALUE!</v>
      </c>
      <c r="BP25" t="e">
        <f t="shared" si="7"/>
        <v>#VALUE!</v>
      </c>
      <c r="BQ25" t="e">
        <f t="shared" si="48"/>
        <v>#VALUE!</v>
      </c>
    </row>
    <row r="26" spans="1:69" x14ac:dyDescent="0.25">
      <c r="A26" s="1" t="s">
        <v>79</v>
      </c>
      <c r="B26">
        <f t="shared" si="2"/>
        <v>1000000</v>
      </c>
      <c r="D26" t="e">
        <f t="shared" si="8"/>
        <v>#VALUE!</v>
      </c>
      <c r="E26" t="e">
        <f t="shared" si="9"/>
        <v>#VALUE!</v>
      </c>
      <c r="F26" t="e">
        <f t="shared" si="10"/>
        <v>#VALUE!</v>
      </c>
      <c r="G26" t="e">
        <f t="shared" si="11"/>
        <v>#VALUE!</v>
      </c>
      <c r="H26" t="e">
        <f t="shared" si="12"/>
        <v>#VALUE!</v>
      </c>
      <c r="I26" t="e">
        <f t="shared" si="13"/>
        <v>#VALUE!</v>
      </c>
      <c r="J26" t="e">
        <f t="shared" si="14"/>
        <v>#VALUE!</v>
      </c>
      <c r="K26" t="e">
        <f t="shared" si="15"/>
        <v>#VALUE!</v>
      </c>
      <c r="L26" t="e">
        <f t="shared" si="3"/>
        <v>#VALUE!</v>
      </c>
      <c r="M26" t="e">
        <f t="shared" si="0"/>
        <v>#VALUE!</v>
      </c>
      <c r="N26" t="e">
        <f t="shared" si="1"/>
        <v>#VALUE!</v>
      </c>
      <c r="O26" t="e">
        <f t="shared" si="4"/>
        <v>#VALUE!</v>
      </c>
      <c r="P26" t="e">
        <f t="shared" si="5"/>
        <v>#VALUE!</v>
      </c>
      <c r="Q26">
        <f t="shared" ca="1" si="16"/>
        <v>1000000</v>
      </c>
      <c r="R26">
        <f t="shared" ca="1" si="17"/>
        <v>100</v>
      </c>
      <c r="S26" t="e">
        <f t="shared" si="18"/>
        <v>#VALUE!</v>
      </c>
      <c r="T26">
        <f t="shared" ca="1" si="19"/>
        <v>1000000</v>
      </c>
      <c r="U26">
        <f t="shared" ca="1" si="20"/>
        <v>100</v>
      </c>
      <c r="V26" t="e">
        <f t="shared" si="21"/>
        <v>#VALUE!</v>
      </c>
      <c r="W26">
        <f t="shared" ca="1" si="22"/>
        <v>1000000000</v>
      </c>
      <c r="X26">
        <f t="shared" ca="1" si="23"/>
        <v>100</v>
      </c>
      <c r="Y26" t="e">
        <f>GetFollowingCarRow($B$45:$E$54,L26,$E$15,E26)</f>
        <v>#VALUE!</v>
      </c>
      <c r="Z26">
        <f t="shared" ca="1" si="24"/>
        <v>1000000000</v>
      </c>
      <c r="AA26">
        <f t="shared" ca="1" si="25"/>
        <v>100</v>
      </c>
      <c r="AB26" t="e">
        <f t="shared" si="26"/>
        <v>#VALUE!</v>
      </c>
      <c r="AC26" t="e">
        <f t="shared" si="27"/>
        <v>#VALUE!</v>
      </c>
      <c r="AD26" t="e">
        <f t="shared" si="28"/>
        <v>#VALUE!</v>
      </c>
      <c r="AE26" t="e">
        <f t="shared" si="29"/>
        <v>#VALUE!</v>
      </c>
      <c r="AF26" t="e">
        <f t="shared" si="30"/>
        <v>#VALUE!</v>
      </c>
      <c r="AG26" t="e">
        <f t="shared" si="31"/>
        <v>#VALUE!</v>
      </c>
      <c r="AH26" t="e">
        <f t="shared" si="32"/>
        <v>#VALUE!</v>
      </c>
      <c r="AI26" t="e">
        <f>IF(G26&lt;=0,1,0)</f>
        <v>#VALUE!</v>
      </c>
      <c r="AJ26" t="e">
        <f>IF(G26&lt;0,1,0)</f>
        <v>#VALUE!</v>
      </c>
      <c r="AK26" t="e">
        <f>MAX(($B$3-G26)/(G26 + 1),0) / $B$3</f>
        <v>#VALUE!</v>
      </c>
      <c r="AL26" t="e">
        <f>IF(H26+ABS(K26)&lt;0,Logistic(SQRT(H26^2+K26^2)/$B$4),0)</f>
        <v>#VALUE!</v>
      </c>
      <c r="AM26" t="e">
        <f>IF(G26&gt;$B$3,1,0)</f>
        <v>#VALUE!</v>
      </c>
      <c r="AN26" t="e">
        <f>IF(H26&gt;$B$4,1,0)</f>
        <v>#VALUE!</v>
      </c>
      <c r="AO26" t="e">
        <f>ABS(H26)/$B$4</f>
        <v>#VALUE!</v>
      </c>
      <c r="AP26" t="e">
        <f>Logistic(I26/$B$5)</f>
        <v>#VALUE!</v>
      </c>
      <c r="AQ26" t="e">
        <f>IF(I26&gt;$B$5,1,0)</f>
        <v>#VALUE!</v>
      </c>
      <c r="AR26" t="e">
        <f>Logistic(ABS(F26-O26)/($B$6/2))</f>
        <v>#VALUE!</v>
      </c>
      <c r="AS26" t="e">
        <f>IF(OR(F26&lt;M26,F26&gt;N26),1,0)</f>
        <v>#VALUE!</v>
      </c>
      <c r="AT26" t="e">
        <f>ABS(K26)/$B$4</f>
        <v>#VALUE!</v>
      </c>
      <c r="AU26">
        <f t="shared" ca="1" si="33"/>
        <v>0</v>
      </c>
      <c r="AV26" t="e">
        <f ca="1">IF(AND(L26&lt;&gt;$L$15,$Q$15&gt;Safety_Distance),1,0)</f>
        <v>#VALUE!</v>
      </c>
      <c r="AW26" t="e">
        <f ca="1">MAX(1-(IF(Q26/(G26-R26)&gt;0,Q26/(G26-R26),Collision_Time_Buffer)/Collision_Time_Buffer),0)*IF($L$15&lt;&gt;L26,Lane_Change_Multiplier,1)</f>
        <v>#VALUE!</v>
      </c>
      <c r="AX26" t="e">
        <f ca="1">MAX(1-(IF(T26/(G26-U26)&gt;0,T26/(G26-U26),Collision_Time_Buffer)/Collision_Time_Buffer),0)*IF($L$15&lt;&gt;L26,Lane_Change_Multiplier,1)</f>
        <v>#VALUE!</v>
      </c>
      <c r="AY26" t="e">
        <f ca="1">MAX(1-(IF(W26/(G26-X26)&gt;0,W26/(G26-X26),Collision_Time_Buffer)/Collision_Time_Buffer),0)*IF($L$15&lt;&gt;L26,Lane_Change_Multiplier,1)</f>
        <v>#VALUE!</v>
      </c>
      <c r="AZ26" t="e">
        <f ca="1">MAX(1-(IF(Z26/(G26-AA26)&gt;0,Z26/(G26-AA26),Collision_Time_Buffer)/Collision_Time_Buffer),0)*IF($L$15&lt;&gt;L26,Lane_Change_Multiplier,1)</f>
        <v>#VALUE!</v>
      </c>
      <c r="BA26">
        <f t="shared" ca="1" si="34"/>
        <v>0</v>
      </c>
      <c r="BB26">
        <f t="shared" ca="1" si="35"/>
        <v>0</v>
      </c>
      <c r="BC26">
        <f t="shared" si="36"/>
        <v>0</v>
      </c>
      <c r="BE26" t="e">
        <f t="shared" si="37"/>
        <v>#VALUE!</v>
      </c>
      <c r="BF26" t="e">
        <f t="shared" si="38"/>
        <v>#VALUE!</v>
      </c>
      <c r="BG26" t="e">
        <f t="shared" si="39"/>
        <v>#VALUE!</v>
      </c>
      <c r="BH26" t="e">
        <f t="shared" si="40"/>
        <v>#VALUE!</v>
      </c>
      <c r="BI26" t="e">
        <f t="shared" si="41"/>
        <v>#VALUE!</v>
      </c>
      <c r="BJ26" t="e">
        <f t="shared" si="42"/>
        <v>#VALUE!</v>
      </c>
      <c r="BK26" t="e">
        <f t="shared" si="43"/>
        <v>#VALUE!</v>
      </c>
      <c r="BL26" t="e">
        <f t="shared" si="44"/>
        <v>#VALUE!</v>
      </c>
      <c r="BM26" t="e">
        <f t="shared" si="45"/>
        <v>#VALUE!</v>
      </c>
      <c r="BN26" t="e">
        <f t="shared" si="46"/>
        <v>#VALUE!</v>
      </c>
      <c r="BO26" t="e">
        <f t="shared" si="47"/>
        <v>#VALUE!</v>
      </c>
      <c r="BP26" t="e">
        <f t="shared" si="7"/>
        <v>#VALUE!</v>
      </c>
      <c r="BQ26" t="e">
        <f t="shared" si="48"/>
        <v>#VALUE!</v>
      </c>
    </row>
    <row r="27" spans="1:69" x14ac:dyDescent="0.25">
      <c r="A27" s="1" t="s">
        <v>80</v>
      </c>
      <c r="B27">
        <f t="shared" si="2"/>
        <v>1000000</v>
      </c>
      <c r="D27" t="e">
        <f t="shared" si="8"/>
        <v>#VALUE!</v>
      </c>
      <c r="E27" t="e">
        <f t="shared" si="9"/>
        <v>#VALUE!</v>
      </c>
      <c r="F27" t="e">
        <f t="shared" si="10"/>
        <v>#VALUE!</v>
      </c>
      <c r="G27" t="e">
        <f t="shared" si="11"/>
        <v>#VALUE!</v>
      </c>
      <c r="H27" t="e">
        <f t="shared" si="12"/>
        <v>#VALUE!</v>
      </c>
      <c r="I27" t="e">
        <f t="shared" si="13"/>
        <v>#VALUE!</v>
      </c>
      <c r="J27" t="e">
        <f t="shared" si="14"/>
        <v>#VALUE!</v>
      </c>
      <c r="K27" t="e">
        <f t="shared" si="15"/>
        <v>#VALUE!</v>
      </c>
      <c r="L27" t="e">
        <f t="shared" si="3"/>
        <v>#VALUE!</v>
      </c>
      <c r="M27" t="e">
        <f t="shared" si="0"/>
        <v>#VALUE!</v>
      </c>
      <c r="N27" t="e">
        <f t="shared" si="1"/>
        <v>#VALUE!</v>
      </c>
      <c r="O27" t="e">
        <f t="shared" si="4"/>
        <v>#VALUE!</v>
      </c>
      <c r="P27" t="e">
        <f t="shared" si="5"/>
        <v>#VALUE!</v>
      </c>
      <c r="Q27">
        <f t="shared" ca="1" si="16"/>
        <v>1000000</v>
      </c>
      <c r="R27">
        <f t="shared" ca="1" si="17"/>
        <v>100</v>
      </c>
      <c r="S27" t="e">
        <f t="shared" si="18"/>
        <v>#VALUE!</v>
      </c>
      <c r="T27">
        <f t="shared" ca="1" si="19"/>
        <v>1000000</v>
      </c>
      <c r="U27">
        <f t="shared" ca="1" si="20"/>
        <v>100</v>
      </c>
      <c r="V27" t="e">
        <f t="shared" si="21"/>
        <v>#VALUE!</v>
      </c>
      <c r="W27">
        <f t="shared" ca="1" si="22"/>
        <v>1000000000</v>
      </c>
      <c r="X27">
        <f t="shared" ca="1" si="23"/>
        <v>100</v>
      </c>
      <c r="Y27" t="e">
        <f>GetFollowingCarRow($B$45:$E$54,L27,$E$15,E27)</f>
        <v>#VALUE!</v>
      </c>
      <c r="Z27">
        <f t="shared" ca="1" si="24"/>
        <v>1000000000</v>
      </c>
      <c r="AA27">
        <f t="shared" ca="1" si="25"/>
        <v>100</v>
      </c>
      <c r="AB27" t="e">
        <f t="shared" si="26"/>
        <v>#VALUE!</v>
      </c>
      <c r="AC27" t="e">
        <f t="shared" si="27"/>
        <v>#VALUE!</v>
      </c>
      <c r="AD27" t="e">
        <f t="shared" si="28"/>
        <v>#VALUE!</v>
      </c>
      <c r="AE27" t="e">
        <f t="shared" si="29"/>
        <v>#VALUE!</v>
      </c>
      <c r="AF27" t="e">
        <f t="shared" si="30"/>
        <v>#VALUE!</v>
      </c>
      <c r="AG27" t="e">
        <f t="shared" si="31"/>
        <v>#VALUE!</v>
      </c>
      <c r="AH27" t="e">
        <f t="shared" si="32"/>
        <v>#VALUE!</v>
      </c>
      <c r="AI27" t="e">
        <f>IF(G27&lt;=0,1,0)</f>
        <v>#VALUE!</v>
      </c>
      <c r="AJ27" t="e">
        <f>IF(G27&lt;0,1,0)</f>
        <v>#VALUE!</v>
      </c>
      <c r="AK27" t="e">
        <f>MAX(($B$3-G27)/(G27 + 1),0) / $B$3</f>
        <v>#VALUE!</v>
      </c>
      <c r="AL27" t="e">
        <f>IF(H27+ABS(K27)&lt;0,Logistic(SQRT(H27^2+K27^2)/$B$4),0)</f>
        <v>#VALUE!</v>
      </c>
      <c r="AM27" t="e">
        <f>IF(G27&gt;$B$3,1,0)</f>
        <v>#VALUE!</v>
      </c>
      <c r="AN27" t="e">
        <f>IF(H27&gt;$B$4,1,0)</f>
        <v>#VALUE!</v>
      </c>
      <c r="AO27" t="e">
        <f>ABS(H27)/$B$4</f>
        <v>#VALUE!</v>
      </c>
      <c r="AP27" t="e">
        <f>Logistic(I27/$B$5)</f>
        <v>#VALUE!</v>
      </c>
      <c r="AQ27" t="e">
        <f>IF(I27&gt;$B$5,1,0)</f>
        <v>#VALUE!</v>
      </c>
      <c r="AR27" t="e">
        <f>Logistic(ABS(F27-O27)/($B$6/2))</f>
        <v>#VALUE!</v>
      </c>
      <c r="AS27" t="e">
        <f>IF(OR(F27&lt;M27,F27&gt;N27),1,0)</f>
        <v>#VALUE!</v>
      </c>
      <c r="AT27" t="e">
        <f>ABS(K27)/$B$4</f>
        <v>#VALUE!</v>
      </c>
      <c r="AU27">
        <f t="shared" ca="1" si="33"/>
        <v>0</v>
      </c>
      <c r="AV27" t="e">
        <f ca="1">IF(AND(L27&lt;&gt;$L$15,$Q$15&gt;Safety_Distance),1,0)</f>
        <v>#VALUE!</v>
      </c>
      <c r="AW27" t="e">
        <f ca="1">MAX(1-(IF(Q27/(G27-R27)&gt;0,Q27/(G27-R27),Collision_Time_Buffer)/Collision_Time_Buffer),0)*IF($L$15&lt;&gt;L27,Lane_Change_Multiplier,1)</f>
        <v>#VALUE!</v>
      </c>
      <c r="AX27" t="e">
        <f ca="1">MAX(1-(IF(T27/(G27-U27)&gt;0,T27/(G27-U27),Collision_Time_Buffer)/Collision_Time_Buffer),0)*IF($L$15&lt;&gt;L27,Lane_Change_Multiplier,1)</f>
        <v>#VALUE!</v>
      </c>
      <c r="AY27" t="e">
        <f ca="1">MAX(1-(IF(W27/(G27-X27)&gt;0,W27/(G27-X27),Collision_Time_Buffer)/Collision_Time_Buffer),0)*IF($L$15&lt;&gt;L27,Lane_Change_Multiplier,1)</f>
        <v>#VALUE!</v>
      </c>
      <c r="AZ27" t="e">
        <f ca="1">MAX(1-(IF(Z27/(G27-AA27)&gt;0,Z27/(G27-AA27),Collision_Time_Buffer)/Collision_Time_Buffer),0)*IF($L$15&lt;&gt;L27,Lane_Change_Multiplier,1)</f>
        <v>#VALUE!</v>
      </c>
      <c r="BA27">
        <f t="shared" ca="1" si="34"/>
        <v>0</v>
      </c>
      <c r="BB27">
        <f t="shared" ca="1" si="35"/>
        <v>0</v>
      </c>
      <c r="BC27">
        <f t="shared" si="36"/>
        <v>0</v>
      </c>
      <c r="BE27" t="e">
        <f t="shared" si="37"/>
        <v>#VALUE!</v>
      </c>
      <c r="BF27" t="e">
        <f t="shared" si="38"/>
        <v>#VALUE!</v>
      </c>
      <c r="BG27" t="e">
        <f t="shared" si="39"/>
        <v>#VALUE!</v>
      </c>
      <c r="BH27" t="e">
        <f t="shared" si="40"/>
        <v>#VALUE!</v>
      </c>
      <c r="BI27" t="e">
        <f t="shared" si="41"/>
        <v>#VALUE!</v>
      </c>
      <c r="BJ27" t="e">
        <f t="shared" si="42"/>
        <v>#VALUE!</v>
      </c>
      <c r="BK27" t="e">
        <f t="shared" si="43"/>
        <v>#VALUE!</v>
      </c>
      <c r="BL27" t="e">
        <f t="shared" si="44"/>
        <v>#VALUE!</v>
      </c>
      <c r="BM27" t="e">
        <f t="shared" si="45"/>
        <v>#VALUE!</v>
      </c>
      <c r="BN27" t="e">
        <f t="shared" si="46"/>
        <v>#VALUE!</v>
      </c>
      <c r="BO27" t="e">
        <f t="shared" si="47"/>
        <v>#VALUE!</v>
      </c>
      <c r="BP27" t="e">
        <f t="shared" si="7"/>
        <v>#VALUE!</v>
      </c>
      <c r="BQ27" t="e">
        <f t="shared" si="48"/>
        <v>#VALUE!</v>
      </c>
    </row>
    <row r="28" spans="1:69" x14ac:dyDescent="0.25">
      <c r="A28" s="1" t="s">
        <v>81</v>
      </c>
      <c r="B28">
        <f t="shared" si="2"/>
        <v>1000000</v>
      </c>
      <c r="D28" t="e">
        <f t="shared" si="8"/>
        <v>#VALUE!</v>
      </c>
      <c r="E28" t="e">
        <f t="shared" si="9"/>
        <v>#VALUE!</v>
      </c>
      <c r="F28" t="e">
        <f t="shared" si="10"/>
        <v>#VALUE!</v>
      </c>
      <c r="G28" t="e">
        <f t="shared" si="11"/>
        <v>#VALUE!</v>
      </c>
      <c r="H28" t="e">
        <f t="shared" si="12"/>
        <v>#VALUE!</v>
      </c>
      <c r="I28" t="e">
        <f t="shared" si="13"/>
        <v>#VALUE!</v>
      </c>
      <c r="J28" t="e">
        <f t="shared" si="14"/>
        <v>#VALUE!</v>
      </c>
      <c r="K28" t="e">
        <f t="shared" si="15"/>
        <v>#VALUE!</v>
      </c>
      <c r="L28" t="e">
        <f t="shared" si="3"/>
        <v>#VALUE!</v>
      </c>
      <c r="M28" t="e">
        <f t="shared" si="0"/>
        <v>#VALUE!</v>
      </c>
      <c r="N28" t="e">
        <f t="shared" si="1"/>
        <v>#VALUE!</v>
      </c>
      <c r="O28" t="e">
        <f t="shared" si="4"/>
        <v>#VALUE!</v>
      </c>
      <c r="P28" t="e">
        <f t="shared" si="5"/>
        <v>#VALUE!</v>
      </c>
      <c r="Q28">
        <f t="shared" ca="1" si="16"/>
        <v>1000000</v>
      </c>
      <c r="R28">
        <f t="shared" ca="1" si="17"/>
        <v>100</v>
      </c>
      <c r="S28" t="e">
        <f t="shared" si="18"/>
        <v>#VALUE!</v>
      </c>
      <c r="T28">
        <f t="shared" ca="1" si="19"/>
        <v>1000000</v>
      </c>
      <c r="U28">
        <f t="shared" ca="1" si="20"/>
        <v>100</v>
      </c>
      <c r="V28" t="e">
        <f t="shared" si="21"/>
        <v>#VALUE!</v>
      </c>
      <c r="W28">
        <f t="shared" ca="1" si="22"/>
        <v>1000000000</v>
      </c>
      <c r="X28">
        <f t="shared" ca="1" si="23"/>
        <v>100</v>
      </c>
      <c r="Y28" t="e">
        <f>GetFollowingCarRow($B$45:$E$54,L28,$E$15,E28)</f>
        <v>#VALUE!</v>
      </c>
      <c r="Z28">
        <f t="shared" ca="1" si="24"/>
        <v>1000000000</v>
      </c>
      <c r="AA28">
        <f t="shared" ca="1" si="25"/>
        <v>100</v>
      </c>
      <c r="AB28" t="e">
        <f t="shared" si="26"/>
        <v>#VALUE!</v>
      </c>
      <c r="AC28" t="e">
        <f t="shared" si="27"/>
        <v>#VALUE!</v>
      </c>
      <c r="AD28" t="e">
        <f t="shared" si="28"/>
        <v>#VALUE!</v>
      </c>
      <c r="AE28" t="e">
        <f t="shared" si="29"/>
        <v>#VALUE!</v>
      </c>
      <c r="AF28" t="e">
        <f t="shared" si="30"/>
        <v>#VALUE!</v>
      </c>
      <c r="AG28" t="e">
        <f t="shared" si="31"/>
        <v>#VALUE!</v>
      </c>
      <c r="AH28" t="e">
        <f t="shared" si="32"/>
        <v>#VALUE!</v>
      </c>
      <c r="AI28" t="e">
        <f>IF(G28&lt;=0,1,0)</f>
        <v>#VALUE!</v>
      </c>
      <c r="AJ28" t="e">
        <f>IF(G28&lt;0,1,0)</f>
        <v>#VALUE!</v>
      </c>
      <c r="AK28" t="e">
        <f>MAX(($B$3-G28)/(G28 + 1),0) / $B$3</f>
        <v>#VALUE!</v>
      </c>
      <c r="AL28" t="e">
        <f>IF(H28+ABS(K28)&lt;0,Logistic(SQRT(H28^2+K28^2)/$B$4),0)</f>
        <v>#VALUE!</v>
      </c>
      <c r="AM28" t="e">
        <f>IF(G28&gt;$B$3,1,0)</f>
        <v>#VALUE!</v>
      </c>
      <c r="AN28" t="e">
        <f>IF(H28&gt;$B$4,1,0)</f>
        <v>#VALUE!</v>
      </c>
      <c r="AO28" t="e">
        <f>ABS(H28)/$B$4</f>
        <v>#VALUE!</v>
      </c>
      <c r="AP28" t="e">
        <f>Logistic(I28/$B$5)</f>
        <v>#VALUE!</v>
      </c>
      <c r="AQ28" t="e">
        <f>IF(I28&gt;$B$5,1,0)</f>
        <v>#VALUE!</v>
      </c>
      <c r="AR28" t="e">
        <f>Logistic(ABS(F28-O28)/($B$6/2))</f>
        <v>#VALUE!</v>
      </c>
      <c r="AS28" t="e">
        <f>IF(OR(F28&lt;M28,F28&gt;N28),1,0)</f>
        <v>#VALUE!</v>
      </c>
      <c r="AT28" t="e">
        <f>ABS(K28)/$B$4</f>
        <v>#VALUE!</v>
      </c>
      <c r="AU28">
        <f t="shared" ca="1" si="33"/>
        <v>0</v>
      </c>
      <c r="AV28" t="e">
        <f ca="1">IF(AND(L28&lt;&gt;$L$15,$Q$15&gt;Safety_Distance),1,0)</f>
        <v>#VALUE!</v>
      </c>
      <c r="AW28" t="e">
        <f ca="1">MAX(1-(IF(Q28/(G28-R28)&gt;0,Q28/(G28-R28),Collision_Time_Buffer)/Collision_Time_Buffer),0)*IF($L$15&lt;&gt;L28,Lane_Change_Multiplier,1)</f>
        <v>#VALUE!</v>
      </c>
      <c r="AX28" t="e">
        <f ca="1">MAX(1-(IF(T28/(G28-U28)&gt;0,T28/(G28-U28),Collision_Time_Buffer)/Collision_Time_Buffer),0)*IF($L$15&lt;&gt;L28,Lane_Change_Multiplier,1)</f>
        <v>#VALUE!</v>
      </c>
      <c r="AY28" t="e">
        <f ca="1">MAX(1-(IF(W28/(G28-X28)&gt;0,W28/(G28-X28),Collision_Time_Buffer)/Collision_Time_Buffer),0)*IF($L$15&lt;&gt;L28,Lane_Change_Multiplier,1)</f>
        <v>#VALUE!</v>
      </c>
      <c r="AZ28" t="e">
        <f ca="1">MAX(1-(IF(Z28/(G28-AA28)&gt;0,Z28/(G28-AA28),Collision_Time_Buffer)/Collision_Time_Buffer),0)*IF($L$15&lt;&gt;L28,Lane_Change_Multiplier,1)</f>
        <v>#VALUE!</v>
      </c>
      <c r="BA28">
        <f t="shared" ca="1" si="34"/>
        <v>0</v>
      </c>
      <c r="BB28">
        <f t="shared" ca="1" si="35"/>
        <v>0</v>
      </c>
      <c r="BC28">
        <f t="shared" si="36"/>
        <v>0</v>
      </c>
      <c r="BE28" t="e">
        <f t="shared" si="37"/>
        <v>#VALUE!</v>
      </c>
      <c r="BF28" t="e">
        <f t="shared" si="38"/>
        <v>#VALUE!</v>
      </c>
      <c r="BG28" t="e">
        <f t="shared" si="39"/>
        <v>#VALUE!</v>
      </c>
      <c r="BH28" t="e">
        <f t="shared" si="40"/>
        <v>#VALUE!</v>
      </c>
      <c r="BI28" t="e">
        <f t="shared" si="41"/>
        <v>#VALUE!</v>
      </c>
      <c r="BJ28" t="e">
        <f t="shared" si="42"/>
        <v>#VALUE!</v>
      </c>
      <c r="BK28" t="e">
        <f t="shared" si="43"/>
        <v>#VALUE!</v>
      </c>
      <c r="BL28" t="e">
        <f t="shared" si="44"/>
        <v>#VALUE!</v>
      </c>
      <c r="BM28" t="e">
        <f t="shared" si="45"/>
        <v>#VALUE!</v>
      </c>
      <c r="BN28" t="e">
        <f t="shared" si="46"/>
        <v>#VALUE!</v>
      </c>
      <c r="BO28" t="e">
        <f t="shared" si="47"/>
        <v>#VALUE!</v>
      </c>
      <c r="BP28" t="e">
        <f t="shared" si="7"/>
        <v>#VALUE!</v>
      </c>
      <c r="BQ28" t="e">
        <f t="shared" si="48"/>
        <v>#VALUE!</v>
      </c>
    </row>
    <row r="29" spans="1:69" x14ac:dyDescent="0.25">
      <c r="A29" s="1" t="s">
        <v>22</v>
      </c>
      <c r="B29">
        <f t="shared" si="2"/>
        <v>1000000</v>
      </c>
      <c r="D29" t="e">
        <f t="shared" si="8"/>
        <v>#VALUE!</v>
      </c>
      <c r="E29" t="e">
        <f t="shared" si="9"/>
        <v>#VALUE!</v>
      </c>
      <c r="F29" t="e">
        <f t="shared" si="10"/>
        <v>#VALUE!</v>
      </c>
      <c r="G29" t="e">
        <f t="shared" si="11"/>
        <v>#VALUE!</v>
      </c>
      <c r="H29" t="e">
        <f t="shared" si="12"/>
        <v>#VALUE!</v>
      </c>
      <c r="I29" t="e">
        <f t="shared" si="13"/>
        <v>#VALUE!</v>
      </c>
      <c r="J29" t="e">
        <f t="shared" si="14"/>
        <v>#VALUE!</v>
      </c>
      <c r="K29" t="e">
        <f t="shared" si="15"/>
        <v>#VALUE!</v>
      </c>
      <c r="L29" t="e">
        <f t="shared" si="3"/>
        <v>#VALUE!</v>
      </c>
      <c r="M29" t="e">
        <f t="shared" si="0"/>
        <v>#VALUE!</v>
      </c>
      <c r="N29" t="e">
        <f t="shared" si="1"/>
        <v>#VALUE!</v>
      </c>
      <c r="O29" t="e">
        <f t="shared" si="4"/>
        <v>#VALUE!</v>
      </c>
      <c r="P29" t="e">
        <f t="shared" si="5"/>
        <v>#VALUE!</v>
      </c>
      <c r="Q29">
        <f t="shared" ca="1" si="16"/>
        <v>1000000</v>
      </c>
      <c r="R29">
        <f t="shared" ca="1" si="17"/>
        <v>100</v>
      </c>
      <c r="S29" t="e">
        <f t="shared" si="18"/>
        <v>#VALUE!</v>
      </c>
      <c r="T29">
        <f t="shared" ca="1" si="19"/>
        <v>1000000</v>
      </c>
      <c r="U29">
        <f t="shared" ca="1" si="20"/>
        <v>100</v>
      </c>
      <c r="V29" t="e">
        <f t="shared" si="21"/>
        <v>#VALUE!</v>
      </c>
      <c r="W29">
        <f t="shared" ca="1" si="22"/>
        <v>1000000000</v>
      </c>
      <c r="X29">
        <f t="shared" ca="1" si="23"/>
        <v>100</v>
      </c>
      <c r="Y29" t="e">
        <f>GetFollowingCarRow($B$45:$E$54,L29,$E$15,E29)</f>
        <v>#VALUE!</v>
      </c>
      <c r="Z29">
        <f t="shared" ca="1" si="24"/>
        <v>1000000000</v>
      </c>
      <c r="AA29">
        <f t="shared" ca="1" si="25"/>
        <v>100</v>
      </c>
      <c r="AB29" t="e">
        <f t="shared" si="26"/>
        <v>#VALUE!</v>
      </c>
      <c r="AC29" t="e">
        <f t="shared" si="27"/>
        <v>#VALUE!</v>
      </c>
      <c r="AD29" t="e">
        <f t="shared" si="28"/>
        <v>#VALUE!</v>
      </c>
      <c r="AE29" t="e">
        <f t="shared" si="29"/>
        <v>#VALUE!</v>
      </c>
      <c r="AF29" t="e">
        <f t="shared" si="30"/>
        <v>#VALUE!</v>
      </c>
      <c r="AG29" t="e">
        <f t="shared" si="31"/>
        <v>#VALUE!</v>
      </c>
      <c r="AH29" t="e">
        <f t="shared" si="32"/>
        <v>#VALUE!</v>
      </c>
      <c r="AI29" t="e">
        <f>IF(G29&lt;=0,1,0)</f>
        <v>#VALUE!</v>
      </c>
      <c r="AJ29" t="e">
        <f>IF(G29&lt;0,1,0)</f>
        <v>#VALUE!</v>
      </c>
      <c r="AK29" t="e">
        <f>MAX(($B$3-G29)/(G29 + 1),0) / $B$3</f>
        <v>#VALUE!</v>
      </c>
      <c r="AL29" t="e">
        <f>IF(H29+ABS(K29)&lt;0,Logistic(SQRT(H29^2+K29^2)/$B$4),0)</f>
        <v>#VALUE!</v>
      </c>
      <c r="AM29" t="e">
        <f>IF(G29&gt;$B$3,1,0)</f>
        <v>#VALUE!</v>
      </c>
      <c r="AN29" t="e">
        <f>IF(H29&gt;$B$4,1,0)</f>
        <v>#VALUE!</v>
      </c>
      <c r="AO29" t="e">
        <f>ABS(H29)/$B$4</f>
        <v>#VALUE!</v>
      </c>
      <c r="AP29" t="e">
        <f>Logistic(I29/$B$5)</f>
        <v>#VALUE!</v>
      </c>
      <c r="AQ29" t="e">
        <f>IF(I29&gt;$B$5,1,0)</f>
        <v>#VALUE!</v>
      </c>
      <c r="AR29" t="e">
        <f>Logistic(ABS(F29-O29)/($B$6/2))</f>
        <v>#VALUE!</v>
      </c>
      <c r="AS29" t="e">
        <f>IF(OR(F29&lt;M29,F29&gt;N29),1,0)</f>
        <v>#VALUE!</v>
      </c>
      <c r="AT29" t="e">
        <f>ABS(K29)/$B$4</f>
        <v>#VALUE!</v>
      </c>
      <c r="AU29">
        <f t="shared" ca="1" si="33"/>
        <v>0</v>
      </c>
      <c r="AV29" t="e">
        <f ca="1">IF(AND(L29&lt;&gt;$L$15,$Q$15&gt;Safety_Distance),1,0)</f>
        <v>#VALUE!</v>
      </c>
      <c r="AW29" t="e">
        <f ca="1">MAX(1-(IF(Q29/(G29-R29)&gt;0,Q29/(G29-R29),Collision_Time_Buffer)/Collision_Time_Buffer),0)*IF($L$15&lt;&gt;L29,Lane_Change_Multiplier,1)</f>
        <v>#VALUE!</v>
      </c>
      <c r="AX29" t="e">
        <f ca="1">MAX(1-(IF(T29/(G29-U29)&gt;0,T29/(G29-U29),Collision_Time_Buffer)/Collision_Time_Buffer),0)*IF($L$15&lt;&gt;L29,Lane_Change_Multiplier,1)</f>
        <v>#VALUE!</v>
      </c>
      <c r="AY29" t="e">
        <f ca="1">MAX(1-(IF(W29/(G29-X29)&gt;0,W29/(G29-X29),Collision_Time_Buffer)/Collision_Time_Buffer),0)*IF($L$15&lt;&gt;L29,Lane_Change_Multiplier,1)</f>
        <v>#VALUE!</v>
      </c>
      <c r="AZ29" t="e">
        <f ca="1">MAX(1-(IF(Z29/(G29-AA29)&gt;0,Z29/(G29-AA29),Collision_Time_Buffer)/Collision_Time_Buffer),0)*IF($L$15&lt;&gt;L29,Lane_Change_Multiplier,1)</f>
        <v>#VALUE!</v>
      </c>
      <c r="BA29">
        <f t="shared" ca="1" si="34"/>
        <v>0</v>
      </c>
      <c r="BB29">
        <f t="shared" ca="1" si="35"/>
        <v>0</v>
      </c>
      <c r="BC29">
        <f t="shared" si="36"/>
        <v>0</v>
      </c>
      <c r="BE29" t="e">
        <f t="shared" si="37"/>
        <v>#VALUE!</v>
      </c>
      <c r="BF29" t="e">
        <f t="shared" si="38"/>
        <v>#VALUE!</v>
      </c>
      <c r="BG29" t="e">
        <f t="shared" si="39"/>
        <v>#VALUE!</v>
      </c>
      <c r="BH29" t="e">
        <f t="shared" si="40"/>
        <v>#VALUE!</v>
      </c>
      <c r="BI29" t="e">
        <f t="shared" si="41"/>
        <v>#VALUE!</v>
      </c>
      <c r="BJ29" t="e">
        <f t="shared" si="42"/>
        <v>#VALUE!</v>
      </c>
      <c r="BK29" t="e">
        <f t="shared" si="43"/>
        <v>#VALUE!</v>
      </c>
      <c r="BL29" t="e">
        <f t="shared" si="44"/>
        <v>#VALUE!</v>
      </c>
      <c r="BM29" t="e">
        <f t="shared" si="45"/>
        <v>#VALUE!</v>
      </c>
      <c r="BN29" t="e">
        <f t="shared" si="46"/>
        <v>#VALUE!</v>
      </c>
      <c r="BO29" t="e">
        <f t="shared" si="47"/>
        <v>#VALUE!</v>
      </c>
      <c r="BP29" t="e">
        <f t="shared" si="7"/>
        <v>#VALUE!</v>
      </c>
      <c r="BQ29" t="e">
        <f t="shared" si="48"/>
        <v>#VALUE!</v>
      </c>
    </row>
    <row r="30" spans="1:69" x14ac:dyDescent="0.25">
      <c r="A30" s="1" t="s">
        <v>21</v>
      </c>
      <c r="B30">
        <f t="shared" si="2"/>
        <v>1000000</v>
      </c>
      <c r="D30" t="e">
        <f t="shared" si="8"/>
        <v>#VALUE!</v>
      </c>
      <c r="E30" t="e">
        <f t="shared" si="9"/>
        <v>#VALUE!</v>
      </c>
      <c r="F30" t="e">
        <f t="shared" si="10"/>
        <v>#VALUE!</v>
      </c>
      <c r="G30" t="e">
        <f t="shared" si="11"/>
        <v>#VALUE!</v>
      </c>
      <c r="H30" t="e">
        <f t="shared" si="12"/>
        <v>#VALUE!</v>
      </c>
      <c r="I30" t="e">
        <f t="shared" si="13"/>
        <v>#VALUE!</v>
      </c>
      <c r="J30" t="e">
        <f t="shared" si="14"/>
        <v>#VALUE!</v>
      </c>
      <c r="K30" t="e">
        <f t="shared" si="15"/>
        <v>#VALUE!</v>
      </c>
      <c r="L30" t="e">
        <f t="shared" si="3"/>
        <v>#VALUE!</v>
      </c>
      <c r="M30" t="e">
        <f t="shared" si="0"/>
        <v>#VALUE!</v>
      </c>
      <c r="N30" t="e">
        <f t="shared" si="1"/>
        <v>#VALUE!</v>
      </c>
      <c r="O30" t="e">
        <f t="shared" si="4"/>
        <v>#VALUE!</v>
      </c>
      <c r="P30" t="e">
        <f t="shared" si="5"/>
        <v>#VALUE!</v>
      </c>
      <c r="Q30">
        <f t="shared" ca="1" si="16"/>
        <v>1000000</v>
      </c>
      <c r="R30">
        <f t="shared" ca="1" si="17"/>
        <v>100</v>
      </c>
      <c r="S30" t="e">
        <f t="shared" si="18"/>
        <v>#VALUE!</v>
      </c>
      <c r="T30">
        <f t="shared" ca="1" si="19"/>
        <v>1000000</v>
      </c>
      <c r="U30">
        <f t="shared" ca="1" si="20"/>
        <v>100</v>
      </c>
      <c r="V30" t="e">
        <f t="shared" si="21"/>
        <v>#VALUE!</v>
      </c>
      <c r="W30">
        <f t="shared" ca="1" si="22"/>
        <v>1000000000</v>
      </c>
      <c r="X30">
        <f t="shared" ca="1" si="23"/>
        <v>100</v>
      </c>
      <c r="Y30" t="e">
        <f>GetFollowingCarRow($B$45:$E$54,L30,$E$15,E30)</f>
        <v>#VALUE!</v>
      </c>
      <c r="Z30">
        <f t="shared" ca="1" si="24"/>
        <v>1000000000</v>
      </c>
      <c r="AA30">
        <f t="shared" ca="1" si="25"/>
        <v>100</v>
      </c>
      <c r="AB30" t="e">
        <f t="shared" si="26"/>
        <v>#VALUE!</v>
      </c>
      <c r="AC30" t="e">
        <f t="shared" si="27"/>
        <v>#VALUE!</v>
      </c>
      <c r="AD30" t="e">
        <f t="shared" si="28"/>
        <v>#VALUE!</v>
      </c>
      <c r="AE30" t="e">
        <f t="shared" si="29"/>
        <v>#VALUE!</v>
      </c>
      <c r="AF30" t="e">
        <f t="shared" si="30"/>
        <v>#VALUE!</v>
      </c>
      <c r="AG30" t="e">
        <f t="shared" si="31"/>
        <v>#VALUE!</v>
      </c>
      <c r="AH30" t="e">
        <f t="shared" si="32"/>
        <v>#VALUE!</v>
      </c>
      <c r="AI30" t="e">
        <f>IF(G30&lt;=0,1,0)</f>
        <v>#VALUE!</v>
      </c>
      <c r="AJ30" t="e">
        <f>IF(G30&lt;0,1,0)</f>
        <v>#VALUE!</v>
      </c>
      <c r="AK30" t="e">
        <f>MAX(($B$3-G30)/(G30 + 1),0) / $B$3</f>
        <v>#VALUE!</v>
      </c>
      <c r="AL30" t="e">
        <f>IF(H30+ABS(K30)&lt;0,Logistic(SQRT(H30^2+K30^2)/$B$4),0)</f>
        <v>#VALUE!</v>
      </c>
      <c r="AM30" t="e">
        <f>IF(G30&gt;$B$3,1,0)</f>
        <v>#VALUE!</v>
      </c>
      <c r="AN30" t="e">
        <f>IF(H30&gt;$B$4,1,0)</f>
        <v>#VALUE!</v>
      </c>
      <c r="AO30" t="e">
        <f>ABS(H30)/$B$4</f>
        <v>#VALUE!</v>
      </c>
      <c r="AP30" t="e">
        <f>Logistic(I30/$B$5)</f>
        <v>#VALUE!</v>
      </c>
      <c r="AQ30" t="e">
        <f>IF(I30&gt;$B$5,1,0)</f>
        <v>#VALUE!</v>
      </c>
      <c r="AR30" t="e">
        <f>Logistic(ABS(F30-O30)/($B$6/2))</f>
        <v>#VALUE!</v>
      </c>
      <c r="AS30" t="e">
        <f>IF(OR(F30&lt;M30,F30&gt;N30),1,0)</f>
        <v>#VALUE!</v>
      </c>
      <c r="AT30" t="e">
        <f>ABS(K30)/$B$4</f>
        <v>#VALUE!</v>
      </c>
      <c r="AU30">
        <f t="shared" ca="1" si="33"/>
        <v>0</v>
      </c>
      <c r="AV30" t="e">
        <f ca="1">IF(AND(L30&lt;&gt;$L$15,$Q$15&gt;Safety_Distance),1,0)</f>
        <v>#VALUE!</v>
      </c>
      <c r="AW30" t="e">
        <f ca="1">MAX(1-(IF(Q30/(G30-R30)&gt;0,Q30/(G30-R30),Collision_Time_Buffer)/Collision_Time_Buffer),0)*IF($L$15&lt;&gt;L30,Lane_Change_Multiplier,1)</f>
        <v>#VALUE!</v>
      </c>
      <c r="AX30" t="e">
        <f ca="1">MAX(1-(IF(T30/(G30-U30)&gt;0,T30/(G30-U30),Collision_Time_Buffer)/Collision_Time_Buffer),0)*IF($L$15&lt;&gt;L30,Lane_Change_Multiplier,1)</f>
        <v>#VALUE!</v>
      </c>
      <c r="AY30" t="e">
        <f ca="1">MAX(1-(IF(W30/(G30-X30)&gt;0,W30/(G30-X30),Collision_Time_Buffer)/Collision_Time_Buffer),0)*IF($L$15&lt;&gt;L30,Lane_Change_Multiplier,1)</f>
        <v>#VALUE!</v>
      </c>
      <c r="AZ30" t="e">
        <f ca="1">MAX(1-(IF(Z30/(G30-AA30)&gt;0,Z30/(G30-AA30),Collision_Time_Buffer)/Collision_Time_Buffer),0)*IF($L$15&lt;&gt;L30,Lane_Change_Multiplier,1)</f>
        <v>#VALUE!</v>
      </c>
      <c r="BA30">
        <f t="shared" ca="1" si="34"/>
        <v>0</v>
      </c>
      <c r="BB30">
        <f t="shared" ca="1" si="35"/>
        <v>0</v>
      </c>
      <c r="BC30">
        <f t="shared" si="36"/>
        <v>0</v>
      </c>
      <c r="BE30" t="e">
        <f t="shared" si="37"/>
        <v>#VALUE!</v>
      </c>
      <c r="BF30" t="e">
        <f t="shared" si="38"/>
        <v>#VALUE!</v>
      </c>
      <c r="BG30" t="e">
        <f t="shared" si="39"/>
        <v>#VALUE!</v>
      </c>
      <c r="BH30" t="e">
        <f t="shared" si="40"/>
        <v>#VALUE!</v>
      </c>
      <c r="BI30" t="e">
        <f t="shared" si="41"/>
        <v>#VALUE!</v>
      </c>
      <c r="BJ30" t="e">
        <f t="shared" si="42"/>
        <v>#VALUE!</v>
      </c>
      <c r="BK30" t="e">
        <f t="shared" si="43"/>
        <v>#VALUE!</v>
      </c>
      <c r="BL30" t="e">
        <f t="shared" si="44"/>
        <v>#VALUE!</v>
      </c>
      <c r="BM30" t="e">
        <f t="shared" si="45"/>
        <v>#VALUE!</v>
      </c>
      <c r="BN30" t="e">
        <f t="shared" si="46"/>
        <v>#VALUE!</v>
      </c>
      <c r="BO30" t="e">
        <f t="shared" si="47"/>
        <v>#VALUE!</v>
      </c>
      <c r="BP30" t="e">
        <f t="shared" si="7"/>
        <v>#VALUE!</v>
      </c>
      <c r="BQ30" t="e">
        <f t="shared" si="48"/>
        <v>#VALUE!</v>
      </c>
    </row>
    <row r="31" spans="1:69" x14ac:dyDescent="0.25">
      <c r="A31" s="1" t="s">
        <v>20</v>
      </c>
      <c r="B31">
        <f t="shared" si="2"/>
        <v>1000000</v>
      </c>
      <c r="D31" t="e">
        <f t="shared" si="8"/>
        <v>#VALUE!</v>
      </c>
      <c r="E31" t="e">
        <f t="shared" si="9"/>
        <v>#VALUE!</v>
      </c>
      <c r="F31" t="e">
        <f t="shared" si="10"/>
        <v>#VALUE!</v>
      </c>
      <c r="G31" t="e">
        <f t="shared" si="11"/>
        <v>#VALUE!</v>
      </c>
      <c r="H31" t="e">
        <f t="shared" si="12"/>
        <v>#VALUE!</v>
      </c>
      <c r="I31" t="e">
        <f t="shared" si="13"/>
        <v>#VALUE!</v>
      </c>
      <c r="J31" t="e">
        <f t="shared" si="14"/>
        <v>#VALUE!</v>
      </c>
      <c r="K31" t="e">
        <f t="shared" si="15"/>
        <v>#VALUE!</v>
      </c>
      <c r="L31" t="e">
        <f t="shared" si="3"/>
        <v>#VALUE!</v>
      </c>
      <c r="M31" t="e">
        <f t="shared" si="0"/>
        <v>#VALUE!</v>
      </c>
      <c r="N31" t="e">
        <f t="shared" si="1"/>
        <v>#VALUE!</v>
      </c>
      <c r="O31" t="e">
        <f t="shared" si="4"/>
        <v>#VALUE!</v>
      </c>
      <c r="P31" t="e">
        <f t="shared" si="5"/>
        <v>#VALUE!</v>
      </c>
      <c r="Q31">
        <f t="shared" ca="1" si="16"/>
        <v>1000000</v>
      </c>
      <c r="R31">
        <f t="shared" ca="1" si="17"/>
        <v>100</v>
      </c>
      <c r="S31" t="e">
        <f t="shared" si="18"/>
        <v>#VALUE!</v>
      </c>
      <c r="T31">
        <f t="shared" ca="1" si="19"/>
        <v>1000000</v>
      </c>
      <c r="U31">
        <f t="shared" ca="1" si="20"/>
        <v>100</v>
      </c>
      <c r="V31" t="e">
        <f t="shared" si="21"/>
        <v>#VALUE!</v>
      </c>
      <c r="W31">
        <f t="shared" ca="1" si="22"/>
        <v>1000000000</v>
      </c>
      <c r="X31">
        <f t="shared" ca="1" si="23"/>
        <v>100</v>
      </c>
      <c r="Y31" t="e">
        <f>GetFollowingCarRow($B$45:$E$54,L31,$E$15,E31)</f>
        <v>#VALUE!</v>
      </c>
      <c r="Z31">
        <f t="shared" ca="1" si="24"/>
        <v>1000000000</v>
      </c>
      <c r="AA31">
        <f t="shared" ca="1" si="25"/>
        <v>100</v>
      </c>
      <c r="AB31" t="e">
        <f t="shared" si="26"/>
        <v>#VALUE!</v>
      </c>
      <c r="AC31" t="e">
        <f t="shared" si="27"/>
        <v>#VALUE!</v>
      </c>
      <c r="AD31" t="e">
        <f t="shared" si="28"/>
        <v>#VALUE!</v>
      </c>
      <c r="AE31" t="e">
        <f t="shared" si="29"/>
        <v>#VALUE!</v>
      </c>
      <c r="AF31" t="e">
        <f t="shared" si="30"/>
        <v>#VALUE!</v>
      </c>
      <c r="AG31" t="e">
        <f t="shared" si="31"/>
        <v>#VALUE!</v>
      </c>
      <c r="AH31" t="e">
        <f t="shared" si="32"/>
        <v>#VALUE!</v>
      </c>
      <c r="AI31" t="e">
        <f>IF(G31&lt;=0,1,0)</f>
        <v>#VALUE!</v>
      </c>
      <c r="AJ31" t="e">
        <f>IF(G31&lt;0,1,0)</f>
        <v>#VALUE!</v>
      </c>
      <c r="AK31" t="e">
        <f>MAX(($B$3-G31)/(G31 + 1),0) / $B$3</f>
        <v>#VALUE!</v>
      </c>
      <c r="AL31" t="e">
        <f>IF(H31+ABS(K31)&lt;0,Logistic(SQRT(H31^2+K31^2)/$B$4),0)</f>
        <v>#VALUE!</v>
      </c>
      <c r="AM31" t="e">
        <f>IF(G31&gt;$B$3,1,0)</f>
        <v>#VALUE!</v>
      </c>
      <c r="AN31" t="e">
        <f>IF(H31&gt;$B$4,1,0)</f>
        <v>#VALUE!</v>
      </c>
      <c r="AO31" t="e">
        <f>ABS(H31)/$B$4</f>
        <v>#VALUE!</v>
      </c>
      <c r="AP31" t="e">
        <f>Logistic(I31/$B$5)</f>
        <v>#VALUE!</v>
      </c>
      <c r="AQ31" t="e">
        <f>IF(I31&gt;$B$5,1,0)</f>
        <v>#VALUE!</v>
      </c>
      <c r="AR31" t="e">
        <f>Logistic(ABS(F31-O31)/($B$6/2))</f>
        <v>#VALUE!</v>
      </c>
      <c r="AS31" t="e">
        <f>IF(OR(F31&lt;M31,F31&gt;N31),1,0)</f>
        <v>#VALUE!</v>
      </c>
      <c r="AT31" t="e">
        <f>ABS(K31)/$B$4</f>
        <v>#VALUE!</v>
      </c>
      <c r="AU31">
        <f t="shared" ca="1" si="33"/>
        <v>0</v>
      </c>
      <c r="AV31" t="e">
        <f ca="1">IF(AND(L31&lt;&gt;$L$15,$Q$15&gt;Safety_Distance),1,0)</f>
        <v>#VALUE!</v>
      </c>
      <c r="AW31" t="e">
        <f ca="1">MAX(1-(IF(Q31/(G31-R31)&gt;0,Q31/(G31-R31),Collision_Time_Buffer)/Collision_Time_Buffer),0)*IF($L$15&lt;&gt;L31,Lane_Change_Multiplier,1)</f>
        <v>#VALUE!</v>
      </c>
      <c r="AX31" t="e">
        <f ca="1">MAX(1-(IF(T31/(G31-U31)&gt;0,T31/(G31-U31),Collision_Time_Buffer)/Collision_Time_Buffer),0)*IF($L$15&lt;&gt;L31,Lane_Change_Multiplier,1)</f>
        <v>#VALUE!</v>
      </c>
      <c r="AY31" t="e">
        <f ca="1">MAX(1-(IF(W31/(G31-X31)&gt;0,W31/(G31-X31),Collision_Time_Buffer)/Collision_Time_Buffer),0)*IF($L$15&lt;&gt;L31,Lane_Change_Multiplier,1)</f>
        <v>#VALUE!</v>
      </c>
      <c r="AZ31" t="e">
        <f ca="1">MAX(1-(IF(Z31/(G31-AA31)&gt;0,Z31/(G31-AA31),Collision_Time_Buffer)/Collision_Time_Buffer),0)*IF($L$15&lt;&gt;L31,Lane_Change_Multiplier,1)</f>
        <v>#VALUE!</v>
      </c>
      <c r="BA31">
        <f t="shared" ca="1" si="34"/>
        <v>0</v>
      </c>
      <c r="BB31">
        <f t="shared" ca="1" si="35"/>
        <v>0</v>
      </c>
      <c r="BC31">
        <f t="shared" si="36"/>
        <v>0</v>
      </c>
      <c r="BE31" t="e">
        <f t="shared" si="37"/>
        <v>#VALUE!</v>
      </c>
      <c r="BF31" t="e">
        <f t="shared" si="38"/>
        <v>#VALUE!</v>
      </c>
      <c r="BG31" t="e">
        <f t="shared" si="39"/>
        <v>#VALUE!</v>
      </c>
      <c r="BH31" t="e">
        <f t="shared" si="40"/>
        <v>#VALUE!</v>
      </c>
      <c r="BI31" t="e">
        <f t="shared" si="41"/>
        <v>#VALUE!</v>
      </c>
      <c r="BJ31" t="e">
        <f t="shared" si="42"/>
        <v>#VALUE!</v>
      </c>
      <c r="BK31" t="e">
        <f t="shared" si="43"/>
        <v>#VALUE!</v>
      </c>
      <c r="BL31" t="e">
        <f t="shared" si="44"/>
        <v>#VALUE!</v>
      </c>
      <c r="BM31" t="e">
        <f t="shared" si="45"/>
        <v>#VALUE!</v>
      </c>
      <c r="BN31" t="e">
        <f t="shared" si="46"/>
        <v>#VALUE!</v>
      </c>
      <c r="BO31" t="e">
        <f t="shared" si="47"/>
        <v>#VALUE!</v>
      </c>
      <c r="BP31" t="e">
        <f t="shared" si="7"/>
        <v>#VALUE!</v>
      </c>
      <c r="BQ31" t="e">
        <f t="shared" si="48"/>
        <v>#VALUE!</v>
      </c>
    </row>
    <row r="32" spans="1:69" x14ac:dyDescent="0.25">
      <c r="A32" s="1" t="s">
        <v>37</v>
      </c>
      <c r="B32">
        <f t="shared" ca="1" si="2"/>
        <v>145.93875214651399</v>
      </c>
      <c r="C32" t="s">
        <v>175</v>
      </c>
      <c r="D32">
        <f t="shared" si="8"/>
        <v>137</v>
      </c>
      <c r="E32">
        <f t="shared" si="9"/>
        <v>372.82</v>
      </c>
      <c r="F32">
        <f t="shared" si="10"/>
        <v>8.02</v>
      </c>
      <c r="G32">
        <f t="shared" si="11"/>
        <v>19.75</v>
      </c>
      <c r="H32">
        <f t="shared" si="12"/>
        <v>0.49</v>
      </c>
      <c r="I32">
        <f t="shared" si="13"/>
        <v>0.44</v>
      </c>
      <c r="J32">
        <f t="shared" si="14"/>
        <v>-0.09</v>
      </c>
      <c r="K32">
        <f t="shared" si="15"/>
        <v>0.78</v>
      </c>
      <c r="L32">
        <f t="shared" si="3"/>
        <v>2</v>
      </c>
      <c r="M32">
        <f t="shared" si="0"/>
        <v>4</v>
      </c>
      <c r="N32">
        <f t="shared" si="1"/>
        <v>8</v>
      </c>
      <c r="O32">
        <f t="shared" si="4"/>
        <v>6</v>
      </c>
      <c r="P32">
        <f t="shared" si="5"/>
        <v>53</v>
      </c>
      <c r="Q32">
        <f t="shared" ca="1" si="16"/>
        <v>126.16428000000002</v>
      </c>
      <c r="R32">
        <f t="shared" ca="1" si="17"/>
        <v>17.882269999999998</v>
      </c>
      <c r="S32">
        <f t="shared" si="18"/>
        <v>45</v>
      </c>
      <c r="T32">
        <f t="shared" ca="1" si="19"/>
        <v>-10.344841999999971</v>
      </c>
      <c r="U32">
        <f t="shared" ca="1" si="20"/>
        <v>20.100484000000002</v>
      </c>
      <c r="V32">
        <f t="shared" si="21"/>
        <v>53</v>
      </c>
      <c r="W32">
        <f t="shared" ca="1" si="22"/>
        <v>88.604280000000017</v>
      </c>
      <c r="X32">
        <f t="shared" ca="1" si="23"/>
        <v>17.882269999999998</v>
      </c>
      <c r="Y32">
        <f>GetFollowingCarRow($B$45:$E$54,L32,$E$15,E32)</f>
        <v>45</v>
      </c>
      <c r="Z32">
        <f t="shared" ca="1" si="24"/>
        <v>-47.904841999999974</v>
      </c>
      <c r="AA32">
        <f t="shared" ca="1" si="25"/>
        <v>20.100484000000002</v>
      </c>
      <c r="AB32">
        <f t="shared" si="26"/>
        <v>2.0500000000000007</v>
      </c>
      <c r="AC32">
        <f t="shared" si="27"/>
        <v>37.56</v>
      </c>
      <c r="AD32">
        <f t="shared" si="28"/>
        <v>28.368269435569761</v>
      </c>
      <c r="AE32">
        <f t="shared" si="29"/>
        <v>-1065.5122000000003</v>
      </c>
      <c r="AF32">
        <f t="shared" si="30"/>
        <v>37.615902222331449</v>
      </c>
      <c r="AG32">
        <f t="shared" si="31"/>
        <v>20.1175208651714</v>
      </c>
      <c r="AH32">
        <f t="shared" si="32"/>
        <v>0.70137413093831247</v>
      </c>
      <c r="AI32">
        <f>IF(G32&lt;=0,1,0)</f>
        <v>0</v>
      </c>
      <c r="AJ32">
        <f>IF(G32&lt;0,1,0)</f>
        <v>0</v>
      </c>
      <c r="AK32">
        <f>MAX(($B$3-G32)/(G32 + 1),0) / $B$3</f>
        <v>3.3385190147962231E-3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6.1249999999999999E-2</v>
      </c>
      <c r="AP32">
        <f>Logistic(I32/$B$5)</f>
        <v>2.7493069804709887E-2</v>
      </c>
      <c r="AQ32">
        <f>IF(I32&gt;$B$5,1,0)</f>
        <v>0</v>
      </c>
      <c r="AR32">
        <f>Logistic(ABS(F32-O32)/($B$6/2))</f>
        <v>0.46604029847771505</v>
      </c>
      <c r="AS32">
        <f>IF(OR(F32&lt;M32,F32&gt;N32),1,0)</f>
        <v>1</v>
      </c>
      <c r="AT32">
        <f>ABS(K32)/$B$4</f>
        <v>9.7500000000000003E-2</v>
      </c>
      <c r="AU32">
        <f t="shared" ca="1" si="33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34"/>
        <v>0</v>
      </c>
      <c r="BB32">
        <f t="shared" ca="1" si="35"/>
        <v>0</v>
      </c>
      <c r="BC32">
        <f t="shared" si="36"/>
        <v>0</v>
      </c>
      <c r="BE32">
        <f t="shared" si="37"/>
        <v>0.70137413093831247</v>
      </c>
      <c r="BF32">
        <f t="shared" si="38"/>
        <v>0</v>
      </c>
      <c r="BG32">
        <f t="shared" si="39"/>
        <v>0</v>
      </c>
      <c r="BH32">
        <f t="shared" si="40"/>
        <v>3.5406879696665186E-2</v>
      </c>
      <c r="BI32">
        <f t="shared" si="41"/>
        <v>0</v>
      </c>
      <c r="BJ32">
        <f t="shared" si="42"/>
        <v>0</v>
      </c>
      <c r="BK32">
        <f t="shared" si="43"/>
        <v>2.2068475268126176E-7</v>
      </c>
      <c r="BL32">
        <f t="shared" si="44"/>
        <v>0</v>
      </c>
      <c r="BM32">
        <f t="shared" si="45"/>
        <v>3.4516851536866455E-8</v>
      </c>
      <c r="BN32">
        <f t="shared" si="46"/>
        <v>4.9999999999998934E-3</v>
      </c>
      <c r="BO32">
        <f t="shared" si="47"/>
        <v>9.7500000000000003E-2</v>
      </c>
      <c r="BP32">
        <f t="shared" si="7"/>
        <v>3.061542929036528E-2</v>
      </c>
      <c r="BQ32">
        <f t="shared" si="48"/>
        <v>3.7198018741019898E-2</v>
      </c>
    </row>
    <row r="33" spans="1:69" x14ac:dyDescent="0.25">
      <c r="A33" s="1" t="s">
        <v>38</v>
      </c>
      <c r="B33">
        <f t="shared" ca="1" si="2"/>
        <v>135.25127931603038</v>
      </c>
      <c r="C33" t="s">
        <v>174</v>
      </c>
      <c r="D33">
        <f t="shared" si="8"/>
        <v>137</v>
      </c>
      <c r="E33">
        <f t="shared" si="9"/>
        <v>367.63</v>
      </c>
      <c r="F33">
        <f t="shared" si="10"/>
        <v>7.26</v>
      </c>
      <c r="G33">
        <f t="shared" si="11"/>
        <v>14.58</v>
      </c>
      <c r="H33">
        <f t="shared" si="12"/>
        <v>-0.81</v>
      </c>
      <c r="I33">
        <f t="shared" si="13"/>
        <v>0.86</v>
      </c>
      <c r="J33">
        <f t="shared" si="14"/>
        <v>0.13</v>
      </c>
      <c r="K33">
        <f t="shared" si="15"/>
        <v>1.38</v>
      </c>
      <c r="L33">
        <f t="shared" si="3"/>
        <v>2</v>
      </c>
      <c r="M33">
        <f t="shared" si="0"/>
        <v>4</v>
      </c>
      <c r="N33">
        <f t="shared" si="1"/>
        <v>8</v>
      </c>
      <c r="O33">
        <f t="shared" si="4"/>
        <v>6</v>
      </c>
      <c r="P33">
        <f t="shared" si="5"/>
        <v>53</v>
      </c>
      <c r="Q33">
        <f t="shared" ca="1" si="16"/>
        <v>126.16428000000002</v>
      </c>
      <c r="R33">
        <f t="shared" ca="1" si="17"/>
        <v>17.882269999999998</v>
      </c>
      <c r="S33">
        <f t="shared" si="18"/>
        <v>45</v>
      </c>
      <c r="T33">
        <f t="shared" ca="1" si="19"/>
        <v>-10.344841999999971</v>
      </c>
      <c r="U33">
        <f t="shared" ca="1" si="20"/>
        <v>20.100484000000002</v>
      </c>
      <c r="V33">
        <f t="shared" si="21"/>
        <v>53</v>
      </c>
      <c r="W33">
        <f t="shared" ca="1" si="22"/>
        <v>93.794280000000015</v>
      </c>
      <c r="X33">
        <f t="shared" ca="1" si="23"/>
        <v>17.882269999999998</v>
      </c>
      <c r="Y33">
        <f>GetFollowingCarRow($B$45:$E$54,L33,$E$15,E33)</f>
        <v>45</v>
      </c>
      <c r="Z33">
        <f t="shared" ca="1" si="24"/>
        <v>-42.714841999999976</v>
      </c>
      <c r="AA33">
        <f t="shared" ca="1" si="25"/>
        <v>20.100484000000002</v>
      </c>
      <c r="AB33">
        <f t="shared" si="26"/>
        <v>2.8100000000000005</v>
      </c>
      <c r="AC33">
        <f t="shared" si="27"/>
        <v>32.370000000000005</v>
      </c>
      <c r="AD33">
        <f t="shared" si="28"/>
        <v>39.173509422304605</v>
      </c>
      <c r="AE33">
        <f t="shared" si="29"/>
        <v>-1268.0465000000002</v>
      </c>
      <c r="AF33">
        <f t="shared" si="30"/>
        <v>32.491737411225031</v>
      </c>
      <c r="AG33">
        <f t="shared" si="31"/>
        <v>28.23340051471299</v>
      </c>
      <c r="AH33">
        <f t="shared" si="32"/>
        <v>0.70137413093831247</v>
      </c>
      <c r="AI33">
        <f>IF(G33&lt;=0,1,0)</f>
        <v>0</v>
      </c>
      <c r="AJ33">
        <f>IF(G33&lt;0,1,0)</f>
        <v>0</v>
      </c>
      <c r="AK33">
        <f>MAX(($B$3-G33)/(G33 + 1),0) / $B$3</f>
        <v>2.008423278835695E-2</v>
      </c>
      <c r="AL33">
        <f>IF(H33+ABS(K33)&lt;0,Logistic(SQRT(H33^2+K33^2)/$B$4),0)</f>
        <v>0</v>
      </c>
      <c r="AM33">
        <f>IF(G33&gt;$B$3,1,0)</f>
        <v>0</v>
      </c>
      <c r="AN33">
        <f>IF(H33&gt;$B$4,1,0)</f>
        <v>0</v>
      </c>
      <c r="AO33">
        <f>ABS(H33)/$B$4</f>
        <v>0.10125000000000001</v>
      </c>
      <c r="AP33">
        <f>Logistic(I33/$B$5)</f>
        <v>5.3698297378228704E-2</v>
      </c>
      <c r="AQ33">
        <f>IF(I33&gt;$B$5,1,0)</f>
        <v>0</v>
      </c>
      <c r="AR33">
        <f>Logistic(ABS(F33-O33)/($B$6/2))</f>
        <v>0.30497892438548885</v>
      </c>
      <c r="AS33">
        <f>IF(OR(F33&lt;M33,F33&gt;N33),1,0)</f>
        <v>0</v>
      </c>
      <c r="AT33">
        <f>ABS(K33)/$B$4</f>
        <v>0.17249999999999999</v>
      </c>
      <c r="AU33">
        <f t="shared" ca="1" si="33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0.8126098726126193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0.22624824200197002</v>
      </c>
      <c r="BA33">
        <f t="shared" ca="1" si="34"/>
        <v>0</v>
      </c>
      <c r="BB33">
        <f t="shared" ca="1" si="35"/>
        <v>0</v>
      </c>
      <c r="BC33">
        <f t="shared" si="36"/>
        <v>0</v>
      </c>
      <c r="BE33">
        <f t="shared" si="37"/>
        <v>0.70137413093831247</v>
      </c>
      <c r="BF33">
        <f t="shared" si="38"/>
        <v>0</v>
      </c>
      <c r="BG33">
        <f t="shared" si="39"/>
        <v>0</v>
      </c>
      <c r="BH33">
        <f t="shared" si="40"/>
        <v>0.20992578588739697</v>
      </c>
      <c r="BI33">
        <f t="shared" si="41"/>
        <v>0</v>
      </c>
      <c r="BJ33">
        <f t="shared" si="42"/>
        <v>0</v>
      </c>
      <c r="BK33">
        <f t="shared" si="43"/>
        <v>1.3962599004226949E-4</v>
      </c>
      <c r="BL33">
        <f t="shared" si="44"/>
        <v>0</v>
      </c>
      <c r="BM33">
        <f t="shared" si="45"/>
        <v>2.4793955250810743E-4</v>
      </c>
      <c r="BN33">
        <f t="shared" si="46"/>
        <v>0</v>
      </c>
      <c r="BO33">
        <f t="shared" si="47"/>
        <v>0.17249999999999999</v>
      </c>
      <c r="BP33">
        <f t="shared" si="7"/>
        <v>5.0581795511514052E-2</v>
      </c>
      <c r="BQ33">
        <f t="shared" si="48"/>
        <v>0.22385345535640389</v>
      </c>
    </row>
    <row r="34" spans="1:69" x14ac:dyDescent="0.25">
      <c r="A34" s="1" t="s">
        <v>39</v>
      </c>
      <c r="B34">
        <f t="shared" ca="1" si="2"/>
        <v>305.81875125128755</v>
      </c>
      <c r="C34" t="s">
        <v>173</v>
      </c>
      <c r="D34">
        <f t="shared" si="8"/>
        <v>137</v>
      </c>
      <c r="E34">
        <f t="shared" si="9"/>
        <v>336.74</v>
      </c>
      <c r="F34">
        <f t="shared" si="10"/>
        <v>9.8699999999999992</v>
      </c>
      <c r="G34">
        <f t="shared" si="11"/>
        <v>-16.149999999999999</v>
      </c>
      <c r="H34">
        <f t="shared" si="12"/>
        <v>-8.5299999999999994</v>
      </c>
      <c r="I34">
        <f t="shared" si="13"/>
        <v>8.58</v>
      </c>
      <c r="J34">
        <f t="shared" si="14"/>
        <v>-0.91</v>
      </c>
      <c r="K34">
        <f t="shared" si="15"/>
        <v>3.1</v>
      </c>
      <c r="L34">
        <f t="shared" si="3"/>
        <v>2</v>
      </c>
      <c r="M34">
        <f t="shared" si="0"/>
        <v>4</v>
      </c>
      <c r="N34">
        <f t="shared" si="1"/>
        <v>8</v>
      </c>
      <c r="O34">
        <f t="shared" si="4"/>
        <v>6</v>
      </c>
      <c r="P34">
        <f t="shared" si="5"/>
        <v>53</v>
      </c>
      <c r="Q34">
        <f t="shared" ca="1" si="16"/>
        <v>126.16428000000002</v>
      </c>
      <c r="R34">
        <f t="shared" ca="1" si="17"/>
        <v>17.882269999999998</v>
      </c>
      <c r="S34">
        <f t="shared" si="18"/>
        <v>45</v>
      </c>
      <c r="T34">
        <f t="shared" ca="1" si="19"/>
        <v>-10.344841999999971</v>
      </c>
      <c r="U34">
        <f t="shared" ca="1" si="20"/>
        <v>20.100484000000002</v>
      </c>
      <c r="V34">
        <f t="shared" si="21"/>
        <v>53</v>
      </c>
      <c r="W34">
        <f t="shared" ca="1" si="22"/>
        <v>124.68428</v>
      </c>
      <c r="X34">
        <f t="shared" ca="1" si="23"/>
        <v>17.882269999999998</v>
      </c>
      <c r="Y34">
        <f>GetFollowingCarRow($B$45:$E$54,L34,$E$15,E34)</f>
        <v>45</v>
      </c>
      <c r="Z34">
        <f t="shared" ca="1" si="24"/>
        <v>-11.82484199999999</v>
      </c>
      <c r="AA34">
        <f t="shared" ca="1" si="25"/>
        <v>20.100484000000002</v>
      </c>
      <c r="AB34">
        <f t="shared" si="26"/>
        <v>0.20000000000000107</v>
      </c>
      <c r="AC34">
        <f t="shared" si="27"/>
        <v>1.4800000000000182</v>
      </c>
      <c r="AD34">
        <f t="shared" si="28"/>
        <v>55.37540540540509</v>
      </c>
      <c r="AE34">
        <f t="shared" si="29"/>
        <v>-81.955600000000544</v>
      </c>
      <c r="AF34">
        <f t="shared" si="30"/>
        <v>1.4934523762075758</v>
      </c>
      <c r="AG34">
        <f t="shared" si="31"/>
        <v>40.257320097928549</v>
      </c>
      <c r="AH34">
        <f t="shared" si="32"/>
        <v>0.70137413093831247</v>
      </c>
      <c r="AI34">
        <f>IF(G34&lt;=0,1,0)</f>
        <v>1</v>
      </c>
      <c r="AJ34">
        <f>IF(G34&lt;0,1,0)</f>
        <v>1</v>
      </c>
      <c r="AK34">
        <f>MAX(($B$3-G34)/(G34 + 1),0) / $B$3</f>
        <v>0</v>
      </c>
      <c r="AL34">
        <f>IF(H34+ABS(K34)&lt;0,Logistic(SQRT(H34^2+K34^2)/$B$4),0)</f>
        <v>0.51332951039858388</v>
      </c>
      <c r="AM34">
        <f>IF(G34&gt;$B$3,1,0)</f>
        <v>0</v>
      </c>
      <c r="AN34">
        <f>IF(H34&gt;$B$4,1,0)</f>
        <v>0</v>
      </c>
      <c r="AO34">
        <f>ABS(H34)/$B$4</f>
        <v>1.0662499999999999</v>
      </c>
      <c r="AP34">
        <f>Logistic(I34/$B$5)</f>
        <v>0.49014411181486212</v>
      </c>
      <c r="AQ34">
        <f>IF(I34&gt;$B$5,1,0)</f>
        <v>1</v>
      </c>
      <c r="AR34">
        <f>Logistic(ABS(F34-O34)/($B$6/2))</f>
        <v>0.74760362435863248</v>
      </c>
      <c r="AS34">
        <f>IF(OR(F34&lt;M34,F34&gt;N34),1,0)</f>
        <v>1</v>
      </c>
      <c r="AT34">
        <f>ABS(K34)/$B$4</f>
        <v>0.38750000000000001</v>
      </c>
      <c r="AU34">
        <f t="shared" ca="1" si="33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0.97146288584726215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0.96738018173771145</v>
      </c>
      <c r="BA34">
        <f t="shared" ca="1" si="34"/>
        <v>0</v>
      </c>
      <c r="BB34">
        <f t="shared" ca="1" si="35"/>
        <v>0</v>
      </c>
      <c r="BC34">
        <f t="shared" si="36"/>
        <v>0</v>
      </c>
      <c r="BE34">
        <f t="shared" si="37"/>
        <v>0.70137413093831247</v>
      </c>
      <c r="BF34">
        <f t="shared" si="38"/>
        <v>1</v>
      </c>
      <c r="BG34">
        <f t="shared" si="39"/>
        <v>1</v>
      </c>
      <c r="BH34">
        <f t="shared" si="40"/>
        <v>-0.84354348109643207</v>
      </c>
      <c r="BI34">
        <f t="shared" si="41"/>
        <v>0</v>
      </c>
      <c r="BJ34">
        <f t="shared" si="42"/>
        <v>0</v>
      </c>
      <c r="BK34">
        <f t="shared" si="43"/>
        <v>1.0641045484944265</v>
      </c>
      <c r="BL34">
        <f t="shared" si="44"/>
        <v>1</v>
      </c>
      <c r="BM34">
        <f t="shared" si="45"/>
        <v>1.0699362503631689</v>
      </c>
      <c r="BN34">
        <f t="shared" si="46"/>
        <v>0.4674999999999998</v>
      </c>
      <c r="BO34">
        <f t="shared" si="47"/>
        <v>0.38750000000000001</v>
      </c>
      <c r="BP34">
        <f t="shared" si="7"/>
        <v>0.48776623126221391</v>
      </c>
      <c r="BQ34">
        <f t="shared" si="48"/>
        <v>-0.82004863602191047</v>
      </c>
    </row>
    <row r="35" spans="1:69" x14ac:dyDescent="0.25">
      <c r="A35" s="1" t="s">
        <v>82</v>
      </c>
      <c r="B35">
        <f t="shared" ca="1" si="2"/>
        <v>157.05541053351126</v>
      </c>
      <c r="C35" t="s">
        <v>172</v>
      </c>
      <c r="D35">
        <f t="shared" ref="D35:D40" si="49">VALUE(MID(C35,FIND("#[",C35)+2,FIND("]",C35,FIND("#[",C35))-(FIND("#[",C35)+2)))</f>
        <v>137</v>
      </c>
      <c r="E35">
        <f t="shared" ref="E35:E40" si="50">VALUE(MID(C35,FIND("s[",C35)+2,FIND("]",C35,FIND("s[",C35))-(FIND("s[",C35)+2)))</f>
        <v>368.47</v>
      </c>
      <c r="F35">
        <f t="shared" ref="F35:F40" si="51">VALUE(MID(C35,FIND("d[",C35)+2,FIND("]",C35,FIND("d[",C35))-(FIND("d[",C35)+2)))</f>
        <v>8.07</v>
      </c>
      <c r="G35">
        <f t="shared" ref="G35:G40" si="52">VALUE(MID(C35,FIND("s_dot[",C35)+6,FIND("]",C35,FIND("s_dot[",C35))-(FIND("s_dot[",C35)+6)))</f>
        <v>15.42</v>
      </c>
      <c r="H35">
        <f t="shared" ref="H35:H40" si="53">VALUE(MID(C35,FIND("s_dot2[",C35)+7,FIND("]",C35,FIND("s_dot2[",C35))-(FIND("s_dot2[",C35)+7)))</f>
        <v>-0.6</v>
      </c>
      <c r="I35">
        <f t="shared" ref="I35:I40" si="54">VALUE(MID(C35,FIND("s_dot3[",C35)+7,FIND("]",C35,FIND("s_dot3[",C35))-(FIND("s_dot3[",C35)+7)))</f>
        <v>0.64</v>
      </c>
      <c r="J35">
        <f t="shared" ref="J35:J40" si="55">VALUE(MID(C35,FIND("d_dot[",C35)+6,FIND("]",C35,FIND("d_dot[",C35))-(FIND("d_dot[",C35)+6)))</f>
        <v>0.43</v>
      </c>
      <c r="K35">
        <f t="shared" ref="K35:K40" si="56">VALUE(MID(C35,FIND("d_dot2[",C35)+7,FIND("]",C35,FIND("d_dot2[",C35))-(FIND("d_dot2[",C35)+7)))</f>
        <v>0.78</v>
      </c>
      <c r="L35">
        <f t="shared" ref="L35:L40" si="57">VALUE(MID(C35,FIND("-",C35)+1,FIND(")",C35,FIND("-",C35))-(FIND("-",C35)+1)))</f>
        <v>2</v>
      </c>
      <c r="M35">
        <f t="shared" si="0"/>
        <v>4</v>
      </c>
      <c r="N35">
        <f t="shared" ref="N35:N40" si="58">$B$6*L35</f>
        <v>8</v>
      </c>
      <c r="O35">
        <f t="shared" ref="O35:O40" si="59">(N35+M35)/2</f>
        <v>6</v>
      </c>
      <c r="P35">
        <f t="shared" si="5"/>
        <v>53</v>
      </c>
      <c r="Q35">
        <f t="shared" ca="1" si="16"/>
        <v>126.16428000000002</v>
      </c>
      <c r="R35">
        <f t="shared" ca="1" si="17"/>
        <v>17.882269999999998</v>
      </c>
      <c r="S35">
        <f t="shared" si="18"/>
        <v>45</v>
      </c>
      <c r="T35">
        <f t="shared" ca="1" si="19"/>
        <v>-10.344841999999971</v>
      </c>
      <c r="U35">
        <f t="shared" ca="1" si="20"/>
        <v>20.100484000000002</v>
      </c>
      <c r="V35">
        <f t="shared" si="21"/>
        <v>53</v>
      </c>
      <c r="W35">
        <f t="shared" ca="1" si="22"/>
        <v>92.954279999999983</v>
      </c>
      <c r="X35">
        <f t="shared" ca="1" si="23"/>
        <v>17.882269999999998</v>
      </c>
      <c r="Y35">
        <f>GetFollowingCarRow($B$45:$E$54,L35,$E$15,E35)</f>
        <v>45</v>
      </c>
      <c r="Z35">
        <f t="shared" ca="1" si="24"/>
        <v>-43.554842000000008</v>
      </c>
      <c r="AA35">
        <f t="shared" ca="1" si="25"/>
        <v>20.100484000000002</v>
      </c>
      <c r="AB35">
        <f t="shared" ref="AB35:AB40" si="60">$F$15-F35</f>
        <v>2</v>
      </c>
      <c r="AC35">
        <f t="shared" ref="AC35:AC40" si="61">E35-$E$15</f>
        <v>33.210000000000036</v>
      </c>
      <c r="AD35">
        <f t="shared" ref="AD35:AD40" si="62">$F$15-(-AB35/AC35)*$E$15</f>
        <v>30.260304125263453</v>
      </c>
      <c r="AE35">
        <f t="shared" ref="AE35:AE40" si="63">AD35*-AC35</f>
        <v>-1004.9447000000004</v>
      </c>
      <c r="AF35">
        <f t="shared" ref="AF35:AF40" si="64">SQRT(AB35^2+AC35^2)</f>
        <v>33.270168319381888</v>
      </c>
      <c r="AG35">
        <f t="shared" ref="AG35:AG40" si="65">GetSmallestNormalDistance($B$45:$E$56,AB35,AC35,AF35,$L$15,L35)</f>
        <v>21.542900345125641</v>
      </c>
      <c r="AH35">
        <f t="shared" si="32"/>
        <v>0.70137413093831247</v>
      </c>
      <c r="AI35">
        <f>IF(G35&lt;=0,1,0)</f>
        <v>0</v>
      </c>
      <c r="AJ35">
        <f>IF(G35&lt;0,1,0)</f>
        <v>0</v>
      </c>
      <c r="AK35">
        <f>MAX(($B$3-G35)/(G35 + 1),0) / $B$3</f>
        <v>1.6645983553768246E-2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7.4999999999999997E-2</v>
      </c>
      <c r="AP35">
        <f>Logistic(I35/$B$5)</f>
        <v>3.9978680311163584E-2</v>
      </c>
      <c r="AQ35">
        <f>IF(I35&gt;$B$5,1,0)</f>
        <v>0</v>
      </c>
      <c r="AR35">
        <f>Logistic(ABS(F35-O35)/($B$6/2))</f>
        <v>0.47576820238326978</v>
      </c>
      <c r="AS35">
        <f>IF(OR(F35&lt;M35,F35&gt;N35),1,0)</f>
        <v>1</v>
      </c>
      <c r="AT35">
        <f>ABS(K35)/$B$4</f>
        <v>9.7500000000000003E-2</v>
      </c>
      <c r="AU35">
        <f t="shared" ca="1" si="33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0.77897922522542606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6.943722059513513E-2</v>
      </c>
      <c r="BA35">
        <f t="shared" ca="1" si="34"/>
        <v>0</v>
      </c>
      <c r="BB35">
        <f t="shared" ca="1" si="35"/>
        <v>0</v>
      </c>
      <c r="BC35">
        <f t="shared" si="36"/>
        <v>0</v>
      </c>
      <c r="BE35">
        <f t="shared" ref="BE35:BE40" si="66">Logistic((D35-$B$2)/$B$2)</f>
        <v>0.70137413093831247</v>
      </c>
      <c r="BF35">
        <f t="shared" ref="BF35:BF40" si="67">IF(G35&lt;=0,1,0)</f>
        <v>0</v>
      </c>
      <c r="BG35">
        <f t="shared" ref="BG35:BG40" si="68">IF(G35&lt;0,1,0)</f>
        <v>0</v>
      </c>
      <c r="BH35">
        <f t="shared" ref="BH35:BH40" si="69">Logistic(($B$3-G35)/(G35+1))</f>
        <v>0.17480017105060555</v>
      </c>
      <c r="BI35">
        <f t="shared" ref="BI35:BI40" si="70">IF(G35&gt;$B$3,1,0)</f>
        <v>0</v>
      </c>
      <c r="BJ35">
        <f t="shared" ref="BJ35:BJ40" si="71">IF(H35&gt;$B$5,1,0)</f>
        <v>0</v>
      </c>
      <c r="BK35">
        <f t="shared" ref="BK35:BK40" si="72">EXP(-($B$4-ABS(H35))/MAX(ABS(H35),0.000000001))</f>
        <v>4.4025205299739253E-6</v>
      </c>
      <c r="BL35">
        <f t="shared" ref="BL35:BL40" si="73">IF(G35&lt;ABS(H35),1,0)</f>
        <v>0</v>
      </c>
      <c r="BM35">
        <f t="shared" ref="BM35:BM40" si="74">EXP(-($B$5-I35)/MAX(I35,0.000000001))</f>
        <v>1.0130093598630711E-5</v>
      </c>
      <c r="BN35">
        <f t="shared" ref="BN35:BN40" si="75">IF(F35&gt;N35,(F35-N35)/$B$6,0)+IF(F35&lt;M35,(M35-F35)/$B$6,0)</f>
        <v>1.7500000000000071E-2</v>
      </c>
      <c r="BO35">
        <f t="shared" ref="BO35:BO40" si="76">ABS(K35/$B$4)</f>
        <v>9.7500000000000003E-2</v>
      </c>
      <c r="BP35">
        <f t="shared" ref="BP35:BP40" si="77">Logistic(ABS(H35)/$B$4)</f>
        <v>3.7482431757070493E-2</v>
      </c>
      <c r="BQ35">
        <f t="shared" ref="BQ35:BQ40" si="78">Logistic(($B$3-G35)/G35)</f>
        <v>0.18588109628507901</v>
      </c>
    </row>
    <row r="36" spans="1:69" x14ac:dyDescent="0.25">
      <c r="A36" s="1" t="s">
        <v>83</v>
      </c>
      <c r="B36">
        <f t="shared" ca="1" si="2"/>
        <v>142.54205016800594</v>
      </c>
      <c r="C36" t="s">
        <v>171</v>
      </c>
      <c r="D36">
        <f t="shared" si="49"/>
        <v>137</v>
      </c>
      <c r="E36">
        <f t="shared" si="50"/>
        <v>363.27</v>
      </c>
      <c r="F36">
        <f t="shared" si="51"/>
        <v>7.4</v>
      </c>
      <c r="G36">
        <f t="shared" si="52"/>
        <v>10.25</v>
      </c>
      <c r="H36">
        <f t="shared" si="53"/>
        <v>-1.9</v>
      </c>
      <c r="I36">
        <f t="shared" si="54"/>
        <v>1.94</v>
      </c>
      <c r="J36">
        <f t="shared" si="55"/>
        <v>0.61</v>
      </c>
      <c r="K36">
        <f t="shared" si="56"/>
        <v>1.38</v>
      </c>
      <c r="L36">
        <f t="shared" si="57"/>
        <v>2</v>
      </c>
      <c r="M36">
        <f t="shared" si="0"/>
        <v>4</v>
      </c>
      <c r="N36">
        <f t="shared" si="58"/>
        <v>8</v>
      </c>
      <c r="O36">
        <f t="shared" si="59"/>
        <v>6</v>
      </c>
      <c r="P36">
        <f t="shared" si="5"/>
        <v>53</v>
      </c>
      <c r="Q36">
        <f t="shared" ca="1" si="16"/>
        <v>126.16428000000002</v>
      </c>
      <c r="R36">
        <f t="shared" ca="1" si="17"/>
        <v>17.882269999999998</v>
      </c>
      <c r="S36">
        <f t="shared" si="18"/>
        <v>45</v>
      </c>
      <c r="T36">
        <f t="shared" ca="1" si="19"/>
        <v>-10.344841999999971</v>
      </c>
      <c r="U36">
        <f t="shared" ca="1" si="20"/>
        <v>20.100484000000002</v>
      </c>
      <c r="V36">
        <f t="shared" si="21"/>
        <v>53</v>
      </c>
      <c r="W36">
        <f t="shared" ca="1" si="22"/>
        <v>98.154280000000028</v>
      </c>
      <c r="X36">
        <f t="shared" ca="1" si="23"/>
        <v>17.882269999999998</v>
      </c>
      <c r="Y36">
        <f>GetFollowingCarRow($B$45:$E$54,L36,$E$15,E36)</f>
        <v>45</v>
      </c>
      <c r="Z36">
        <f t="shared" ca="1" si="24"/>
        <v>-38.354841999999962</v>
      </c>
      <c r="AA36">
        <f t="shared" ca="1" si="25"/>
        <v>20.100484000000002</v>
      </c>
      <c r="AB36">
        <f t="shared" si="60"/>
        <v>2.67</v>
      </c>
      <c r="AC36">
        <f t="shared" si="61"/>
        <v>28.009999999999991</v>
      </c>
      <c r="AD36">
        <f t="shared" si="62"/>
        <v>42.028022134951811</v>
      </c>
      <c r="AE36">
        <f t="shared" si="63"/>
        <v>-1177.2049</v>
      </c>
      <c r="AF36">
        <f t="shared" si="64"/>
        <v>28.136968564506013</v>
      </c>
      <c r="AG36">
        <f t="shared" si="65"/>
        <v>30.366114189991823</v>
      </c>
      <c r="AH36">
        <f t="shared" si="32"/>
        <v>0.70137413093831247</v>
      </c>
      <c r="AI36">
        <f>IF(G36&lt;=0,1,0)</f>
        <v>0</v>
      </c>
      <c r="AJ36">
        <f>IF(G36&lt;0,1,0)</f>
        <v>0</v>
      </c>
      <c r="AK36">
        <f>MAX(($B$3-G36)/(G36 + 1),0) / $B$3</f>
        <v>4.5952455754529269E-2</v>
      </c>
      <c r="AL36">
        <f>IF(H36+ABS(K36)&lt;0,Logistic(SQRT(H36^2+K36^2)/$B$4),0)</f>
        <v>0.14572242978359948</v>
      </c>
      <c r="AM36">
        <f>IF(G36&gt;$B$3,1,0)</f>
        <v>0</v>
      </c>
      <c r="AN36">
        <f>IF(H36&gt;$B$4,1,0)</f>
        <v>0</v>
      </c>
      <c r="AO36">
        <f>ABS(H36)/$B$4</f>
        <v>0.23749999999999999</v>
      </c>
      <c r="AP36">
        <f>Logistic(I36/$B$5)</f>
        <v>0.12065928537710655</v>
      </c>
      <c r="AQ36">
        <f>IF(I36&gt;$B$5,1,0)</f>
        <v>0</v>
      </c>
      <c r="AR36">
        <f>Logistic(ABS(F36-O36)/($B$6/2))</f>
        <v>0.33637554433633232</v>
      </c>
      <c r="AS36">
        <f>IF(OR(F36&lt;M36,F36&gt;N36),1,0)</f>
        <v>0</v>
      </c>
      <c r="AT36">
        <f>ABS(K36)/$B$4</f>
        <v>0.17249999999999999</v>
      </c>
      <c r="AU36">
        <f t="shared" ca="1" si="33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0.89498138365586943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0.61062987361839327</v>
      </c>
      <c r="BA36">
        <f t="shared" ca="1" si="34"/>
        <v>0</v>
      </c>
      <c r="BB36">
        <f t="shared" ca="1" si="35"/>
        <v>0</v>
      </c>
      <c r="BC36">
        <f t="shared" si="36"/>
        <v>0</v>
      </c>
      <c r="BE36">
        <f t="shared" si="66"/>
        <v>0.70137413093831247</v>
      </c>
      <c r="BF36">
        <f t="shared" si="67"/>
        <v>0</v>
      </c>
      <c r="BG36">
        <f t="shared" si="68"/>
        <v>0</v>
      </c>
      <c r="BH36">
        <f t="shared" si="69"/>
        <v>0.45227415519238767</v>
      </c>
      <c r="BI36">
        <f t="shared" si="70"/>
        <v>0</v>
      </c>
      <c r="BJ36">
        <f t="shared" si="71"/>
        <v>0</v>
      </c>
      <c r="BK36">
        <f t="shared" si="72"/>
        <v>4.0335378537834532E-2</v>
      </c>
      <c r="BL36">
        <f t="shared" si="73"/>
        <v>0</v>
      </c>
      <c r="BM36">
        <f t="shared" si="74"/>
        <v>4.3993589880711316E-2</v>
      </c>
      <c r="BN36">
        <f t="shared" si="75"/>
        <v>0</v>
      </c>
      <c r="BO36">
        <f t="shared" si="76"/>
        <v>0.17249999999999999</v>
      </c>
      <c r="BP36">
        <f t="shared" si="77"/>
        <v>0.11819494380478601</v>
      </c>
      <c r="BQ36">
        <f t="shared" si="78"/>
        <v>0.48928659311994738</v>
      </c>
    </row>
    <row r="37" spans="1:69" x14ac:dyDescent="0.25">
      <c r="A37" s="1" t="s">
        <v>84</v>
      </c>
      <c r="B37">
        <f t="shared" ca="1" si="2"/>
        <v>305.84926359389056</v>
      </c>
      <c r="C37" t="s">
        <v>170</v>
      </c>
      <c r="D37">
        <f t="shared" si="49"/>
        <v>137</v>
      </c>
      <c r="E37">
        <f t="shared" si="50"/>
        <v>332.39</v>
      </c>
      <c r="F37">
        <f t="shared" si="51"/>
        <v>9.91</v>
      </c>
      <c r="G37">
        <f t="shared" si="52"/>
        <v>-20.49</v>
      </c>
      <c r="H37">
        <f t="shared" si="53"/>
        <v>-9.6199999999999992</v>
      </c>
      <c r="I37">
        <f t="shared" si="54"/>
        <v>9.67</v>
      </c>
      <c r="J37">
        <f t="shared" si="55"/>
        <v>0.04</v>
      </c>
      <c r="K37">
        <f t="shared" si="56"/>
        <v>3.1</v>
      </c>
      <c r="L37">
        <f t="shared" si="57"/>
        <v>2</v>
      </c>
      <c r="M37">
        <f t="shared" si="0"/>
        <v>4</v>
      </c>
      <c r="N37">
        <f t="shared" si="58"/>
        <v>8</v>
      </c>
      <c r="O37">
        <f t="shared" si="59"/>
        <v>6</v>
      </c>
      <c r="P37">
        <f t="shared" si="5"/>
        <v>53</v>
      </c>
      <c r="Q37">
        <f t="shared" ca="1" si="16"/>
        <v>126.16428000000002</v>
      </c>
      <c r="R37">
        <f t="shared" ca="1" si="17"/>
        <v>17.882269999999998</v>
      </c>
      <c r="S37">
        <f t="shared" si="18"/>
        <v>45</v>
      </c>
      <c r="T37">
        <f t="shared" ca="1" si="19"/>
        <v>-10.344841999999971</v>
      </c>
      <c r="U37">
        <f t="shared" ca="1" si="20"/>
        <v>20.100484000000002</v>
      </c>
      <c r="V37">
        <f t="shared" si="21"/>
        <v>53</v>
      </c>
      <c r="W37">
        <f t="shared" ca="1" si="22"/>
        <v>129.03428000000002</v>
      </c>
      <c r="X37">
        <f t="shared" ca="1" si="23"/>
        <v>17.882269999999998</v>
      </c>
      <c r="Y37">
        <f>GetFollowingCarRow($B$45:$E$54,L37,$E$15,E37)</f>
        <v>45</v>
      </c>
      <c r="Z37">
        <f t="shared" ca="1" si="24"/>
        <v>-7.4748419999999669</v>
      </c>
      <c r="AA37">
        <f t="shared" ca="1" si="25"/>
        <v>20.100484000000002</v>
      </c>
      <c r="AB37">
        <f t="shared" si="60"/>
        <v>0.16000000000000014</v>
      </c>
      <c r="AC37">
        <f t="shared" si="61"/>
        <v>-2.8700000000000045</v>
      </c>
      <c r="AD37">
        <f t="shared" si="62"/>
        <v>-8.6204529616724592</v>
      </c>
      <c r="AE37">
        <f t="shared" si="63"/>
        <v>-24.740699999999997</v>
      </c>
      <c r="AF37">
        <f t="shared" si="64"/>
        <v>2.874456470360967</v>
      </c>
      <c r="AG37">
        <f t="shared" si="65"/>
        <v>2.9403309346126996</v>
      </c>
      <c r="AH37">
        <f t="shared" si="32"/>
        <v>0.70137413093831247</v>
      </c>
      <c r="AI37">
        <f>IF(G37&lt;=0,1,0)</f>
        <v>1</v>
      </c>
      <c r="AJ37">
        <f>IF(G37&lt;0,1,0)</f>
        <v>1</v>
      </c>
      <c r="AK37">
        <f>MAX(($B$3-G37)/(G37 + 1),0) / $B$3</f>
        <v>0</v>
      </c>
      <c r="AL37">
        <f>IF(H37+ABS(K37)&lt;0,Logistic(SQRT(H37^2+K37^2)/$B$4),0)</f>
        <v>0.55921936699238273</v>
      </c>
      <c r="AM37">
        <f>IF(G37&gt;$B$3,1,0)</f>
        <v>0</v>
      </c>
      <c r="AN37">
        <f>IF(H37&gt;$B$4,1,0)</f>
        <v>0</v>
      </c>
      <c r="AO37">
        <f>ABS(H37)/$B$4</f>
        <v>1.2024999999999999</v>
      </c>
      <c r="AP37">
        <f>Logistic(I37/$B$5)</f>
        <v>0.54015540244782467</v>
      </c>
      <c r="AQ37">
        <f>IF(I37&gt;$B$5,1,0)</f>
        <v>1</v>
      </c>
      <c r="AR37">
        <f>Logistic(ABS(F37-O37)/($B$6/2))</f>
        <v>0.7519816364572034</v>
      </c>
      <c r="AS37">
        <f>IF(OR(F37&lt;M37,F37&gt;N37),1,0)</f>
        <v>1</v>
      </c>
      <c r="AT37">
        <f>ABS(K37)/$B$4</f>
        <v>0.38750000000000001</v>
      </c>
      <c r="AU37">
        <f t="shared" ca="1" si="33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0.97451412010756022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0.98158474286731845</v>
      </c>
      <c r="BA37">
        <f t="shared" ca="1" si="34"/>
        <v>0</v>
      </c>
      <c r="BB37">
        <f t="shared" ca="1" si="35"/>
        <v>0</v>
      </c>
      <c r="BC37">
        <f t="shared" si="36"/>
        <v>0</v>
      </c>
      <c r="BE37">
        <f t="shared" si="66"/>
        <v>0.70137413093831247</v>
      </c>
      <c r="BF37">
        <f t="shared" si="67"/>
        <v>1</v>
      </c>
      <c r="BG37">
        <f t="shared" si="68"/>
        <v>1</v>
      </c>
      <c r="BH37">
        <f t="shared" si="69"/>
        <v>-0.78947475190463667</v>
      </c>
      <c r="BI37">
        <f t="shared" si="70"/>
        <v>0</v>
      </c>
      <c r="BJ37">
        <f t="shared" si="71"/>
        <v>0</v>
      </c>
      <c r="BK37">
        <f t="shared" si="72"/>
        <v>1.183408895815387</v>
      </c>
      <c r="BL37">
        <f t="shared" si="73"/>
        <v>1</v>
      </c>
      <c r="BM37">
        <f t="shared" si="74"/>
        <v>1.1885083925847557</v>
      </c>
      <c r="BN37">
        <f t="shared" si="75"/>
        <v>0.47750000000000004</v>
      </c>
      <c r="BO37">
        <f t="shared" si="76"/>
        <v>0.38750000000000001</v>
      </c>
      <c r="BP37">
        <f t="shared" si="77"/>
        <v>0.53793844202587759</v>
      </c>
      <c r="BQ37">
        <f t="shared" si="78"/>
        <v>-0.76897448980253646</v>
      </c>
    </row>
    <row r="38" spans="1:69" x14ac:dyDescent="0.25">
      <c r="A38" s="1" t="s">
        <v>19</v>
      </c>
      <c r="B38">
        <f t="shared" ca="1" si="2"/>
        <v>157.05541053351126</v>
      </c>
      <c r="C38" t="s">
        <v>169</v>
      </c>
      <c r="D38">
        <f t="shared" si="49"/>
        <v>137</v>
      </c>
      <c r="E38">
        <f t="shared" si="50"/>
        <v>368.48</v>
      </c>
      <c r="F38">
        <f t="shared" si="51"/>
        <v>8.07</v>
      </c>
      <c r="G38">
        <f t="shared" si="52"/>
        <v>15.42</v>
      </c>
      <c r="H38">
        <f t="shared" si="53"/>
        <v>-0.6</v>
      </c>
      <c r="I38">
        <f t="shared" si="54"/>
        <v>0.64</v>
      </c>
      <c r="J38">
        <f t="shared" si="55"/>
        <v>0.43</v>
      </c>
      <c r="K38">
        <f t="shared" si="56"/>
        <v>0.78</v>
      </c>
      <c r="L38">
        <f t="shared" si="57"/>
        <v>2</v>
      </c>
      <c r="M38">
        <f t="shared" si="0"/>
        <v>4</v>
      </c>
      <c r="N38">
        <f t="shared" si="58"/>
        <v>8</v>
      </c>
      <c r="O38">
        <f t="shared" si="59"/>
        <v>6</v>
      </c>
      <c r="P38">
        <f t="shared" si="5"/>
        <v>53</v>
      </c>
      <c r="Q38">
        <f t="shared" ca="1" si="16"/>
        <v>126.16428000000002</v>
      </c>
      <c r="R38">
        <f t="shared" ca="1" si="17"/>
        <v>17.882269999999998</v>
      </c>
      <c r="S38">
        <f t="shared" si="18"/>
        <v>45</v>
      </c>
      <c r="T38">
        <f t="shared" ca="1" si="19"/>
        <v>-10.344841999999971</v>
      </c>
      <c r="U38">
        <f t="shared" ca="1" si="20"/>
        <v>20.100484000000002</v>
      </c>
      <c r="V38">
        <f t="shared" si="21"/>
        <v>53</v>
      </c>
      <c r="W38">
        <f t="shared" ca="1" si="22"/>
        <v>92.944279999999992</v>
      </c>
      <c r="X38">
        <f t="shared" ca="1" si="23"/>
        <v>17.882269999999998</v>
      </c>
      <c r="Y38">
        <f>GetFollowingCarRow($B$45:$E$54,L38,$E$15,E38)</f>
        <v>45</v>
      </c>
      <c r="Z38">
        <f t="shared" ca="1" si="24"/>
        <v>-43.564841999999999</v>
      </c>
      <c r="AA38">
        <f t="shared" ca="1" si="25"/>
        <v>20.100484000000002</v>
      </c>
      <c r="AB38">
        <f t="shared" si="60"/>
        <v>2</v>
      </c>
      <c r="AC38">
        <f t="shared" si="61"/>
        <v>33.220000000000027</v>
      </c>
      <c r="AD38">
        <f t="shared" si="62"/>
        <v>30.254226369656816</v>
      </c>
      <c r="AE38">
        <f t="shared" si="63"/>
        <v>-1005.0454000000003</v>
      </c>
      <c r="AF38">
        <f t="shared" si="64"/>
        <v>33.280150240045515</v>
      </c>
      <c r="AG38">
        <f t="shared" si="65"/>
        <v>21.538324183329163</v>
      </c>
      <c r="AH38">
        <f t="shared" si="32"/>
        <v>0.70137413093831247</v>
      </c>
      <c r="AI38">
        <f>IF(G38&lt;=0,1,0)</f>
        <v>0</v>
      </c>
      <c r="AJ38">
        <f>IF(G38&lt;0,1,0)</f>
        <v>0</v>
      </c>
      <c r="AK38">
        <f>MAX(($B$3-G38)/(G38 + 1),0) / $B$3</f>
        <v>1.6645983553768246E-2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7.4999999999999997E-2</v>
      </c>
      <c r="AP38">
        <f>Logistic(I38/$B$5)</f>
        <v>3.9978680311163584E-2</v>
      </c>
      <c r="AQ38">
        <f>IF(I38&gt;$B$5,1,0)</f>
        <v>0</v>
      </c>
      <c r="AR38">
        <f>Logistic(ABS(F38-O38)/($B$6/2))</f>
        <v>0.47576820238326978</v>
      </c>
      <c r="AS38">
        <f>IF(OR(F38&lt;M38,F38&gt;N38),1,0)</f>
        <v>1</v>
      </c>
      <c r="AT38">
        <f>ABS(K38)/$B$4</f>
        <v>9.7500000000000003E-2</v>
      </c>
      <c r="AU38">
        <f t="shared" ca="1" si="33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0.77897922522542606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6.9223567477209924E-2</v>
      </c>
      <c r="BA38">
        <f t="shared" ca="1" si="34"/>
        <v>0</v>
      </c>
      <c r="BB38">
        <f t="shared" ca="1" si="35"/>
        <v>0</v>
      </c>
      <c r="BC38">
        <f t="shared" si="36"/>
        <v>0</v>
      </c>
      <c r="BE38">
        <f t="shared" si="66"/>
        <v>0.70137413093831247</v>
      </c>
      <c r="BF38">
        <f t="shared" si="67"/>
        <v>0</v>
      </c>
      <c r="BG38">
        <f t="shared" si="68"/>
        <v>0</v>
      </c>
      <c r="BH38">
        <f t="shared" si="69"/>
        <v>0.17480017105060555</v>
      </c>
      <c r="BI38">
        <f t="shared" si="70"/>
        <v>0</v>
      </c>
      <c r="BJ38">
        <f t="shared" si="71"/>
        <v>0</v>
      </c>
      <c r="BK38">
        <f t="shared" si="72"/>
        <v>4.4025205299739253E-6</v>
      </c>
      <c r="BL38">
        <f t="shared" si="73"/>
        <v>0</v>
      </c>
      <c r="BM38">
        <f t="shared" si="74"/>
        <v>1.0130093598630711E-5</v>
      </c>
      <c r="BN38">
        <f t="shared" si="75"/>
        <v>1.7500000000000071E-2</v>
      </c>
      <c r="BO38">
        <f t="shared" si="76"/>
        <v>9.7500000000000003E-2</v>
      </c>
      <c r="BP38">
        <f t="shared" si="77"/>
        <v>3.7482431757070493E-2</v>
      </c>
      <c r="BQ38">
        <f t="shared" si="78"/>
        <v>0.18588109628507901</v>
      </c>
    </row>
    <row r="39" spans="1:69" x14ac:dyDescent="0.25">
      <c r="A39" s="1" t="s">
        <v>18</v>
      </c>
      <c r="B39">
        <f t="shared" ca="1" si="2"/>
        <v>142.54205016800594</v>
      </c>
      <c r="C39" t="s">
        <v>168</v>
      </c>
      <c r="D39">
        <f t="shared" si="49"/>
        <v>137</v>
      </c>
      <c r="E39">
        <f t="shared" si="50"/>
        <v>363.28</v>
      </c>
      <c r="F39">
        <f t="shared" si="51"/>
        <v>7.4</v>
      </c>
      <c r="G39">
        <f t="shared" si="52"/>
        <v>10.25</v>
      </c>
      <c r="H39">
        <f t="shared" si="53"/>
        <v>-1.9</v>
      </c>
      <c r="I39">
        <f t="shared" si="54"/>
        <v>1.94</v>
      </c>
      <c r="J39">
        <f t="shared" si="55"/>
        <v>0.6</v>
      </c>
      <c r="K39">
        <f t="shared" si="56"/>
        <v>1.38</v>
      </c>
      <c r="L39">
        <f t="shared" si="57"/>
        <v>2</v>
      </c>
      <c r="M39">
        <f t="shared" si="0"/>
        <v>4</v>
      </c>
      <c r="N39">
        <f t="shared" si="58"/>
        <v>8</v>
      </c>
      <c r="O39">
        <f t="shared" si="59"/>
        <v>6</v>
      </c>
      <c r="P39">
        <f t="shared" si="5"/>
        <v>53</v>
      </c>
      <c r="Q39">
        <f t="shared" ca="1" si="16"/>
        <v>126.16428000000002</v>
      </c>
      <c r="R39">
        <f t="shared" ca="1" si="17"/>
        <v>17.882269999999998</v>
      </c>
      <c r="S39">
        <f t="shared" si="18"/>
        <v>45</v>
      </c>
      <c r="T39">
        <f t="shared" ca="1" si="19"/>
        <v>-10.344841999999971</v>
      </c>
      <c r="U39">
        <f t="shared" ca="1" si="20"/>
        <v>20.100484000000002</v>
      </c>
      <c r="V39">
        <f t="shared" si="21"/>
        <v>53</v>
      </c>
      <c r="W39">
        <f t="shared" ca="1" si="22"/>
        <v>98.144280000000037</v>
      </c>
      <c r="X39">
        <f t="shared" ca="1" si="23"/>
        <v>17.882269999999998</v>
      </c>
      <c r="Y39">
        <f>GetFollowingCarRow($B$45:$E$54,L39,$E$15,E39)</f>
        <v>45</v>
      </c>
      <c r="Z39">
        <f t="shared" ca="1" si="24"/>
        <v>-38.364841999999953</v>
      </c>
      <c r="AA39">
        <f t="shared" ca="1" si="25"/>
        <v>20.100484000000002</v>
      </c>
      <c r="AB39">
        <f t="shared" si="60"/>
        <v>2.67</v>
      </c>
      <c r="AC39">
        <f t="shared" si="61"/>
        <v>28.019999999999982</v>
      </c>
      <c r="AD39">
        <f t="shared" si="62"/>
        <v>42.016616702355478</v>
      </c>
      <c r="AE39">
        <f t="shared" si="63"/>
        <v>-1177.3055999999997</v>
      </c>
      <c r="AF39">
        <f t="shared" si="64"/>
        <v>28.14692345532632</v>
      </c>
      <c r="AG39">
        <f t="shared" si="65"/>
        <v>30.357603590892829</v>
      </c>
      <c r="AH39">
        <f t="shared" si="32"/>
        <v>0.70137413093831247</v>
      </c>
      <c r="AI39">
        <f>IF(G39&lt;=0,1,0)</f>
        <v>0</v>
      </c>
      <c r="AJ39">
        <f>IF(G39&lt;0,1,0)</f>
        <v>0</v>
      </c>
      <c r="AK39">
        <f>MAX(($B$3-G39)/(G39 + 1),0) / $B$3</f>
        <v>4.5952455754529269E-2</v>
      </c>
      <c r="AL39">
        <f>IF(H39+ABS(K39)&lt;0,Logistic(SQRT(H39^2+K39^2)/$B$4),0)</f>
        <v>0.14572242978359948</v>
      </c>
      <c r="AM39">
        <f>IF(G39&gt;$B$3,1,0)</f>
        <v>0</v>
      </c>
      <c r="AN39">
        <f>IF(H39&gt;$B$4,1,0)</f>
        <v>0</v>
      </c>
      <c r="AO39">
        <f>ABS(H39)/$B$4</f>
        <v>0.23749999999999999</v>
      </c>
      <c r="AP39">
        <f>Logistic(I39/$B$5)</f>
        <v>0.12065928537710655</v>
      </c>
      <c r="AQ39">
        <f>IF(I39&gt;$B$5,1,0)</f>
        <v>0</v>
      </c>
      <c r="AR39">
        <f>Logistic(ABS(F39-O39)/($B$6/2))</f>
        <v>0.33637554433633232</v>
      </c>
      <c r="AS39">
        <f>IF(OR(F39&lt;M39,F39&gt;N39),1,0)</f>
        <v>0</v>
      </c>
      <c r="AT39">
        <f>ABS(K39)/$B$4</f>
        <v>0.17249999999999999</v>
      </c>
      <c r="AU39">
        <f t="shared" ca="1" si="33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0.89498138365586943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0.61052835576404219</v>
      </c>
      <c r="BA39">
        <f t="shared" ca="1" si="34"/>
        <v>0</v>
      </c>
      <c r="BB39">
        <f t="shared" ca="1" si="35"/>
        <v>0</v>
      </c>
      <c r="BC39">
        <f t="shared" si="36"/>
        <v>0</v>
      </c>
      <c r="BE39">
        <f t="shared" si="66"/>
        <v>0.70137413093831247</v>
      </c>
      <c r="BF39">
        <f t="shared" si="67"/>
        <v>0</v>
      </c>
      <c r="BG39">
        <f t="shared" si="68"/>
        <v>0</v>
      </c>
      <c r="BH39">
        <f t="shared" si="69"/>
        <v>0.45227415519238767</v>
      </c>
      <c r="BI39">
        <f t="shared" si="70"/>
        <v>0</v>
      </c>
      <c r="BJ39">
        <f t="shared" si="71"/>
        <v>0</v>
      </c>
      <c r="BK39">
        <f t="shared" si="72"/>
        <v>4.0335378537834532E-2</v>
      </c>
      <c r="BL39">
        <f t="shared" si="73"/>
        <v>0</v>
      </c>
      <c r="BM39">
        <f t="shared" si="74"/>
        <v>4.3993589880711316E-2</v>
      </c>
      <c r="BN39">
        <f t="shared" si="75"/>
        <v>0</v>
      </c>
      <c r="BO39">
        <f t="shared" si="76"/>
        <v>0.17249999999999999</v>
      </c>
      <c r="BP39">
        <f t="shared" si="77"/>
        <v>0.11819494380478601</v>
      </c>
      <c r="BQ39">
        <f t="shared" si="78"/>
        <v>0.48928659311994738</v>
      </c>
    </row>
    <row r="40" spans="1:69" x14ac:dyDescent="0.25">
      <c r="A40" s="1" t="s">
        <v>17</v>
      </c>
      <c r="B40">
        <f t="shared" ca="1" si="2"/>
        <v>305.84920079059845</v>
      </c>
      <c r="C40" t="s">
        <v>167</v>
      </c>
      <c r="D40">
        <f t="shared" si="49"/>
        <v>137</v>
      </c>
      <c r="E40">
        <f t="shared" si="50"/>
        <v>332.4</v>
      </c>
      <c r="F40">
        <f t="shared" si="51"/>
        <v>9.91</v>
      </c>
      <c r="G40">
        <f t="shared" si="52"/>
        <v>-20.48</v>
      </c>
      <c r="H40">
        <f t="shared" si="53"/>
        <v>-9.6199999999999992</v>
      </c>
      <c r="I40">
        <f t="shared" si="54"/>
        <v>9.66</v>
      </c>
      <c r="J40">
        <f t="shared" si="55"/>
        <v>0.04</v>
      </c>
      <c r="K40">
        <f t="shared" si="56"/>
        <v>3.1</v>
      </c>
      <c r="L40">
        <f t="shared" si="57"/>
        <v>2</v>
      </c>
      <c r="M40">
        <f t="shared" si="0"/>
        <v>4</v>
      </c>
      <c r="N40">
        <f t="shared" si="58"/>
        <v>8</v>
      </c>
      <c r="O40">
        <f t="shared" si="59"/>
        <v>6</v>
      </c>
      <c r="P40">
        <f t="shared" si="5"/>
        <v>53</v>
      </c>
      <c r="Q40">
        <f t="shared" ca="1" si="16"/>
        <v>126.16428000000002</v>
      </c>
      <c r="R40">
        <f t="shared" ca="1" si="17"/>
        <v>17.882269999999998</v>
      </c>
      <c r="S40">
        <f t="shared" si="18"/>
        <v>45</v>
      </c>
      <c r="T40">
        <f t="shared" ca="1" si="19"/>
        <v>-10.344841999999971</v>
      </c>
      <c r="U40">
        <f t="shared" ca="1" si="20"/>
        <v>20.100484000000002</v>
      </c>
      <c r="V40">
        <f t="shared" si="21"/>
        <v>53</v>
      </c>
      <c r="W40">
        <f t="shared" ca="1" si="22"/>
        <v>129.02428000000003</v>
      </c>
      <c r="X40">
        <f t="shared" ca="1" si="23"/>
        <v>17.882269999999998</v>
      </c>
      <c r="Y40">
        <f>GetFollowingCarRow($B$45:$E$54,L40,$E$15,E40)</f>
        <v>45</v>
      </c>
      <c r="Z40">
        <f t="shared" ca="1" si="24"/>
        <v>-7.4848419999999578</v>
      </c>
      <c r="AA40">
        <f t="shared" ca="1" si="25"/>
        <v>20.100484000000002</v>
      </c>
      <c r="AB40">
        <f t="shared" si="60"/>
        <v>0.16000000000000014</v>
      </c>
      <c r="AC40">
        <f t="shared" si="61"/>
        <v>-2.8600000000000136</v>
      </c>
      <c r="AD40">
        <f t="shared" si="62"/>
        <v>-8.6858041958041241</v>
      </c>
      <c r="AE40">
        <f t="shared" si="63"/>
        <v>-24.841399999999915</v>
      </c>
      <c r="AF40">
        <f t="shared" si="64"/>
        <v>2.8644720281406273</v>
      </c>
      <c r="AG40">
        <f t="shared" si="65"/>
        <v>2.9870790833150438</v>
      </c>
      <c r="AH40">
        <f t="shared" si="32"/>
        <v>0.70137413093831247</v>
      </c>
      <c r="AI40">
        <f>IF(G40&lt;=0,1,0)</f>
        <v>1</v>
      </c>
      <c r="AJ40">
        <f>IF(G40&lt;0,1,0)</f>
        <v>1</v>
      </c>
      <c r="AK40">
        <f>MAX(($B$3-G40)/(G40 + 1),0) / $B$3</f>
        <v>0</v>
      </c>
      <c r="AL40">
        <f>IF(H40+ABS(K40)&lt;0,Logistic(SQRT(H40^2+K40^2)/$B$4),0)</f>
        <v>0.55921936699238273</v>
      </c>
      <c r="AM40">
        <f>IF(G40&gt;$B$3,1,0)</f>
        <v>0</v>
      </c>
      <c r="AN40">
        <f>IF(H40&gt;$B$4,1,0)</f>
        <v>0</v>
      </c>
      <c r="AO40">
        <f>ABS(H40)/$B$4</f>
        <v>1.2024999999999999</v>
      </c>
      <c r="AP40">
        <f>Logistic(I40/$B$5)</f>
        <v>0.53971260793106979</v>
      </c>
      <c r="AQ40">
        <f>IF(I40&gt;$B$5,1,0)</f>
        <v>1</v>
      </c>
      <c r="AR40">
        <f>Logistic(ABS(F40-O40)/($B$6/2))</f>
        <v>0.7519816364572034</v>
      </c>
      <c r="AS40">
        <f>IF(OR(F40&lt;M40,F40&gt;N40),1,0)</f>
        <v>1</v>
      </c>
      <c r="AT40">
        <f>ABS(K40)/$B$4</f>
        <v>0.38750000000000001</v>
      </c>
      <c r="AU40">
        <f t="shared" ca="1" si="33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0.97450783977835265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0.98155556252113707</v>
      </c>
      <c r="BA40">
        <f t="shared" ca="1" si="34"/>
        <v>0</v>
      </c>
      <c r="BB40">
        <f t="shared" ca="1" si="35"/>
        <v>0</v>
      </c>
      <c r="BC40">
        <f t="shared" si="36"/>
        <v>0</v>
      </c>
      <c r="BE40">
        <f t="shared" si="66"/>
        <v>0.70137413093831247</v>
      </c>
      <c r="BF40">
        <f t="shared" si="67"/>
        <v>1</v>
      </c>
      <c r="BG40">
        <f t="shared" si="68"/>
        <v>1</v>
      </c>
      <c r="BH40">
        <f t="shared" si="69"/>
        <v>-0.78958496741051343</v>
      </c>
      <c r="BI40">
        <f t="shared" si="70"/>
        <v>0</v>
      </c>
      <c r="BJ40">
        <f t="shared" si="71"/>
        <v>0</v>
      </c>
      <c r="BK40">
        <f t="shared" si="72"/>
        <v>1.183408895815387</v>
      </c>
      <c r="BL40">
        <f t="shared" si="73"/>
        <v>1</v>
      </c>
      <c r="BM40">
        <f t="shared" si="74"/>
        <v>1.1874909669318783</v>
      </c>
      <c r="BN40">
        <f t="shared" si="75"/>
        <v>0.47750000000000004</v>
      </c>
      <c r="BO40">
        <f t="shared" si="76"/>
        <v>0.38750000000000001</v>
      </c>
      <c r="BP40">
        <f t="shared" si="77"/>
        <v>0.53793844202587759</v>
      </c>
      <c r="BQ40">
        <f t="shared" si="78"/>
        <v>-0.76907779936967047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324.91515800000002</v>
      </c>
      <c r="C45">
        <v>5.4840229999999996</v>
      </c>
      <c r="D45">
        <v>20.100484000000002</v>
      </c>
      <c r="E45">
        <v>2</v>
      </c>
    </row>
    <row r="46" spans="1:69" x14ac:dyDescent="0.25">
      <c r="B46">
        <v>310.33366799999999</v>
      </c>
      <c r="C46">
        <v>10.041029999999999</v>
      </c>
      <c r="D46">
        <v>17.400632000000002</v>
      </c>
      <c r="E46">
        <v>3</v>
      </c>
    </row>
    <row r="47" spans="1:69" x14ac:dyDescent="0.25">
      <c r="B47">
        <v>328.46083499999997</v>
      </c>
      <c r="C47">
        <v>1.1663520000000001</v>
      </c>
      <c r="D47">
        <v>20.877210000000002</v>
      </c>
      <c r="E47">
        <v>1</v>
      </c>
    </row>
    <row r="48" spans="1:69" x14ac:dyDescent="0.25">
      <c r="B48">
        <v>254.18126599999999</v>
      </c>
      <c r="C48">
        <v>6.2744169999999997</v>
      </c>
      <c r="D48">
        <v>18.966846</v>
      </c>
      <c r="E48">
        <v>2</v>
      </c>
    </row>
    <row r="49" spans="2:5" x14ac:dyDescent="0.25">
      <c r="B49">
        <v>240.362798</v>
      </c>
      <c r="C49">
        <v>10.455120000000001</v>
      </c>
      <c r="D49">
        <v>18.239861999999999</v>
      </c>
      <c r="E49">
        <v>3</v>
      </c>
    </row>
    <row r="50" spans="2:5" x14ac:dyDescent="0.25">
      <c r="B50">
        <v>476.950604</v>
      </c>
      <c r="C50">
        <v>9.9286670000000008</v>
      </c>
      <c r="D50">
        <v>17.440681000000001</v>
      </c>
      <c r="E50">
        <v>3</v>
      </c>
    </row>
    <row r="51" spans="2:5" x14ac:dyDescent="0.25">
      <c r="B51">
        <v>500.83835599999998</v>
      </c>
      <c r="C51">
        <v>9.85337</v>
      </c>
      <c r="D51">
        <v>17.273724000000001</v>
      </c>
      <c r="E51">
        <v>3</v>
      </c>
    </row>
    <row r="52" spans="2:5" x14ac:dyDescent="0.25">
      <c r="B52">
        <v>428.64759500000002</v>
      </c>
      <c r="C52">
        <v>1.9864809999999999</v>
      </c>
      <c r="D52">
        <v>15.149182</v>
      </c>
      <c r="E52">
        <v>1</v>
      </c>
    </row>
    <row r="53" spans="2:5" x14ac:dyDescent="0.25">
      <c r="B53">
        <v>461.42428000000001</v>
      </c>
      <c r="C53">
        <v>5.9587680000000001</v>
      </c>
      <c r="D53">
        <v>17.882269999999998</v>
      </c>
      <c r="E53">
        <v>2</v>
      </c>
    </row>
    <row r="54" spans="2:5" x14ac:dyDescent="0.25">
      <c r="B54">
        <v>281.45693899999998</v>
      </c>
      <c r="C54">
        <v>9.8928170000000009</v>
      </c>
      <c r="D54">
        <v>18.659917</v>
      </c>
      <c r="E54">
        <v>3</v>
      </c>
    </row>
    <row r="55" spans="2:5" x14ac:dyDescent="0.25">
      <c r="B55">
        <v>286.75045999999998</v>
      </c>
      <c r="C55">
        <v>1.793785</v>
      </c>
      <c r="D55">
        <v>18.575486000000001</v>
      </c>
      <c r="E55">
        <v>1</v>
      </c>
    </row>
    <row r="56" spans="2:5" x14ac:dyDescent="0.25">
      <c r="B56">
        <v>213.33882600000001</v>
      </c>
      <c r="C56">
        <v>2.4478610000000001</v>
      </c>
      <c r="D56">
        <v>17.340440000000001</v>
      </c>
      <c r="E56">
        <v>1</v>
      </c>
    </row>
  </sheetData>
  <mergeCells count="4">
    <mergeCell ref="A1:B1"/>
    <mergeCell ref="BE12:BO12"/>
    <mergeCell ref="B43:E43"/>
    <mergeCell ref="AH12:BB12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92D050"/>
  </sheetPr>
  <dimension ref="A1:BQ47"/>
  <sheetViews>
    <sheetView topLeftCell="A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1406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12" t="s">
        <v>183</v>
      </c>
      <c r="B12">
        <f ca="1">INDEX(A16:F40,MATCH(MIN(B16:B40),B16:B40,0),5)</f>
        <v>126.31</v>
      </c>
      <c r="C12">
        <f ca="1">INDEX(A16:F40,MATCH(MIN(B16:B40),B16:B40,0),6)</f>
        <v>6.18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3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184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126.27</v>
      </c>
      <c r="F15">
        <f>VALUE(MID(C15,FIND("d[",C15)+2,FIND("]",C15,FIND("d[",C15))-(FIND("d[",C15)+2)))</f>
        <v>6.16</v>
      </c>
      <c r="G15">
        <f>VALUE(MID(C15,FIND("s_dot[",C15)+6,FIND("]",C15,FIND("s_dot[",C15))-(FIND("s_dot[",C15)+6)))</f>
        <v>1.47</v>
      </c>
      <c r="H15">
        <f>VALUE(MID(C15,FIND("s_dot2[",C15)+7,FIND("]",C15,FIND("s_dot2[",C15))-(FIND("s_dot2[",C15)+7)))</f>
        <v>1.5</v>
      </c>
      <c r="I15">
        <f>VALUE(MID(C15,FIND("s_dot3[",C15)+7,FIND("]",C15,FIND("s_dot3[",C15))-(FIND("s_dot3[",C15)+7)))</f>
        <v>1.5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40" si="0">$B$6*(L15-1)</f>
        <v>4</v>
      </c>
      <c r="N15">
        <f t="shared" ref="N15:N40" si="1">$B$6*L15</f>
        <v>8</v>
      </c>
      <c r="O15">
        <f>(N15+M15)/2</f>
        <v>6</v>
      </c>
      <c r="P15" t="e">
        <f>GetLeadingCarRow($B$45:$E$56,L15,$E$15, $E$15)</f>
        <v>#VALUE!</v>
      </c>
      <c r="Q15">
        <f ca="1">IFERROR(INDIRECT(CONCATENATE("B", P15))-$E$15,1000000)</f>
        <v>1000000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93.351729254435256</v>
      </c>
      <c r="C16" t="s">
        <v>209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126.3</v>
      </c>
      <c r="F16">
        <f>VALUE(MID(C16,FIND("d[",C16)+2,FIND("]",C16,FIND("d[",C16))-(FIND("d[",C16)+2)))</f>
        <v>6.18</v>
      </c>
      <c r="G16">
        <f>VALUE(MID(C16,FIND("s_dot[",C16)+6,FIND("]",C16,FIND("s_dot[",C16))-(FIND("s_dot[",C16)+6)))</f>
        <v>1.49</v>
      </c>
      <c r="H16">
        <f>VALUE(MID(C16,FIND("s_dot2[",C16)+7,FIND("]",C16,FIND("s_dot2[",C16))-(FIND("s_dot2[",C16)+7)))</f>
        <v>1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 t="e">
        <f t="shared" ref="P16:P40" si="5">GetLeadingCarRow($B$45:$E$56,L16,$E$15, $E$15)</f>
        <v>#VALUE!</v>
      </c>
      <c r="Q16">
        <f ca="1">IFERROR(INDIRECT(CONCATENATE("B", P16))-$E$15,1000000)</f>
        <v>1000000</v>
      </c>
      <c r="R16">
        <f ca="1">IFERROR(INDIRECT(CONCATENATE("D", P16)),100)</f>
        <v>100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 t="e">
        <f>GetLeadingCarRow($B$45:$E$56,L16,$E$15,E16)</f>
        <v>#VALUE!</v>
      </c>
      <c r="W16">
        <f ca="1">IFERROR(INDIRECT(CONCATENATE("B", V16))-E16,1000000000)</f>
        <v>1000000000</v>
      </c>
      <c r="X16">
        <f ca="1">IFERROR(INDIRECT(CONCATENATE("D", V16)),100)</f>
        <v>100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-1.9999999999999574E-2</v>
      </c>
      <c r="AC16">
        <f>E16-$E$15</f>
        <v>3.0000000000001137E-2</v>
      </c>
      <c r="AD16">
        <f>$F$15-(-AB16/AC16)*$E$15</f>
        <v>-78.019999999995022</v>
      </c>
      <c r="AE16">
        <f>AD16*-AC16</f>
        <v>2.3405999999999394</v>
      </c>
      <c r="AF16">
        <f>SQRT(AB16^2+AC16^2)</f>
        <v>3.6055512754640605E-2</v>
      </c>
      <c r="AG16">
        <f>GetSmallestNormalDistance($B$45:$E$56,AB16,AC16,AF16,$L$15,L16)</f>
        <v>1000000000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0.37340691701774104</v>
      </c>
      <c r="AL16">
        <f>IF(H16+ABS(K16)&lt;0,Logistic(SQRT(H16^2+K16^2)/$B$4),0)</f>
        <v>0</v>
      </c>
      <c r="AM16">
        <f>IF(G16&gt;$B$3,1,0)</f>
        <v>0</v>
      </c>
      <c r="AN16">
        <f>IF(H16&gt;$B$4,1,0)</f>
        <v>0</v>
      </c>
      <c r="AO16">
        <f>ABS(H16)/$B$4</f>
        <v>0.125</v>
      </c>
      <c r="AP16">
        <f>Logistic(I16/$B$5)</f>
        <v>0.12435300177159621</v>
      </c>
      <c r="AQ16">
        <f>IF(I16&gt;$B$5,1,0)</f>
        <v>0</v>
      </c>
      <c r="AR16">
        <f>Logistic(ABS(F16-O16)/($B$6/2))</f>
        <v>4.4969649583600189E-2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>Logistic((D16-$B$2)/$B$2)</f>
        <v>0</v>
      </c>
      <c r="BF16">
        <f>IF(G16&lt;=0,1,0)</f>
        <v>0</v>
      </c>
      <c r="BG16">
        <f>IF(G16&lt;0,1,0)</f>
        <v>0</v>
      </c>
      <c r="BH16">
        <f>Logistic(($B$3-G16)/(G16+1))</f>
        <v>0.99927613785787628</v>
      </c>
      <c r="BI16">
        <f>IF(G16&gt;$B$3,1,0)</f>
        <v>0</v>
      </c>
      <c r="BJ16">
        <f>IF(H16&gt;$B$5,1,0)</f>
        <v>0</v>
      </c>
      <c r="BK16">
        <f>EXP(-($B$4-ABS(H16))/MAX(ABS(H16),0.000000001))</f>
        <v>9.1188196555451624E-4</v>
      </c>
      <c r="BL16">
        <f>IF(G16&lt;ABS(H16),1,0)</f>
        <v>0</v>
      </c>
      <c r="BM16">
        <f>EXP(-($B$5-I16)/MAX(I16,0.000000001))</f>
        <v>4.9787068367863944E-2</v>
      </c>
      <c r="BN16">
        <f>IF(F16&gt;N16,(F16-N16)/$B$6,0)+IF(F16&lt;M16,(M16-F16)/$B$6,0)</f>
        <v>0</v>
      </c>
      <c r="BO16">
        <f>ABS(K16/$B$4)</f>
        <v>0</v>
      </c>
      <c r="BP16">
        <f t="shared" ref="BP16:BP40" si="7">Logistic(ABS(H16)/$B$4)</f>
        <v>6.2418746747512487E-2</v>
      </c>
      <c r="BQ16">
        <f>Logistic(($B$3-G16)/G16)</f>
        <v>0.99999644965342638</v>
      </c>
    </row>
    <row r="17" spans="1:69" x14ac:dyDescent="0.25">
      <c r="A17" s="1" t="s">
        <v>15</v>
      </c>
      <c r="B17">
        <f t="shared" ca="1" si="2"/>
        <v>92.514015568264156</v>
      </c>
      <c r="C17" t="s">
        <v>208</v>
      </c>
      <c r="D17">
        <f t="shared" ref="D17:D40" si="8">VALUE(MID(C17,FIND("#[",C17)+2,FIND("]",C17,FIND("#[",C17))-(FIND("#[",C17)+2)))</f>
        <v>50</v>
      </c>
      <c r="E17">
        <f t="shared" ref="E17:E40" si="9">VALUE(MID(C17,FIND("s[",C17)+2,FIND("]",C17,FIND("s[",C17))-(FIND("s[",C17)+2)))</f>
        <v>126.3</v>
      </c>
      <c r="F17">
        <f t="shared" ref="F17:F40" si="10">VALUE(MID(C17,FIND("d[",C17)+2,FIND("]",C17,FIND("d[",C17))-(FIND("d[",C17)+2)))</f>
        <v>6.18</v>
      </c>
      <c r="G17">
        <f t="shared" ref="G17:G40" si="11">VALUE(MID(C17,FIND("s_dot[",C17)+6,FIND("]",C17,FIND("s_dot[",C17))-(FIND("s_dot[",C17)+6)))</f>
        <v>1.51</v>
      </c>
      <c r="H17">
        <f t="shared" ref="H17:H40" si="12">VALUE(MID(C17,FIND("s_dot2[",C17)+7,FIND("]",C17,FIND("s_dot2[",C17))-(FIND("s_dot2[",C17)+7)))</f>
        <v>2</v>
      </c>
      <c r="I17">
        <f t="shared" ref="I17:I40" si="13">VALUE(MID(C17,FIND("s_dot3[",C17)+7,FIND("]",C17,FIND("s_dot3[",C17))-(FIND("s_dot3[",C17)+7)))</f>
        <v>1</v>
      </c>
      <c r="J17">
        <f t="shared" ref="J17:J40" si="14">VALUE(MID(C17,FIND("d_dot[",C17)+6,FIND("]",C17,FIND("d_dot[",C17))-(FIND("d_dot[",C17)+6)))</f>
        <v>0</v>
      </c>
      <c r="K17">
        <f t="shared" ref="K17:K40" si="15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 t="e">
        <f t="shared" si="5"/>
        <v>#VALUE!</v>
      </c>
      <c r="Q17">
        <f t="shared" ref="Q17:Q40" ca="1" si="16">IFERROR(INDIRECT(CONCATENATE("B", P17))-$E$15,1000000)</f>
        <v>1000000</v>
      </c>
      <c r="R17">
        <f t="shared" ref="R17:R40" ca="1" si="17">IFERROR(INDIRECT(CONCATENATE("D", P17)),100)</f>
        <v>100</v>
      </c>
      <c r="S17" t="e">
        <f t="shared" ref="S17:S40" si="18">GetFollowingCarRow($B$45:$E$56,L17,$E$15, $E$15)</f>
        <v>#VALUE!</v>
      </c>
      <c r="T17">
        <f t="shared" ref="T17:T40" ca="1" si="19">IFERROR(INDIRECT(CONCATENATE("B", S17))-$E$15,1000000)</f>
        <v>1000000</v>
      </c>
      <c r="U17">
        <f t="shared" ref="U17:U40" ca="1" si="20">IFERROR(INDIRECT(CONCATENATE("D", S17)),100)</f>
        <v>100</v>
      </c>
      <c r="V17" t="e">
        <f t="shared" ref="V17:V40" si="21">GetLeadingCarRow($B$45:$E$56,L17,$E$15,E17)</f>
        <v>#VALUE!</v>
      </c>
      <c r="W17">
        <f t="shared" ref="W17:W40" ca="1" si="22">IFERROR(INDIRECT(CONCATENATE("B", V17))-E17,1000000000)</f>
        <v>1000000000</v>
      </c>
      <c r="X17">
        <f t="shared" ref="X17:X40" ca="1" si="23">IFERROR(INDIRECT(CONCATENATE("D", V17)),100)</f>
        <v>100</v>
      </c>
      <c r="Y17" t="e">
        <f>GetFollowingCarRow($B$45:$E$54,L17,$E$15,E17)</f>
        <v>#VALUE!</v>
      </c>
      <c r="Z17">
        <f t="shared" ref="Z17:Z40" ca="1" si="24">IFERROR(INDIRECT(CONCATENATE("B", Y17))-E17,1000000000)</f>
        <v>1000000000</v>
      </c>
      <c r="AA17">
        <f t="shared" ref="AA17:AA40" ca="1" si="25">IFERROR(INDIRECT(CONCATENATE("D", Y17)),100)</f>
        <v>100</v>
      </c>
      <c r="AB17">
        <f t="shared" ref="AB17:AB40" si="26">$F$15-F17</f>
        <v>-1.9999999999999574E-2</v>
      </c>
      <c r="AC17">
        <f t="shared" ref="AC17:AC40" si="27">E17-$E$15</f>
        <v>3.0000000000001137E-2</v>
      </c>
      <c r="AD17">
        <f t="shared" ref="AD17:AD40" si="28">$F$15-(-AB17/AC17)*$E$15</f>
        <v>-78.019999999995022</v>
      </c>
      <c r="AE17">
        <f t="shared" ref="AE17:AE40" si="29">AD17*-AC17</f>
        <v>2.3405999999999394</v>
      </c>
      <c r="AF17">
        <f t="shared" ref="AF17:AF40" si="30">SQRT(AB17^2+AC17^2)</f>
        <v>3.6055512754640605E-2</v>
      </c>
      <c r="AG17">
        <f t="shared" ref="AG17:AG40" si="31">GetSmallestNormalDistance($B$45:$E$56,AB17,AC17,AF17,$L$15,L17)</f>
        <v>1000000000</v>
      </c>
      <c r="AH17">
        <f t="shared" ref="AH17:AH40" si="32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0.37005606227305665</v>
      </c>
      <c r="AL17">
        <f>IF(H17+ABS(K17)&lt;0,Logistic(SQRT(H17^2+K17^2)/$B$4),0)</f>
        <v>0</v>
      </c>
      <c r="AM17">
        <f>IF(G17&gt;$B$3,1,0)</f>
        <v>0</v>
      </c>
      <c r="AN17">
        <f>IF(H17&gt;$B$4,1,0)</f>
        <v>0</v>
      </c>
      <c r="AO17">
        <f>ABS(H17)/$B$4</f>
        <v>0.25</v>
      </c>
      <c r="AP17">
        <f>Logistic(I17/$B$5)</f>
        <v>6.2418746747512487E-2</v>
      </c>
      <c r="AQ17">
        <f>IF(I17&gt;$B$5,1,0)</f>
        <v>0</v>
      </c>
      <c r="AR17">
        <f>Logistic(ABS(F17-O17)/($B$6/2))</f>
        <v>4.4969649583600189E-2</v>
      </c>
      <c r="AS17">
        <f>IF(OR(F17&lt;M17,F17&gt;N17),1,0)</f>
        <v>0</v>
      </c>
      <c r="AT17">
        <f>ABS(K17)/$B$4</f>
        <v>0</v>
      </c>
      <c r="AU17">
        <f t="shared" ref="AU17:AU40" ca="1" si="33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34">IF(OR(ABS(Q17)&lt;$B$8,ABS(W17)&lt;$B$8),1,0)</f>
        <v>0</v>
      </c>
      <c r="BB17">
        <f t="shared" ref="BB17:BB40" ca="1" si="35">IF(OR(ABS(T17)&lt;$B$8,ABS(Z17)&lt;$B$8),1,0)</f>
        <v>0</v>
      </c>
      <c r="BC17">
        <f t="shared" ref="BC17:BC40" si="36">IFERROR(IF(P17=Y17,1,0),0)</f>
        <v>0</v>
      </c>
      <c r="BE17">
        <f t="shared" ref="BE17:BE40" si="37">Logistic((D17-$B$2)/$B$2)</f>
        <v>0</v>
      </c>
      <c r="BF17">
        <f t="shared" ref="BF17:BF40" si="38">IF(G17&lt;=0,1,0)</f>
        <v>0</v>
      </c>
      <c r="BG17">
        <f t="shared" ref="BG17:BG40" si="39">IF(G17&lt;0,1,0)</f>
        <v>0</v>
      </c>
      <c r="BH17">
        <f t="shared" ref="BH17:BH40" si="40">Logistic(($B$3-G17)/(G17+1))</f>
        <v>0.99922281421394721</v>
      </c>
      <c r="BI17">
        <f t="shared" ref="BI17:BI40" si="41">IF(G17&gt;$B$3,1,0)</f>
        <v>0</v>
      </c>
      <c r="BJ17">
        <f t="shared" ref="BJ17:BJ40" si="42">IF(H17&gt;$B$5,1,0)</f>
        <v>0</v>
      </c>
      <c r="BK17">
        <f t="shared" ref="BK17:BK40" si="43">EXP(-($B$4-ABS(H17))/MAX(ABS(H17),0.000000001))</f>
        <v>4.9787068367863944E-2</v>
      </c>
      <c r="BL17">
        <f t="shared" ref="BL17:BL40" si="44">IF(G17&lt;ABS(H17),1,0)</f>
        <v>1</v>
      </c>
      <c r="BM17">
        <f t="shared" ref="BM17:BM40" si="45">EXP(-($B$5-I17)/MAX(I17,0.000000001))</f>
        <v>9.1188196555451624E-4</v>
      </c>
      <c r="BN17">
        <f t="shared" ref="BN17:BN40" si="46">IF(F17&gt;N17,(F17-N17)/$B$6,0)+IF(F17&lt;M17,(M17-F17)/$B$6,0)</f>
        <v>0</v>
      </c>
      <c r="BO17">
        <f t="shared" ref="BO17:BO40" si="47">ABS(K17/$B$4)</f>
        <v>0</v>
      </c>
      <c r="BP17">
        <f t="shared" si="7"/>
        <v>0.12435300177159621</v>
      </c>
      <c r="BQ17">
        <f t="shared" ref="BQ17:BQ40" si="48">Logistic(($B$3-G17)/G17)</f>
        <v>0.9999957126215494</v>
      </c>
    </row>
    <row r="18" spans="1:69" x14ac:dyDescent="0.25">
      <c r="A18" s="1" t="s">
        <v>14</v>
      </c>
      <c r="B18">
        <f t="shared" ca="1" si="2"/>
        <v>91.282180679347221</v>
      </c>
      <c r="C18" t="s">
        <v>207</v>
      </c>
      <c r="D18">
        <f t="shared" si="8"/>
        <v>50</v>
      </c>
      <c r="E18">
        <f t="shared" si="9"/>
        <v>126.3</v>
      </c>
      <c r="F18">
        <f t="shared" si="10"/>
        <v>6.18</v>
      </c>
      <c r="G18">
        <f t="shared" si="11"/>
        <v>1.54</v>
      </c>
      <c r="H18">
        <f t="shared" si="12"/>
        <v>3.5</v>
      </c>
      <c r="I18">
        <f t="shared" si="13"/>
        <v>0.5</v>
      </c>
      <c r="J18">
        <f t="shared" si="14"/>
        <v>0</v>
      </c>
      <c r="K18">
        <f t="shared" si="15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 t="e">
        <f t="shared" si="5"/>
        <v>#VALUE!</v>
      </c>
      <c r="Q18">
        <f t="shared" ca="1" si="16"/>
        <v>1000000</v>
      </c>
      <c r="R18">
        <f t="shared" ca="1" si="17"/>
        <v>100</v>
      </c>
      <c r="S18" t="e">
        <f t="shared" si="18"/>
        <v>#VALUE!</v>
      </c>
      <c r="T18">
        <f t="shared" ca="1" si="19"/>
        <v>1000000</v>
      </c>
      <c r="U18">
        <f t="shared" ca="1" si="20"/>
        <v>100</v>
      </c>
      <c r="V18" t="e">
        <f t="shared" si="21"/>
        <v>#VALUE!</v>
      </c>
      <c r="W18">
        <f t="shared" ca="1" si="22"/>
        <v>1000000000</v>
      </c>
      <c r="X18">
        <f t="shared" ca="1" si="23"/>
        <v>100</v>
      </c>
      <c r="Y18" t="e">
        <f>GetFollowingCarRow($B$45:$E$54,L18,$E$15,E18)</f>
        <v>#VALUE!</v>
      </c>
      <c r="Z18">
        <f t="shared" ca="1" si="24"/>
        <v>1000000000</v>
      </c>
      <c r="AA18">
        <f t="shared" ca="1" si="25"/>
        <v>100</v>
      </c>
      <c r="AB18">
        <f t="shared" si="26"/>
        <v>-1.9999999999999574E-2</v>
      </c>
      <c r="AC18">
        <f t="shared" si="27"/>
        <v>3.0000000000001137E-2</v>
      </c>
      <c r="AD18">
        <f t="shared" si="28"/>
        <v>-78.019999999995022</v>
      </c>
      <c r="AE18">
        <f t="shared" si="29"/>
        <v>2.3405999999999394</v>
      </c>
      <c r="AF18">
        <f t="shared" si="30"/>
        <v>3.6055512754640605E-2</v>
      </c>
      <c r="AG18">
        <f t="shared" si="31"/>
        <v>1000000000</v>
      </c>
      <c r="AH18">
        <f t="shared" si="32"/>
        <v>0</v>
      </c>
      <c r="AI18">
        <f>IF(G18&lt;=0,1,0)</f>
        <v>0</v>
      </c>
      <c r="AJ18">
        <f>IF(G18&lt;0,1,0)</f>
        <v>0</v>
      </c>
      <c r="AK18">
        <f>MAX(($B$3-G18)/(G18 + 1),0) / $B$3</f>
        <v>0.36512872271738889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0.4375</v>
      </c>
      <c r="AP18">
        <f>Logistic(I18/$B$5)</f>
        <v>3.1239831446031246E-2</v>
      </c>
      <c r="AQ18">
        <f>IF(I18&gt;$B$5,1,0)</f>
        <v>0</v>
      </c>
      <c r="AR18">
        <f>Logistic(ABS(F18-O18)/($B$6/2))</f>
        <v>4.4969649583600189E-2</v>
      </c>
      <c r="AS18">
        <f>IF(OR(F18&lt;M18,F18&gt;N18),1,0)</f>
        <v>0</v>
      </c>
      <c r="AT18">
        <f>ABS(K18)/$B$4</f>
        <v>0</v>
      </c>
      <c r="AU18">
        <f t="shared" ca="1" si="33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34"/>
        <v>0</v>
      </c>
      <c r="BB18">
        <f t="shared" ca="1" si="35"/>
        <v>0</v>
      </c>
      <c r="BC18">
        <f t="shared" si="36"/>
        <v>0</v>
      </c>
      <c r="BE18">
        <f t="shared" si="37"/>
        <v>0</v>
      </c>
      <c r="BF18">
        <f t="shared" si="38"/>
        <v>0</v>
      </c>
      <c r="BG18">
        <f t="shared" si="39"/>
        <v>0</v>
      </c>
      <c r="BH18">
        <f t="shared" si="40"/>
        <v>0.99913718979322197</v>
      </c>
      <c r="BI18">
        <f t="shared" si="41"/>
        <v>0</v>
      </c>
      <c r="BJ18">
        <f t="shared" si="42"/>
        <v>0</v>
      </c>
      <c r="BK18">
        <f t="shared" si="43"/>
        <v>0.27645304662956433</v>
      </c>
      <c r="BL18">
        <f t="shared" si="44"/>
        <v>1</v>
      </c>
      <c r="BM18">
        <f t="shared" si="45"/>
        <v>3.0590232050182579E-7</v>
      </c>
      <c r="BN18">
        <f t="shared" si="46"/>
        <v>0</v>
      </c>
      <c r="BO18">
        <f t="shared" si="47"/>
        <v>0</v>
      </c>
      <c r="BP18">
        <f t="shared" si="7"/>
        <v>0.21532633966578324</v>
      </c>
      <c r="BQ18">
        <f t="shared" si="48"/>
        <v>0.99999436253700591</v>
      </c>
    </row>
    <row r="19" spans="1:69" x14ac:dyDescent="0.25">
      <c r="A19" s="1" t="s">
        <v>13</v>
      </c>
      <c r="B19">
        <f t="shared" ca="1" si="2"/>
        <v>90.878010016447689</v>
      </c>
      <c r="C19" t="s">
        <v>206</v>
      </c>
      <c r="D19">
        <f t="shared" si="8"/>
        <v>50</v>
      </c>
      <c r="E19">
        <f t="shared" si="9"/>
        <v>126.31</v>
      </c>
      <c r="F19">
        <f t="shared" si="10"/>
        <v>6.18</v>
      </c>
      <c r="G19">
        <f t="shared" si="11"/>
        <v>1.55</v>
      </c>
      <c r="H19">
        <f t="shared" si="12"/>
        <v>4</v>
      </c>
      <c r="I19">
        <f t="shared" si="13"/>
        <v>1</v>
      </c>
      <c r="J19">
        <f t="shared" si="14"/>
        <v>0</v>
      </c>
      <c r="K19">
        <f t="shared" si="15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 t="e">
        <f t="shared" si="5"/>
        <v>#VALUE!</v>
      </c>
      <c r="Q19">
        <f t="shared" ca="1" si="16"/>
        <v>1000000</v>
      </c>
      <c r="R19">
        <f t="shared" ca="1" si="17"/>
        <v>100</v>
      </c>
      <c r="S19" t="e">
        <f t="shared" si="18"/>
        <v>#VALUE!</v>
      </c>
      <c r="T19">
        <f t="shared" ca="1" si="19"/>
        <v>1000000</v>
      </c>
      <c r="U19">
        <f t="shared" ca="1" si="20"/>
        <v>100</v>
      </c>
      <c r="V19" t="e">
        <f t="shared" si="21"/>
        <v>#VALUE!</v>
      </c>
      <c r="W19">
        <f t="shared" ca="1" si="22"/>
        <v>1000000000</v>
      </c>
      <c r="X19">
        <f t="shared" ca="1" si="23"/>
        <v>100</v>
      </c>
      <c r="Y19" t="e">
        <f>GetFollowingCarRow($B$45:$E$54,L19,$E$15,E19)</f>
        <v>#VALUE!</v>
      </c>
      <c r="Z19">
        <f t="shared" ca="1" si="24"/>
        <v>1000000000</v>
      </c>
      <c r="AA19">
        <f t="shared" ca="1" si="25"/>
        <v>100</v>
      </c>
      <c r="AB19">
        <f t="shared" si="26"/>
        <v>-1.9999999999999574E-2</v>
      </c>
      <c r="AC19">
        <f t="shared" si="27"/>
        <v>4.0000000000006253E-2</v>
      </c>
      <c r="AD19">
        <f t="shared" si="28"/>
        <v>-56.974999999988782</v>
      </c>
      <c r="AE19">
        <f t="shared" si="29"/>
        <v>2.2789999999999075</v>
      </c>
      <c r="AF19">
        <f t="shared" si="30"/>
        <v>4.4721359550001193E-2</v>
      </c>
      <c r="AG19">
        <f t="shared" si="31"/>
        <v>1000000000</v>
      </c>
      <c r="AH19">
        <f t="shared" si="32"/>
        <v>0</v>
      </c>
      <c r="AI19">
        <f>IF(G19&lt;=0,1,0)</f>
        <v>0</v>
      </c>
      <c r="AJ19">
        <f>IF(G19&lt;0,1,0)</f>
        <v>0</v>
      </c>
      <c r="AK19">
        <f>MAX(($B$3-G19)/(G19 + 1),0) / $B$3</f>
        <v>0.36351204006579074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0.5</v>
      </c>
      <c r="AP19">
        <f>Logistic(I19/$B$5)</f>
        <v>6.2418746747512487E-2</v>
      </c>
      <c r="AQ19">
        <f>IF(I19&gt;$B$5,1,0)</f>
        <v>0</v>
      </c>
      <c r="AR19">
        <f>Logistic(ABS(F19-O19)/($B$6/2))</f>
        <v>4.4969649583600189E-2</v>
      </c>
      <c r="AS19">
        <f>IF(OR(F19&lt;M19,F19&gt;N19),1,0)</f>
        <v>0</v>
      </c>
      <c r="AT19">
        <f>ABS(K19)/$B$4</f>
        <v>0</v>
      </c>
      <c r="AU19">
        <f t="shared" ca="1" si="33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34"/>
        <v>0</v>
      </c>
      <c r="BB19">
        <f t="shared" ca="1" si="35"/>
        <v>0</v>
      </c>
      <c r="BC19">
        <f t="shared" si="36"/>
        <v>0</v>
      </c>
      <c r="BE19">
        <f t="shared" si="37"/>
        <v>0</v>
      </c>
      <c r="BF19">
        <f t="shared" si="38"/>
        <v>0</v>
      </c>
      <c r="BG19">
        <f t="shared" si="39"/>
        <v>0</v>
      </c>
      <c r="BH19">
        <f t="shared" si="40"/>
        <v>0.99910709008772092</v>
      </c>
      <c r="BI19">
        <f t="shared" si="41"/>
        <v>0</v>
      </c>
      <c r="BJ19">
        <f t="shared" si="42"/>
        <v>0</v>
      </c>
      <c r="BK19">
        <f t="shared" si="43"/>
        <v>0.36787944117144233</v>
      </c>
      <c r="BL19">
        <f t="shared" si="44"/>
        <v>1</v>
      </c>
      <c r="BM19">
        <f t="shared" si="45"/>
        <v>9.1188196555451624E-4</v>
      </c>
      <c r="BN19">
        <f t="shared" si="46"/>
        <v>0</v>
      </c>
      <c r="BO19">
        <f t="shared" si="47"/>
        <v>0</v>
      </c>
      <c r="BP19">
        <f t="shared" si="7"/>
        <v>0.24491866240370913</v>
      </c>
      <c r="BQ19">
        <f t="shared" si="48"/>
        <v>0.99999383842715406</v>
      </c>
    </row>
    <row r="20" spans="1:69" x14ac:dyDescent="0.25">
      <c r="A20" s="1" t="s">
        <v>12</v>
      </c>
      <c r="B20">
        <f t="shared" ca="1" si="2"/>
        <v>90.476996936852032</v>
      </c>
      <c r="C20" t="s">
        <v>205</v>
      </c>
      <c r="D20">
        <f t="shared" si="8"/>
        <v>50</v>
      </c>
      <c r="E20">
        <f t="shared" si="9"/>
        <v>126.31</v>
      </c>
      <c r="F20">
        <f t="shared" si="10"/>
        <v>6.18</v>
      </c>
      <c r="G20">
        <f t="shared" si="11"/>
        <v>1.56</v>
      </c>
      <c r="H20">
        <f t="shared" si="12"/>
        <v>4.5</v>
      </c>
      <c r="I20">
        <f t="shared" si="13"/>
        <v>1.5</v>
      </c>
      <c r="J20">
        <f t="shared" si="14"/>
        <v>0</v>
      </c>
      <c r="K20">
        <f t="shared" si="15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 t="e">
        <f t="shared" si="5"/>
        <v>#VALUE!</v>
      </c>
      <c r="Q20">
        <f t="shared" ca="1" si="16"/>
        <v>1000000</v>
      </c>
      <c r="R20">
        <f t="shared" ca="1" si="17"/>
        <v>100</v>
      </c>
      <c r="S20" t="e">
        <f t="shared" si="18"/>
        <v>#VALUE!</v>
      </c>
      <c r="T20">
        <f t="shared" ca="1" si="19"/>
        <v>1000000</v>
      </c>
      <c r="U20">
        <f t="shared" ca="1" si="20"/>
        <v>100</v>
      </c>
      <c r="V20" t="e">
        <f t="shared" si="21"/>
        <v>#VALUE!</v>
      </c>
      <c r="W20">
        <f t="shared" ca="1" si="22"/>
        <v>1000000000</v>
      </c>
      <c r="X20">
        <f t="shared" ca="1" si="23"/>
        <v>100</v>
      </c>
      <c r="Y20" t="e">
        <f>GetFollowingCarRow($B$45:$E$54,L20,$E$15,E20)</f>
        <v>#VALUE!</v>
      </c>
      <c r="Z20">
        <f t="shared" ca="1" si="24"/>
        <v>1000000000</v>
      </c>
      <c r="AA20">
        <f t="shared" ca="1" si="25"/>
        <v>100</v>
      </c>
      <c r="AB20">
        <f t="shared" si="26"/>
        <v>-1.9999999999999574E-2</v>
      </c>
      <c r="AC20">
        <f t="shared" si="27"/>
        <v>4.0000000000006253E-2</v>
      </c>
      <c r="AD20">
        <f t="shared" si="28"/>
        <v>-56.974999999988782</v>
      </c>
      <c r="AE20">
        <f t="shared" si="29"/>
        <v>2.2789999999999075</v>
      </c>
      <c r="AF20">
        <f t="shared" si="30"/>
        <v>4.4721359550001193E-2</v>
      </c>
      <c r="AG20">
        <f t="shared" si="31"/>
        <v>1000000000</v>
      </c>
      <c r="AH20">
        <f t="shared" si="32"/>
        <v>0</v>
      </c>
      <c r="AI20">
        <f>IF(G20&lt;=0,1,0)</f>
        <v>0</v>
      </c>
      <c r="AJ20">
        <f>IF(G20&lt;0,1,0)</f>
        <v>0</v>
      </c>
      <c r="AK20">
        <f>MAX(($B$3-G20)/(G20 + 1),0) / $B$3</f>
        <v>0.36190798774740812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0.5625</v>
      </c>
      <c r="AP20">
        <f>Logistic(I20/$B$5)</f>
        <v>9.3476303969227723E-2</v>
      </c>
      <c r="AQ20">
        <f>IF(I20&gt;$B$5,1,0)</f>
        <v>0</v>
      </c>
      <c r="AR20">
        <f>Logistic(ABS(F20-O20)/($B$6/2))</f>
        <v>4.4969649583600189E-2</v>
      </c>
      <c r="AS20">
        <f>IF(OR(F20&lt;M20,F20&gt;N20),1,0)</f>
        <v>0</v>
      </c>
      <c r="AT20">
        <f>ABS(K20)/$B$4</f>
        <v>0</v>
      </c>
      <c r="AU20">
        <f t="shared" ca="1" si="33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34"/>
        <v>0</v>
      </c>
      <c r="BB20">
        <f t="shared" ca="1" si="35"/>
        <v>0</v>
      </c>
      <c r="BC20">
        <f t="shared" si="36"/>
        <v>0</v>
      </c>
      <c r="BE20">
        <f t="shared" si="37"/>
        <v>0</v>
      </c>
      <c r="BF20">
        <f t="shared" si="38"/>
        <v>0</v>
      </c>
      <c r="BG20">
        <f t="shared" si="39"/>
        <v>0</v>
      </c>
      <c r="BH20">
        <f t="shared" si="40"/>
        <v>0.9990761883341952</v>
      </c>
      <c r="BI20">
        <f t="shared" si="41"/>
        <v>0</v>
      </c>
      <c r="BJ20">
        <f t="shared" si="42"/>
        <v>0</v>
      </c>
      <c r="BK20">
        <f t="shared" si="43"/>
        <v>0.45942582403592663</v>
      </c>
      <c r="BL20">
        <f t="shared" si="44"/>
        <v>1</v>
      </c>
      <c r="BM20">
        <f t="shared" si="45"/>
        <v>1.3123728736940968E-2</v>
      </c>
      <c r="BN20">
        <f t="shared" si="46"/>
        <v>0</v>
      </c>
      <c r="BO20">
        <f t="shared" si="47"/>
        <v>0</v>
      </c>
      <c r="BP20">
        <f t="shared" si="7"/>
        <v>0.27406158896076638</v>
      </c>
      <c r="BQ20">
        <f t="shared" si="48"/>
        <v>0.99999327326239129</v>
      </c>
    </row>
    <row r="21" spans="1:69" x14ac:dyDescent="0.25">
      <c r="A21" s="1" t="s">
        <v>33</v>
      </c>
      <c r="B21">
        <f t="shared" ca="1" si="2"/>
        <v>91.689546367249903</v>
      </c>
      <c r="C21" t="s">
        <v>204</v>
      </c>
      <c r="D21">
        <f t="shared" si="8"/>
        <v>50</v>
      </c>
      <c r="E21">
        <f t="shared" si="9"/>
        <v>126.3</v>
      </c>
      <c r="F21">
        <f t="shared" si="10"/>
        <v>6.18</v>
      </c>
      <c r="G21">
        <f t="shared" si="11"/>
        <v>1.53</v>
      </c>
      <c r="H21">
        <f t="shared" si="12"/>
        <v>3</v>
      </c>
      <c r="I21">
        <f t="shared" si="13"/>
        <v>0</v>
      </c>
      <c r="J21">
        <f t="shared" si="14"/>
        <v>0</v>
      </c>
      <c r="K21">
        <f t="shared" si="15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 t="e">
        <f t="shared" si="5"/>
        <v>#VALUE!</v>
      </c>
      <c r="Q21">
        <f t="shared" ca="1" si="16"/>
        <v>1000000</v>
      </c>
      <c r="R21">
        <f t="shared" ca="1" si="17"/>
        <v>100</v>
      </c>
      <c r="S21" t="e">
        <f t="shared" si="18"/>
        <v>#VALUE!</v>
      </c>
      <c r="T21">
        <f t="shared" ca="1" si="19"/>
        <v>1000000</v>
      </c>
      <c r="U21">
        <f t="shared" ca="1" si="20"/>
        <v>100</v>
      </c>
      <c r="V21" t="e">
        <f t="shared" si="21"/>
        <v>#VALUE!</v>
      </c>
      <c r="W21">
        <f t="shared" ca="1" si="22"/>
        <v>1000000000</v>
      </c>
      <c r="X21">
        <f t="shared" ca="1" si="23"/>
        <v>100</v>
      </c>
      <c r="Y21" t="e">
        <f>GetFollowingCarRow($B$45:$E$54,L21,$E$15,E21)</f>
        <v>#VALUE!</v>
      </c>
      <c r="Z21">
        <f t="shared" ca="1" si="24"/>
        <v>1000000000</v>
      </c>
      <c r="AA21">
        <f t="shared" ca="1" si="25"/>
        <v>100</v>
      </c>
      <c r="AB21">
        <f t="shared" si="26"/>
        <v>-1.9999999999999574E-2</v>
      </c>
      <c r="AC21">
        <f t="shared" si="27"/>
        <v>3.0000000000001137E-2</v>
      </c>
      <c r="AD21">
        <f t="shared" si="28"/>
        <v>-78.019999999995022</v>
      </c>
      <c r="AE21">
        <f t="shared" si="29"/>
        <v>2.3405999999999394</v>
      </c>
      <c r="AF21">
        <f t="shared" si="30"/>
        <v>3.6055512754640605E-2</v>
      </c>
      <c r="AG21">
        <f t="shared" si="31"/>
        <v>1000000000</v>
      </c>
      <c r="AH21">
        <f t="shared" si="32"/>
        <v>0</v>
      </c>
      <c r="AI21">
        <f>IF(G21&lt;=0,1,0)</f>
        <v>0</v>
      </c>
      <c r="AJ21">
        <f>IF(G21&lt;0,1,0)</f>
        <v>0</v>
      </c>
      <c r="AK21">
        <f>MAX(($B$3-G21)/(G21 + 1),0) / $B$3</f>
        <v>0.36675818546899963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0.375</v>
      </c>
      <c r="AP21">
        <f>Logistic(I21/$B$5)</f>
        <v>0</v>
      </c>
      <c r="AQ21">
        <f>IF(I21&gt;$B$5,1,0)</f>
        <v>0</v>
      </c>
      <c r="AR21">
        <f>Logistic(ABS(F21-O21)/($B$6/2))</f>
        <v>4.4969649583600189E-2</v>
      </c>
      <c r="AS21">
        <f>IF(OR(F21&lt;M21,F21&gt;N21),1,0)</f>
        <v>0</v>
      </c>
      <c r="AT21">
        <f>ABS(K21)/$B$4</f>
        <v>0</v>
      </c>
      <c r="AU21">
        <f t="shared" ca="1" si="33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34"/>
        <v>0</v>
      </c>
      <c r="BB21">
        <f t="shared" ca="1" si="35"/>
        <v>0</v>
      </c>
      <c r="BC21">
        <f t="shared" si="36"/>
        <v>0</v>
      </c>
      <c r="BE21">
        <f t="shared" si="37"/>
        <v>0</v>
      </c>
      <c r="BF21">
        <f t="shared" si="38"/>
        <v>0</v>
      </c>
      <c r="BG21">
        <f t="shared" si="39"/>
        <v>0</v>
      </c>
      <c r="BH21">
        <f t="shared" si="40"/>
        <v>0.99916650124654804</v>
      </c>
      <c r="BI21">
        <f t="shared" si="41"/>
        <v>0</v>
      </c>
      <c r="BJ21">
        <f t="shared" si="42"/>
        <v>0</v>
      </c>
      <c r="BK21">
        <f t="shared" si="43"/>
        <v>0.18887560283756183</v>
      </c>
      <c r="BL21">
        <f t="shared" si="44"/>
        <v>1</v>
      </c>
      <c r="BM21">
        <f t="shared" si="45"/>
        <v>0</v>
      </c>
      <c r="BN21">
        <f t="shared" si="46"/>
        <v>0</v>
      </c>
      <c r="BO21">
        <f t="shared" si="47"/>
        <v>0</v>
      </c>
      <c r="BP21">
        <f t="shared" si="7"/>
        <v>0.18533319990813948</v>
      </c>
      <c r="BQ21">
        <f t="shared" si="48"/>
        <v>0.99999484805601224</v>
      </c>
    </row>
    <row r="22" spans="1:69" x14ac:dyDescent="0.25">
      <c r="A22" s="1" t="s">
        <v>11</v>
      </c>
      <c r="B22">
        <f t="shared" ca="1" si="2"/>
        <v>94.203009154147622</v>
      </c>
      <c r="C22" t="s">
        <v>203</v>
      </c>
      <c r="D22">
        <f t="shared" si="8"/>
        <v>50</v>
      </c>
      <c r="E22">
        <f t="shared" si="9"/>
        <v>126.3</v>
      </c>
      <c r="F22">
        <f t="shared" si="10"/>
        <v>6.18</v>
      </c>
      <c r="G22">
        <f t="shared" si="11"/>
        <v>1.47</v>
      </c>
      <c r="H22">
        <f t="shared" si="12"/>
        <v>0</v>
      </c>
      <c r="I22">
        <f t="shared" si="13"/>
        <v>3</v>
      </c>
      <c r="J22">
        <f t="shared" si="14"/>
        <v>0</v>
      </c>
      <c r="K22">
        <f t="shared" si="15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 t="e">
        <f t="shared" si="5"/>
        <v>#VALUE!</v>
      </c>
      <c r="Q22">
        <f t="shared" ca="1" si="16"/>
        <v>1000000</v>
      </c>
      <c r="R22">
        <f t="shared" ca="1" si="17"/>
        <v>100</v>
      </c>
      <c r="S22" t="e">
        <f t="shared" si="18"/>
        <v>#VALUE!</v>
      </c>
      <c r="T22">
        <f t="shared" ca="1" si="19"/>
        <v>1000000</v>
      </c>
      <c r="U22">
        <f t="shared" ca="1" si="20"/>
        <v>100</v>
      </c>
      <c r="V22" t="e">
        <f t="shared" si="21"/>
        <v>#VALUE!</v>
      </c>
      <c r="W22">
        <f t="shared" ca="1" si="22"/>
        <v>1000000000</v>
      </c>
      <c r="X22">
        <f t="shared" ca="1" si="23"/>
        <v>100</v>
      </c>
      <c r="Y22" t="e">
        <f>GetFollowingCarRow($B$45:$E$54,L22,$E$15,E22)</f>
        <v>#VALUE!</v>
      </c>
      <c r="Z22">
        <f t="shared" ca="1" si="24"/>
        <v>1000000000</v>
      </c>
      <c r="AA22">
        <f t="shared" ca="1" si="25"/>
        <v>100</v>
      </c>
      <c r="AB22">
        <f t="shared" si="26"/>
        <v>-1.9999999999999574E-2</v>
      </c>
      <c r="AC22">
        <f t="shared" si="27"/>
        <v>3.0000000000001137E-2</v>
      </c>
      <c r="AD22">
        <f t="shared" si="28"/>
        <v>-78.019999999995022</v>
      </c>
      <c r="AE22">
        <f t="shared" si="29"/>
        <v>2.3405999999999394</v>
      </c>
      <c r="AF22">
        <f t="shared" si="30"/>
        <v>3.6055512754640605E-2</v>
      </c>
      <c r="AG22">
        <f t="shared" si="31"/>
        <v>1000000000</v>
      </c>
      <c r="AH22">
        <f t="shared" si="32"/>
        <v>0</v>
      </c>
      <c r="AI22">
        <f>IF(G22&lt;=0,1,0)</f>
        <v>0</v>
      </c>
      <c r="AJ22">
        <f>IF(G22&lt;0,1,0)</f>
        <v>0</v>
      </c>
      <c r="AK22">
        <f>MAX(($B$3-G22)/(G22 + 1),0) / $B$3</f>
        <v>0.37681203661659046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0.18533319990813948</v>
      </c>
      <c r="AQ22">
        <f>IF(I22&gt;$B$5,1,0)</f>
        <v>0</v>
      </c>
      <c r="AR22">
        <f>Logistic(ABS(F22-O22)/($B$6/2))</f>
        <v>4.4969649583600189E-2</v>
      </c>
      <c r="AS22">
        <f>IF(OR(F22&lt;M22,F22&gt;N22),1,0)</f>
        <v>0</v>
      </c>
      <c r="AT22">
        <f>ABS(K22)/$B$4</f>
        <v>0</v>
      </c>
      <c r="AU22">
        <f t="shared" ca="1" si="33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34"/>
        <v>0</v>
      </c>
      <c r="BB22">
        <f t="shared" ca="1" si="35"/>
        <v>0</v>
      </c>
      <c r="BC22">
        <f t="shared" si="36"/>
        <v>0</v>
      </c>
      <c r="BE22">
        <f t="shared" si="37"/>
        <v>0</v>
      </c>
      <c r="BF22">
        <f t="shared" si="38"/>
        <v>0</v>
      </c>
      <c r="BG22">
        <f t="shared" si="39"/>
        <v>0</v>
      </c>
      <c r="BH22">
        <f t="shared" si="40"/>
        <v>0.99932657976538875</v>
      </c>
      <c r="BI22">
        <f t="shared" si="41"/>
        <v>0</v>
      </c>
      <c r="BJ22">
        <f t="shared" si="42"/>
        <v>0</v>
      </c>
      <c r="BK22">
        <f t="shared" si="43"/>
        <v>0</v>
      </c>
      <c r="BL22">
        <f t="shared" si="44"/>
        <v>0</v>
      </c>
      <c r="BM22">
        <f t="shared" si="45"/>
        <v>0.18887560283756183</v>
      </c>
      <c r="BN22">
        <f t="shared" si="46"/>
        <v>0</v>
      </c>
      <c r="BO22">
        <f t="shared" si="47"/>
        <v>0</v>
      </c>
      <c r="BP22">
        <f t="shared" si="7"/>
        <v>0</v>
      </c>
      <c r="BQ22">
        <f t="shared" si="48"/>
        <v>0.99999707503613611</v>
      </c>
    </row>
    <row r="23" spans="1:69" x14ac:dyDescent="0.25">
      <c r="A23" s="1" t="s">
        <v>34</v>
      </c>
      <c r="B23">
        <f t="shared" ca="1" si="2"/>
        <v>270.34641034805981</v>
      </c>
      <c r="C23" t="s">
        <v>202</v>
      </c>
      <c r="D23">
        <f t="shared" si="8"/>
        <v>148</v>
      </c>
      <c r="E23">
        <f t="shared" si="9"/>
        <v>193.21</v>
      </c>
      <c r="F23">
        <f t="shared" si="10"/>
        <v>3.99</v>
      </c>
      <c r="G23">
        <f t="shared" si="11"/>
        <v>65.150000000000006</v>
      </c>
      <c r="H23">
        <f t="shared" si="12"/>
        <v>16</v>
      </c>
      <c r="I23">
        <f t="shared" si="13"/>
        <v>13</v>
      </c>
      <c r="J23">
        <f t="shared" si="14"/>
        <v>12.31</v>
      </c>
      <c r="K23">
        <f t="shared" si="15"/>
        <v>0.01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47</v>
      </c>
      <c r="Q23">
        <f t="shared" ca="1" si="16"/>
        <v>169.20113200000003</v>
      </c>
      <c r="R23">
        <f t="shared" ca="1" si="17"/>
        <v>20.165554</v>
      </c>
      <c r="S23" t="e">
        <f t="shared" si="18"/>
        <v>#VALUE!</v>
      </c>
      <c r="T23">
        <f t="shared" ca="1" si="19"/>
        <v>1000000</v>
      </c>
      <c r="U23">
        <f t="shared" ca="1" si="20"/>
        <v>100</v>
      </c>
      <c r="V23">
        <f t="shared" si="21"/>
        <v>47</v>
      </c>
      <c r="W23">
        <f t="shared" ca="1" si="22"/>
        <v>102.261132</v>
      </c>
      <c r="X23">
        <f t="shared" ca="1" si="23"/>
        <v>20.165554</v>
      </c>
      <c r="Y23" t="e">
        <f>GetFollowingCarRow($B$45:$E$54,L23,$E$15,E23)</f>
        <v>#VALUE!</v>
      </c>
      <c r="Z23">
        <f t="shared" ca="1" si="24"/>
        <v>1000000000</v>
      </c>
      <c r="AA23">
        <f t="shared" ca="1" si="25"/>
        <v>100</v>
      </c>
      <c r="AB23">
        <f t="shared" si="26"/>
        <v>2.17</v>
      </c>
      <c r="AC23">
        <f t="shared" si="27"/>
        <v>66.940000000000012</v>
      </c>
      <c r="AD23">
        <f t="shared" si="28"/>
        <v>10.253305945622945</v>
      </c>
      <c r="AE23">
        <f t="shared" si="29"/>
        <v>-686.35630000000003</v>
      </c>
      <c r="AF23">
        <f t="shared" si="30"/>
        <v>66.97516330700509</v>
      </c>
      <c r="AG23">
        <f t="shared" si="31"/>
        <v>19.569684383328898</v>
      </c>
      <c r="AH23">
        <f t="shared" si="32"/>
        <v>0.75306590486955205</v>
      </c>
      <c r="AI23">
        <f>IF(G23&lt;=0,1,0)</f>
        <v>0</v>
      </c>
      <c r="AJ23">
        <f>IF(G23&lt;0,1,0)</f>
        <v>0</v>
      </c>
      <c r="AK23">
        <f>MAX(($B$3-G23)/(G23 + 1),0) / $B$3</f>
        <v>0</v>
      </c>
      <c r="AL23">
        <f>IF(H23+ABS(K23)&lt;0,Logistic(SQRT(H23^2+K23^2)/$B$4),0)</f>
        <v>0</v>
      </c>
      <c r="AM23">
        <f>IF(G23&gt;$B$3,1,0)</f>
        <v>1</v>
      </c>
      <c r="AN23">
        <f>IF(H23&gt;$B$4,1,0)</f>
        <v>1</v>
      </c>
      <c r="AO23">
        <f>ABS(H23)/$B$4</f>
        <v>2</v>
      </c>
      <c r="AP23">
        <f>Logistic(I23/$B$5)</f>
        <v>0.67096707420687363</v>
      </c>
      <c r="AQ23">
        <f>IF(I23&gt;$B$5,1,0)</f>
        <v>1</v>
      </c>
      <c r="AR23">
        <f>Logistic(ABS(F23-O23)/($B$6/2))</f>
        <v>0.90559899932396171</v>
      </c>
      <c r="AS23">
        <f>IF(OR(F23&lt;M23,F23&gt;N23),1,0)</f>
        <v>1</v>
      </c>
      <c r="AT23">
        <f>ABS(K23)/$B$4</f>
        <v>1.25E-3</v>
      </c>
      <c r="AU23">
        <f t="shared" ca="1" si="33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0.62386747632726203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0.77267446619215896</v>
      </c>
      <c r="AZ23">
        <f ca="1">MAX(1-(IF(Z23/(G23-AA23)&gt;0,Z23/(G23-AA23),Collision_Time_Buffer)/Collision_Time_Buffer),0)*IF($L$15&lt;&gt;L23,Lane_Change_Multiplier,1)</f>
        <v>0</v>
      </c>
      <c r="BA23">
        <f t="shared" ca="1" si="34"/>
        <v>0</v>
      </c>
      <c r="BB23">
        <f t="shared" ca="1" si="35"/>
        <v>0</v>
      </c>
      <c r="BC23">
        <f t="shared" si="36"/>
        <v>0</v>
      </c>
      <c r="BE23">
        <f t="shared" si="37"/>
        <v>0.75306590486955205</v>
      </c>
      <c r="BF23">
        <f t="shared" si="38"/>
        <v>0</v>
      </c>
      <c r="BG23">
        <f t="shared" si="39"/>
        <v>0</v>
      </c>
      <c r="BH23">
        <f t="shared" si="40"/>
        <v>-0.32036013027954263</v>
      </c>
      <c r="BI23">
        <f t="shared" si="41"/>
        <v>1</v>
      </c>
      <c r="BJ23">
        <f t="shared" si="42"/>
        <v>1</v>
      </c>
      <c r="BK23">
        <f t="shared" si="43"/>
        <v>1.6487212707001282</v>
      </c>
      <c r="BL23">
        <f t="shared" si="44"/>
        <v>0</v>
      </c>
      <c r="BM23">
        <f t="shared" si="45"/>
        <v>1.4690491938490167</v>
      </c>
      <c r="BN23">
        <f t="shared" si="46"/>
        <v>1.0024999999999999</v>
      </c>
      <c r="BO23">
        <f t="shared" si="47"/>
        <v>1.25E-3</v>
      </c>
      <c r="BP23">
        <f t="shared" si="7"/>
        <v>0.76159415595576485</v>
      </c>
      <c r="BQ23">
        <f t="shared" si="48"/>
        <v>-0.32492623543849286</v>
      </c>
    </row>
    <row r="24" spans="1:69" x14ac:dyDescent="0.25">
      <c r="A24" s="1" t="s">
        <v>35</v>
      </c>
      <c r="B24">
        <f t="shared" ca="1" si="2"/>
        <v>219.20672228942257</v>
      </c>
      <c r="C24" t="s">
        <v>201</v>
      </c>
      <c r="D24">
        <f t="shared" si="8"/>
        <v>113</v>
      </c>
      <c r="E24">
        <f t="shared" si="9"/>
        <v>155.22999999999999</v>
      </c>
      <c r="F24">
        <f t="shared" si="10"/>
        <v>9.01</v>
      </c>
      <c r="G24">
        <f t="shared" si="11"/>
        <v>42.75</v>
      </c>
      <c r="H24">
        <f t="shared" si="12"/>
        <v>16</v>
      </c>
      <c r="I24">
        <f t="shared" si="13"/>
        <v>13</v>
      </c>
      <c r="J24">
        <f t="shared" si="14"/>
        <v>-2.4500000000000002</v>
      </c>
      <c r="K24">
        <f t="shared" si="15"/>
        <v>0.01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47</v>
      </c>
      <c r="Q24">
        <f t="shared" ca="1" si="16"/>
        <v>169.20113200000003</v>
      </c>
      <c r="R24">
        <f t="shared" ca="1" si="17"/>
        <v>20.165554</v>
      </c>
      <c r="S24" t="e">
        <f t="shared" si="18"/>
        <v>#VALUE!</v>
      </c>
      <c r="T24">
        <f t="shared" ca="1" si="19"/>
        <v>1000000</v>
      </c>
      <c r="U24">
        <f t="shared" ca="1" si="20"/>
        <v>100</v>
      </c>
      <c r="V24">
        <f t="shared" si="21"/>
        <v>47</v>
      </c>
      <c r="W24">
        <f t="shared" ca="1" si="22"/>
        <v>140.24113200000002</v>
      </c>
      <c r="X24">
        <f t="shared" ca="1" si="23"/>
        <v>20.165554</v>
      </c>
      <c r="Y24" t="e">
        <f>GetFollowingCarRow($B$45:$E$54,L24,$E$15,E24)</f>
        <v>#VALUE!</v>
      </c>
      <c r="Z24">
        <f t="shared" ca="1" si="24"/>
        <v>1000000000</v>
      </c>
      <c r="AA24">
        <f t="shared" ca="1" si="25"/>
        <v>100</v>
      </c>
      <c r="AB24">
        <f t="shared" si="26"/>
        <v>-2.8499999999999996</v>
      </c>
      <c r="AC24">
        <f t="shared" si="27"/>
        <v>28.959999999999994</v>
      </c>
      <c r="AD24">
        <f t="shared" si="28"/>
        <v>-6.2664330110497239</v>
      </c>
      <c r="AE24">
        <f t="shared" si="29"/>
        <v>181.47589999999997</v>
      </c>
      <c r="AF24">
        <f t="shared" si="30"/>
        <v>29.099898625252969</v>
      </c>
      <c r="AG24">
        <f t="shared" si="31"/>
        <v>18.984428410365211</v>
      </c>
      <c r="AH24">
        <f t="shared" si="32"/>
        <v>0.55805221555962436</v>
      </c>
      <c r="AI24">
        <f>IF(G24&lt;=0,1,0)</f>
        <v>0</v>
      </c>
      <c r="AJ24">
        <f>IF(G24&lt;0,1,0)</f>
        <v>0</v>
      </c>
      <c r="AK24">
        <f>MAX(($B$3-G24)/(G24 + 1),0) / $B$3</f>
        <v>0</v>
      </c>
      <c r="AL24">
        <f>IF(H24+ABS(K24)&lt;0,Logistic(SQRT(H24^2+K24^2)/$B$4),0)</f>
        <v>0</v>
      </c>
      <c r="AM24">
        <f>IF(G24&gt;$B$3,1,0)</f>
        <v>1</v>
      </c>
      <c r="AN24">
        <f>IF(H24&gt;$B$4,1,0)</f>
        <v>1</v>
      </c>
      <c r="AO24">
        <f>ABS(H24)/$B$4</f>
        <v>2</v>
      </c>
      <c r="AP24">
        <f>Logistic(I24/$B$5)</f>
        <v>0.67096707420687363</v>
      </c>
      <c r="AQ24">
        <f>IF(I24&gt;$B$5,1,0)</f>
        <v>1</v>
      </c>
      <c r="AR24">
        <f>Logistic(ABS(F24-O24)/($B$6/2))</f>
        <v>0.2425671903821357</v>
      </c>
      <c r="AS24">
        <f>IF(OR(F24&lt;M24,F24&gt;N24),1,0)</f>
        <v>0</v>
      </c>
      <c r="AT24">
        <f>ABS(K24)/$B$4</f>
        <v>1.25E-3</v>
      </c>
      <c r="AU24">
        <f t="shared" ca="1" si="33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0.25080680748157369</v>
      </c>
      <c r="AX24">
        <f ca="1">MAX(1-(IF(T24/(G24-U24)&gt;0,T24/(G24-U24),Collision_Time_Buffer)/Collision_Time_Buffer),0)*IF($L$15&lt;&gt;L24,Lane_Change_Multiplier,1)</f>
        <v>0</v>
      </c>
      <c r="AY24">
        <f ca="1">MAX(1-(IF(W24/(G24-X24)&gt;0,W24/(G24-X24),Collision_Time_Buffer)/Collision_Time_Buffer),0)*IF($L$15&lt;&gt;L24,Lane_Change_Multiplier,1)</f>
        <v>0.37903665203919545</v>
      </c>
      <c r="AZ24">
        <f ca="1">MAX(1-(IF(Z24/(G24-AA24)&gt;0,Z24/(G24-AA24),Collision_Time_Buffer)/Collision_Time_Buffer),0)*IF($L$15&lt;&gt;L24,Lane_Change_Multiplier,1)</f>
        <v>0</v>
      </c>
      <c r="BA24">
        <f t="shared" ca="1" si="34"/>
        <v>0</v>
      </c>
      <c r="BB24">
        <f t="shared" ca="1" si="35"/>
        <v>0</v>
      </c>
      <c r="BC24">
        <f t="shared" si="36"/>
        <v>0</v>
      </c>
      <c r="BE24">
        <f t="shared" si="37"/>
        <v>0.55805221555962436</v>
      </c>
      <c r="BF24">
        <f t="shared" si="38"/>
        <v>0</v>
      </c>
      <c r="BG24">
        <f t="shared" si="39"/>
        <v>0</v>
      </c>
      <c r="BH24">
        <f t="shared" si="40"/>
        <v>-0.24120875478659251</v>
      </c>
      <c r="BI24">
        <f t="shared" si="41"/>
        <v>1</v>
      </c>
      <c r="BJ24">
        <f t="shared" si="42"/>
        <v>1</v>
      </c>
      <c r="BK24">
        <f t="shared" si="43"/>
        <v>1.6487212707001282</v>
      </c>
      <c r="BL24">
        <f t="shared" si="44"/>
        <v>0</v>
      </c>
      <c r="BM24">
        <f t="shared" si="45"/>
        <v>1.4690491938490167</v>
      </c>
      <c r="BN24">
        <f t="shared" si="46"/>
        <v>0</v>
      </c>
      <c r="BO24">
        <f t="shared" si="47"/>
        <v>1.25E-3</v>
      </c>
      <c r="BP24">
        <f t="shared" si="7"/>
        <v>0.76159415595576485</v>
      </c>
      <c r="BQ24">
        <f t="shared" si="48"/>
        <v>-0.24662202472313419</v>
      </c>
    </row>
    <row r="25" spans="1:69" x14ac:dyDescent="0.25">
      <c r="A25" s="1" t="s">
        <v>36</v>
      </c>
      <c r="B25">
        <f t="shared" ca="1" si="2"/>
        <v>192.29025263420596</v>
      </c>
      <c r="C25" t="s">
        <v>200</v>
      </c>
      <c r="D25">
        <f t="shared" si="8"/>
        <v>96</v>
      </c>
      <c r="E25">
        <f t="shared" si="9"/>
        <v>142.43</v>
      </c>
      <c r="F25">
        <f t="shared" si="10"/>
        <v>9.0399999999999991</v>
      </c>
      <c r="G25">
        <f t="shared" si="11"/>
        <v>31.87</v>
      </c>
      <c r="H25">
        <f t="shared" si="12"/>
        <v>16</v>
      </c>
      <c r="I25">
        <f t="shared" si="13"/>
        <v>13</v>
      </c>
      <c r="J25">
        <f t="shared" si="14"/>
        <v>-7.35</v>
      </c>
      <c r="K25">
        <f t="shared" si="15"/>
        <v>0.02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47</v>
      </c>
      <c r="Q25">
        <f t="shared" ca="1" si="16"/>
        <v>169.20113200000003</v>
      </c>
      <c r="R25">
        <f t="shared" ca="1" si="17"/>
        <v>20.165554</v>
      </c>
      <c r="S25" t="e">
        <f t="shared" si="18"/>
        <v>#VALUE!</v>
      </c>
      <c r="T25">
        <f t="shared" ca="1" si="19"/>
        <v>1000000</v>
      </c>
      <c r="U25">
        <f t="shared" ca="1" si="20"/>
        <v>100</v>
      </c>
      <c r="V25">
        <f t="shared" si="21"/>
        <v>47</v>
      </c>
      <c r="W25">
        <f t="shared" ca="1" si="22"/>
        <v>153.041132</v>
      </c>
      <c r="X25">
        <f t="shared" ca="1" si="23"/>
        <v>20.165554</v>
      </c>
      <c r="Y25" t="e">
        <f>GetFollowingCarRow($B$45:$E$54,L25,$E$15,E25)</f>
        <v>#VALUE!</v>
      </c>
      <c r="Z25">
        <f t="shared" ca="1" si="24"/>
        <v>1000000000</v>
      </c>
      <c r="AA25">
        <f t="shared" ca="1" si="25"/>
        <v>100</v>
      </c>
      <c r="AB25">
        <f t="shared" si="26"/>
        <v>-2.879999999999999</v>
      </c>
      <c r="AC25">
        <f t="shared" si="27"/>
        <v>16.160000000000011</v>
      </c>
      <c r="AD25">
        <f t="shared" si="28"/>
        <v>-16.343564356435621</v>
      </c>
      <c r="AE25">
        <f t="shared" si="29"/>
        <v>264.1119999999998</v>
      </c>
      <c r="AF25">
        <f t="shared" si="30"/>
        <v>16.414627622946565</v>
      </c>
      <c r="AG25">
        <f t="shared" si="31"/>
        <v>41.994872621804809</v>
      </c>
      <c r="AH25">
        <f t="shared" si="32"/>
        <v>0.4300842114019795</v>
      </c>
      <c r="AI25">
        <f>IF(G25&lt;=0,1,0)</f>
        <v>0</v>
      </c>
      <c r="AJ25">
        <f>IF(G25&lt;0,1,0)</f>
        <v>0</v>
      </c>
      <c r="AK25">
        <f>MAX(($B$3-G25)/(G25 + 1),0) / $B$3</f>
        <v>0</v>
      </c>
      <c r="AL25">
        <f>IF(H25+ABS(K25)&lt;0,Logistic(SQRT(H25^2+K25^2)/$B$4),0)</f>
        <v>0</v>
      </c>
      <c r="AM25">
        <f>IF(G25&gt;$B$3,1,0)</f>
        <v>1</v>
      </c>
      <c r="AN25">
        <f>IF(H25&gt;$B$4,1,0)</f>
        <v>1</v>
      </c>
      <c r="AO25">
        <f>ABS(H25)/$B$4</f>
        <v>2</v>
      </c>
      <c r="AP25">
        <f>Logistic(I25/$B$5)</f>
        <v>0.67096707420687363</v>
      </c>
      <c r="AQ25">
        <f>IF(I25&gt;$B$5,1,0)</f>
        <v>1</v>
      </c>
      <c r="AR25">
        <f>Logistic(ABS(F25-O25)/($B$6/2))</f>
        <v>0.23549574953849814</v>
      </c>
      <c r="AS25">
        <f>IF(OR(F25&lt;M25,F25&gt;N25),1,0)</f>
        <v>0</v>
      </c>
      <c r="AT25">
        <f>ABS(K25)/$B$4</f>
        <v>2.5000000000000001E-3</v>
      </c>
      <c r="AU25">
        <f t="shared" ca="1" si="33"/>
        <v>0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</v>
      </c>
      <c r="BA25">
        <f t="shared" ca="1" si="34"/>
        <v>0</v>
      </c>
      <c r="BB25">
        <f t="shared" ca="1" si="35"/>
        <v>0</v>
      </c>
      <c r="BC25">
        <f t="shared" si="36"/>
        <v>0</v>
      </c>
      <c r="BE25">
        <f t="shared" si="37"/>
        <v>0.4300842114019795</v>
      </c>
      <c r="BF25">
        <f t="shared" si="38"/>
        <v>0</v>
      </c>
      <c r="BG25">
        <f t="shared" si="39"/>
        <v>0</v>
      </c>
      <c r="BH25">
        <f t="shared" si="40"/>
        <v>-0.16059932287122611</v>
      </c>
      <c r="BI25">
        <f t="shared" si="41"/>
        <v>1</v>
      </c>
      <c r="BJ25">
        <f t="shared" si="42"/>
        <v>1</v>
      </c>
      <c r="BK25">
        <f t="shared" si="43"/>
        <v>1.6487212707001282</v>
      </c>
      <c r="BL25">
        <f t="shared" si="44"/>
        <v>0</v>
      </c>
      <c r="BM25">
        <f t="shared" si="45"/>
        <v>1.4690491938490167</v>
      </c>
      <c r="BN25">
        <f t="shared" si="46"/>
        <v>0</v>
      </c>
      <c r="BO25">
        <f t="shared" si="47"/>
        <v>2.5000000000000001E-3</v>
      </c>
      <c r="BP25">
        <f t="shared" si="7"/>
        <v>0.76159415595576485</v>
      </c>
      <c r="BQ25">
        <f t="shared" si="48"/>
        <v>-0.16554734165045007</v>
      </c>
    </row>
    <row r="26" spans="1:69" x14ac:dyDescent="0.25">
      <c r="A26" s="1" t="s">
        <v>79</v>
      </c>
      <c r="B26">
        <f t="shared" ca="1" si="2"/>
        <v>239.46220686875628</v>
      </c>
      <c r="C26" t="s">
        <v>199</v>
      </c>
      <c r="D26">
        <f t="shared" si="8"/>
        <v>148</v>
      </c>
      <c r="E26">
        <f t="shared" si="9"/>
        <v>129.21</v>
      </c>
      <c r="F26">
        <f t="shared" si="10"/>
        <v>6.22</v>
      </c>
      <c r="G26">
        <f t="shared" si="11"/>
        <v>1.47</v>
      </c>
      <c r="H26">
        <f t="shared" si="12"/>
        <v>0</v>
      </c>
      <c r="I26">
        <f t="shared" si="13"/>
        <v>3</v>
      </c>
      <c r="J26">
        <f t="shared" si="14"/>
        <v>-0.04</v>
      </c>
      <c r="K26">
        <f t="shared" si="15"/>
        <v>0.01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>
        <f t="shared" si="5"/>
        <v>47</v>
      </c>
      <c r="Q26">
        <f t="shared" ca="1" si="16"/>
        <v>169.20113200000003</v>
      </c>
      <c r="R26">
        <f t="shared" ca="1" si="17"/>
        <v>20.165554</v>
      </c>
      <c r="S26" t="e">
        <f t="shared" si="18"/>
        <v>#VALUE!</v>
      </c>
      <c r="T26">
        <f t="shared" ca="1" si="19"/>
        <v>1000000</v>
      </c>
      <c r="U26">
        <f t="shared" ca="1" si="20"/>
        <v>100</v>
      </c>
      <c r="V26">
        <f t="shared" si="21"/>
        <v>47</v>
      </c>
      <c r="W26">
        <f t="shared" ca="1" si="22"/>
        <v>166.261132</v>
      </c>
      <c r="X26">
        <f t="shared" ca="1" si="23"/>
        <v>20.165554</v>
      </c>
      <c r="Y26" t="e">
        <f>GetFollowingCarRow($B$45:$E$54,L26,$E$15,E26)</f>
        <v>#VALUE!</v>
      </c>
      <c r="Z26">
        <f t="shared" ca="1" si="24"/>
        <v>1000000000</v>
      </c>
      <c r="AA26">
        <f t="shared" ca="1" si="25"/>
        <v>100</v>
      </c>
      <c r="AB26">
        <f t="shared" si="26"/>
        <v>-5.9999999999999609E-2</v>
      </c>
      <c r="AC26">
        <f t="shared" si="27"/>
        <v>2.9400000000000119</v>
      </c>
      <c r="AD26">
        <f t="shared" si="28"/>
        <v>3.5830612244898234</v>
      </c>
      <c r="AE26">
        <f t="shared" si="29"/>
        <v>-10.534200000000125</v>
      </c>
      <c r="AF26">
        <f t="shared" si="30"/>
        <v>2.9406121811622952</v>
      </c>
      <c r="AG26">
        <f t="shared" si="31"/>
        <v>3.9708000785690114</v>
      </c>
      <c r="AH26">
        <f t="shared" si="32"/>
        <v>0.75306590486955205</v>
      </c>
      <c r="AI26">
        <f>IF(G26&lt;=0,1,0)</f>
        <v>0</v>
      </c>
      <c r="AJ26">
        <f>IF(G26&lt;0,1,0)</f>
        <v>0</v>
      </c>
      <c r="AK26">
        <f>MAX(($B$3-G26)/(G26 + 1),0) / $B$3</f>
        <v>0.37681203661659046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0.18533319990813948</v>
      </c>
      <c r="AQ26">
        <f>IF(I26&gt;$B$5,1,0)</f>
        <v>0</v>
      </c>
      <c r="AR26">
        <f>Logistic(ABS(F26-O26)/($B$6/2))</f>
        <v>0.73751106112295339</v>
      </c>
      <c r="AS26">
        <f>IF(OR(F26&lt;M26,F26&gt;N26),1,0)</f>
        <v>1</v>
      </c>
      <c r="AT26">
        <f>ABS(K26)/$B$4</f>
        <v>1.25E-3</v>
      </c>
      <c r="AU26">
        <f t="shared" ca="1" si="33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34"/>
        <v>0</v>
      </c>
      <c r="BB26">
        <f t="shared" ca="1" si="35"/>
        <v>0</v>
      </c>
      <c r="BC26">
        <f t="shared" si="36"/>
        <v>0</v>
      </c>
      <c r="BE26">
        <f t="shared" si="37"/>
        <v>0.75306590486955205</v>
      </c>
      <c r="BF26">
        <f t="shared" si="38"/>
        <v>0</v>
      </c>
      <c r="BG26">
        <f t="shared" si="39"/>
        <v>0</v>
      </c>
      <c r="BH26">
        <f t="shared" si="40"/>
        <v>0.99932657976538875</v>
      </c>
      <c r="BI26">
        <f t="shared" si="41"/>
        <v>0</v>
      </c>
      <c r="BJ26">
        <f t="shared" si="42"/>
        <v>0</v>
      </c>
      <c r="BK26">
        <f t="shared" si="43"/>
        <v>0</v>
      </c>
      <c r="BL26">
        <f t="shared" si="44"/>
        <v>0</v>
      </c>
      <c r="BM26">
        <f t="shared" si="45"/>
        <v>0.18887560283756183</v>
      </c>
      <c r="BN26">
        <f t="shared" si="46"/>
        <v>0.44500000000000006</v>
      </c>
      <c r="BO26">
        <f t="shared" si="47"/>
        <v>1.25E-3</v>
      </c>
      <c r="BP26">
        <f t="shared" si="7"/>
        <v>0</v>
      </c>
      <c r="BQ26">
        <f t="shared" si="48"/>
        <v>0.99999707503613611</v>
      </c>
    </row>
    <row r="27" spans="1:69" x14ac:dyDescent="0.25">
      <c r="A27" s="1" t="s">
        <v>80</v>
      </c>
      <c r="B27">
        <f t="shared" ca="1" si="2"/>
        <v>239.46220686875628</v>
      </c>
      <c r="C27" t="s">
        <v>198</v>
      </c>
      <c r="D27">
        <f t="shared" si="8"/>
        <v>148</v>
      </c>
      <c r="E27">
        <f t="shared" si="9"/>
        <v>129.21</v>
      </c>
      <c r="F27">
        <f t="shared" si="10"/>
        <v>6.25</v>
      </c>
      <c r="G27">
        <f t="shared" si="11"/>
        <v>1.47</v>
      </c>
      <c r="H27">
        <f t="shared" si="12"/>
        <v>0</v>
      </c>
      <c r="I27">
        <f t="shared" si="13"/>
        <v>3</v>
      </c>
      <c r="J27">
        <f t="shared" si="14"/>
        <v>-7.0000000000000007E-2</v>
      </c>
      <c r="K27">
        <f t="shared" si="15"/>
        <v>0.01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>
        <f t="shared" si="5"/>
        <v>47</v>
      </c>
      <c r="Q27">
        <f t="shared" ca="1" si="16"/>
        <v>169.20113200000003</v>
      </c>
      <c r="R27">
        <f t="shared" ca="1" si="17"/>
        <v>20.165554</v>
      </c>
      <c r="S27" t="e">
        <f t="shared" si="18"/>
        <v>#VALUE!</v>
      </c>
      <c r="T27">
        <f t="shared" ca="1" si="19"/>
        <v>1000000</v>
      </c>
      <c r="U27">
        <f t="shared" ca="1" si="20"/>
        <v>100</v>
      </c>
      <c r="V27">
        <f t="shared" si="21"/>
        <v>47</v>
      </c>
      <c r="W27">
        <f t="shared" ca="1" si="22"/>
        <v>166.261132</v>
      </c>
      <c r="X27">
        <f t="shared" ca="1" si="23"/>
        <v>20.165554</v>
      </c>
      <c r="Y27" t="e">
        <f>GetFollowingCarRow($B$45:$E$54,L27,$E$15,E27)</f>
        <v>#VALUE!</v>
      </c>
      <c r="Z27">
        <f t="shared" ca="1" si="24"/>
        <v>1000000000</v>
      </c>
      <c r="AA27">
        <f t="shared" ca="1" si="25"/>
        <v>100</v>
      </c>
      <c r="AB27">
        <f t="shared" si="26"/>
        <v>-8.9999999999999858E-2</v>
      </c>
      <c r="AC27">
        <f t="shared" si="27"/>
        <v>2.9400000000000119</v>
      </c>
      <c r="AD27">
        <f t="shared" si="28"/>
        <v>2.2945918367347162</v>
      </c>
      <c r="AE27">
        <f t="shared" si="29"/>
        <v>-6.7461000000000935</v>
      </c>
      <c r="AF27">
        <f t="shared" si="30"/>
        <v>2.9413772284424979</v>
      </c>
      <c r="AG27">
        <f t="shared" si="31"/>
        <v>0.95616743503837898</v>
      </c>
      <c r="AH27">
        <f t="shared" si="32"/>
        <v>0.75306590486955205</v>
      </c>
      <c r="AI27">
        <f>IF(G27&lt;=0,1,0)</f>
        <v>0</v>
      </c>
      <c r="AJ27">
        <f>IF(G27&lt;0,1,0)</f>
        <v>0</v>
      </c>
      <c r="AK27">
        <f>MAX(($B$3-G27)/(G27 + 1),0) / $B$3</f>
        <v>0.37681203661659046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0</v>
      </c>
      <c r="AP27">
        <f>Logistic(I27/$B$5)</f>
        <v>0.18533319990813948</v>
      </c>
      <c r="AQ27">
        <f>IF(I27&gt;$B$5,1,0)</f>
        <v>0</v>
      </c>
      <c r="AR27">
        <f>Logistic(ABS(F27-O27)/($B$6/2))</f>
        <v>0.73407151960434147</v>
      </c>
      <c r="AS27">
        <f>IF(OR(F27&lt;M27,F27&gt;N27),1,0)</f>
        <v>1</v>
      </c>
      <c r="AT27">
        <f>ABS(K27)/$B$4</f>
        <v>1.25E-3</v>
      </c>
      <c r="AU27">
        <f t="shared" ca="1" si="33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</v>
      </c>
      <c r="BA27">
        <f t="shared" ca="1" si="34"/>
        <v>0</v>
      </c>
      <c r="BB27">
        <f t="shared" ca="1" si="35"/>
        <v>0</v>
      </c>
      <c r="BC27">
        <f t="shared" si="36"/>
        <v>0</v>
      </c>
      <c r="BE27">
        <f t="shared" si="37"/>
        <v>0.75306590486955205</v>
      </c>
      <c r="BF27">
        <f t="shared" si="38"/>
        <v>0</v>
      </c>
      <c r="BG27">
        <f t="shared" si="39"/>
        <v>0</v>
      </c>
      <c r="BH27">
        <f t="shared" si="40"/>
        <v>0.99932657976538875</v>
      </c>
      <c r="BI27">
        <f t="shared" si="41"/>
        <v>0</v>
      </c>
      <c r="BJ27">
        <f t="shared" si="42"/>
        <v>0</v>
      </c>
      <c r="BK27">
        <f t="shared" si="43"/>
        <v>0</v>
      </c>
      <c r="BL27">
        <f t="shared" si="44"/>
        <v>0</v>
      </c>
      <c r="BM27">
        <f t="shared" si="45"/>
        <v>0.18887560283756183</v>
      </c>
      <c r="BN27">
        <f t="shared" si="46"/>
        <v>0.4375</v>
      </c>
      <c r="BO27">
        <f t="shared" si="47"/>
        <v>1.25E-3</v>
      </c>
      <c r="BP27">
        <f t="shared" si="7"/>
        <v>0</v>
      </c>
      <c r="BQ27">
        <f t="shared" si="48"/>
        <v>0.99999707503613611</v>
      </c>
    </row>
    <row r="28" spans="1:69" x14ac:dyDescent="0.25">
      <c r="A28" s="1" t="s">
        <v>81</v>
      </c>
      <c r="B28">
        <f t="shared" ca="1" si="2"/>
        <v>239.46220686875628</v>
      </c>
      <c r="C28" t="s">
        <v>197</v>
      </c>
      <c r="D28">
        <f t="shared" si="8"/>
        <v>148</v>
      </c>
      <c r="E28">
        <f t="shared" si="9"/>
        <v>129.21</v>
      </c>
      <c r="F28">
        <f t="shared" si="10"/>
        <v>6.33</v>
      </c>
      <c r="G28">
        <f t="shared" si="11"/>
        <v>1.47</v>
      </c>
      <c r="H28">
        <f t="shared" si="12"/>
        <v>0</v>
      </c>
      <c r="I28">
        <f t="shared" si="13"/>
        <v>3</v>
      </c>
      <c r="J28">
        <f t="shared" si="14"/>
        <v>-0.14000000000000001</v>
      </c>
      <c r="K28">
        <f t="shared" si="15"/>
        <v>0.02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>
        <f t="shared" si="5"/>
        <v>47</v>
      </c>
      <c r="Q28">
        <f t="shared" ca="1" si="16"/>
        <v>169.20113200000003</v>
      </c>
      <c r="R28">
        <f t="shared" ca="1" si="17"/>
        <v>20.165554</v>
      </c>
      <c r="S28" t="e">
        <f t="shared" si="18"/>
        <v>#VALUE!</v>
      </c>
      <c r="T28">
        <f t="shared" ca="1" si="19"/>
        <v>1000000</v>
      </c>
      <c r="U28">
        <f t="shared" ca="1" si="20"/>
        <v>100</v>
      </c>
      <c r="V28">
        <f t="shared" si="21"/>
        <v>47</v>
      </c>
      <c r="W28">
        <f t="shared" ca="1" si="22"/>
        <v>166.261132</v>
      </c>
      <c r="X28">
        <f t="shared" ca="1" si="23"/>
        <v>20.165554</v>
      </c>
      <c r="Y28" t="e">
        <f>GetFollowingCarRow($B$45:$E$54,L28,$E$15,E28)</f>
        <v>#VALUE!</v>
      </c>
      <c r="Z28">
        <f t="shared" ca="1" si="24"/>
        <v>1000000000</v>
      </c>
      <c r="AA28">
        <f t="shared" ca="1" si="25"/>
        <v>100</v>
      </c>
      <c r="AB28">
        <f t="shared" si="26"/>
        <v>-0.16999999999999993</v>
      </c>
      <c r="AC28">
        <f t="shared" si="27"/>
        <v>2.9400000000000119</v>
      </c>
      <c r="AD28">
        <f t="shared" si="28"/>
        <v>-1.1413265306122113</v>
      </c>
      <c r="AE28">
        <f t="shared" si="29"/>
        <v>3.3554999999999149</v>
      </c>
      <c r="AF28">
        <f t="shared" si="30"/>
        <v>2.9449108645254563</v>
      </c>
      <c r="AG28">
        <f t="shared" si="31"/>
        <v>7.0716033177308573</v>
      </c>
      <c r="AH28">
        <f t="shared" si="32"/>
        <v>0.75306590486955205</v>
      </c>
      <c r="AI28">
        <f>IF(G28&lt;=0,1,0)</f>
        <v>0</v>
      </c>
      <c r="AJ28">
        <f>IF(G28&lt;0,1,0)</f>
        <v>0</v>
      </c>
      <c r="AK28">
        <f>MAX(($B$3-G28)/(G28 + 1),0) / $B$3</f>
        <v>0.37681203661659046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0</v>
      </c>
      <c r="AP28">
        <f>Logistic(I28/$B$5)</f>
        <v>0.18533319990813948</v>
      </c>
      <c r="AQ28">
        <f>IF(I28&gt;$B$5,1,0)</f>
        <v>0</v>
      </c>
      <c r="AR28">
        <f>Logistic(ABS(F28-O28)/($B$6/2))</f>
        <v>0.7247125847970074</v>
      </c>
      <c r="AS28">
        <f>IF(OR(F28&lt;M28,F28&gt;N28),1,0)</f>
        <v>1</v>
      </c>
      <c r="AT28">
        <f>ABS(K28)/$B$4</f>
        <v>2.5000000000000001E-3</v>
      </c>
      <c r="AU28">
        <f t="shared" ca="1" si="33"/>
        <v>0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</v>
      </c>
      <c r="BA28">
        <f t="shared" ca="1" si="34"/>
        <v>0</v>
      </c>
      <c r="BB28">
        <f t="shared" ca="1" si="35"/>
        <v>0</v>
      </c>
      <c r="BC28">
        <f t="shared" si="36"/>
        <v>0</v>
      </c>
      <c r="BE28">
        <f t="shared" si="37"/>
        <v>0.75306590486955205</v>
      </c>
      <c r="BF28">
        <f t="shared" si="38"/>
        <v>0</v>
      </c>
      <c r="BG28">
        <f t="shared" si="39"/>
        <v>0</v>
      </c>
      <c r="BH28">
        <f t="shared" si="40"/>
        <v>0.99932657976538875</v>
      </c>
      <c r="BI28">
        <f t="shared" si="41"/>
        <v>0</v>
      </c>
      <c r="BJ28">
        <f t="shared" si="42"/>
        <v>0</v>
      </c>
      <c r="BK28">
        <f t="shared" si="43"/>
        <v>0</v>
      </c>
      <c r="BL28">
        <f t="shared" si="44"/>
        <v>0</v>
      </c>
      <c r="BM28">
        <f t="shared" si="45"/>
        <v>0.18887560283756183</v>
      </c>
      <c r="BN28">
        <f t="shared" si="46"/>
        <v>0.41749999999999998</v>
      </c>
      <c r="BO28">
        <f t="shared" si="47"/>
        <v>2.5000000000000001E-3</v>
      </c>
      <c r="BP28">
        <f t="shared" si="7"/>
        <v>0</v>
      </c>
      <c r="BQ28">
        <f t="shared" si="48"/>
        <v>0.99999707503613611</v>
      </c>
    </row>
    <row r="29" spans="1:69" x14ac:dyDescent="0.25">
      <c r="A29" s="1" t="s">
        <v>22</v>
      </c>
      <c r="B29">
        <f t="shared" ca="1" si="2"/>
        <v>209.01204893093413</v>
      </c>
      <c r="C29" t="s">
        <v>196</v>
      </c>
      <c r="D29">
        <f t="shared" si="8"/>
        <v>148</v>
      </c>
      <c r="E29">
        <f t="shared" si="9"/>
        <v>165.21</v>
      </c>
      <c r="F29">
        <f t="shared" si="10"/>
        <v>8.1</v>
      </c>
      <c r="G29">
        <f t="shared" si="11"/>
        <v>37.29</v>
      </c>
      <c r="H29">
        <f t="shared" si="12"/>
        <v>9</v>
      </c>
      <c r="I29">
        <f t="shared" si="13"/>
        <v>6</v>
      </c>
      <c r="J29">
        <f t="shared" si="14"/>
        <v>1.19</v>
      </c>
      <c r="K29">
        <f t="shared" si="15"/>
        <v>0.01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>
        <f t="shared" si="5"/>
        <v>47</v>
      </c>
      <c r="Q29">
        <f t="shared" ca="1" si="16"/>
        <v>169.20113200000003</v>
      </c>
      <c r="R29">
        <f t="shared" ca="1" si="17"/>
        <v>20.165554</v>
      </c>
      <c r="S29" t="e">
        <f t="shared" si="18"/>
        <v>#VALUE!</v>
      </c>
      <c r="T29">
        <f t="shared" ca="1" si="19"/>
        <v>1000000</v>
      </c>
      <c r="U29">
        <f t="shared" ca="1" si="20"/>
        <v>100</v>
      </c>
      <c r="V29">
        <f t="shared" si="21"/>
        <v>47</v>
      </c>
      <c r="W29">
        <f t="shared" ca="1" si="22"/>
        <v>130.261132</v>
      </c>
      <c r="X29">
        <f t="shared" ca="1" si="23"/>
        <v>20.165554</v>
      </c>
      <c r="Y29" t="e">
        <f>GetFollowingCarRow($B$45:$E$54,L29,$E$15,E29)</f>
        <v>#VALUE!</v>
      </c>
      <c r="Z29">
        <f t="shared" ca="1" si="24"/>
        <v>1000000000</v>
      </c>
      <c r="AA29">
        <f t="shared" ca="1" si="25"/>
        <v>100</v>
      </c>
      <c r="AB29">
        <f t="shared" si="26"/>
        <v>-1.9399999999999995</v>
      </c>
      <c r="AC29">
        <f t="shared" si="27"/>
        <v>38.940000000000012</v>
      </c>
      <c r="AD29">
        <f t="shared" si="28"/>
        <v>-0.13080123266563515</v>
      </c>
      <c r="AE29">
        <f t="shared" si="29"/>
        <v>5.0933999999998338</v>
      </c>
      <c r="AF29">
        <f t="shared" si="30"/>
        <v>38.988295679601087</v>
      </c>
      <c r="AG29">
        <f t="shared" si="31"/>
        <v>4.7129463311251829</v>
      </c>
      <c r="AH29">
        <f t="shared" si="32"/>
        <v>0.75306590486955205</v>
      </c>
      <c r="AI29">
        <f>IF(G29&lt;=0,1,0)</f>
        <v>0</v>
      </c>
      <c r="AJ29">
        <f>IF(G29&lt;0,1,0)</f>
        <v>0</v>
      </c>
      <c r="AK29">
        <f>MAX(($B$3-G29)/(G29 + 1),0) / $B$3</f>
        <v>0</v>
      </c>
      <c r="AL29">
        <f>IF(H29+ABS(K29)&lt;0,Logistic(SQRT(H29^2+K29^2)/$B$4),0)</f>
        <v>0</v>
      </c>
      <c r="AM29">
        <f>IF(G29&gt;$B$3,1,0)</f>
        <v>1</v>
      </c>
      <c r="AN29">
        <f>IF(H29&gt;$B$4,1,0)</f>
        <v>1</v>
      </c>
      <c r="AO29">
        <f>ABS(H29)/$B$4</f>
        <v>1.125</v>
      </c>
      <c r="AP29">
        <f>Logistic(I29/$B$5)</f>
        <v>0.35835739835078595</v>
      </c>
      <c r="AQ29">
        <f>IF(I29&gt;$B$5,1,0)</f>
        <v>0</v>
      </c>
      <c r="AR29">
        <f>Logistic(ABS(F29-O29)/($B$6/2))</f>
        <v>0.44223035604572625</v>
      </c>
      <c r="AS29">
        <f>IF(OR(F29&lt;M29,F29&gt;N29),1,0)</f>
        <v>0</v>
      </c>
      <c r="AT29">
        <f>ABS(K29)/$B$4</f>
        <v>1.25E-3</v>
      </c>
      <c r="AU29">
        <f t="shared" ca="1" si="33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1.1932228347708018E-2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0.23932644594750685</v>
      </c>
      <c r="AZ29">
        <f ca="1">MAX(1-(IF(Z29/(G29-AA29)&gt;0,Z29/(G29-AA29),Collision_Time_Buffer)/Collision_Time_Buffer),0)*IF($L$15&lt;&gt;L29,Lane_Change_Multiplier,1)</f>
        <v>0</v>
      </c>
      <c r="BA29">
        <f t="shared" ca="1" si="34"/>
        <v>0</v>
      </c>
      <c r="BB29">
        <f t="shared" ca="1" si="35"/>
        <v>0</v>
      </c>
      <c r="BC29">
        <f t="shared" si="36"/>
        <v>0</v>
      </c>
      <c r="BE29">
        <f t="shared" si="37"/>
        <v>0.75306590486955205</v>
      </c>
      <c r="BF29">
        <f t="shared" si="38"/>
        <v>0</v>
      </c>
      <c r="BG29">
        <f t="shared" si="39"/>
        <v>0</v>
      </c>
      <c r="BH29">
        <f t="shared" si="40"/>
        <v>-0.20681900814473692</v>
      </c>
      <c r="BI29">
        <f t="shared" si="41"/>
        <v>1</v>
      </c>
      <c r="BJ29">
        <f t="shared" si="42"/>
        <v>1</v>
      </c>
      <c r="BK29">
        <f t="shared" si="43"/>
        <v>1.1175190687418637</v>
      </c>
      <c r="BL29">
        <f t="shared" si="44"/>
        <v>0</v>
      </c>
      <c r="BM29">
        <f t="shared" si="45"/>
        <v>0.71653131057378927</v>
      </c>
      <c r="BN29">
        <f t="shared" si="46"/>
        <v>0</v>
      </c>
      <c r="BO29">
        <f t="shared" si="47"/>
        <v>1.25E-3</v>
      </c>
      <c r="BP29">
        <f t="shared" si="7"/>
        <v>0.50982997373525663</v>
      </c>
      <c r="BQ29">
        <f t="shared" si="48"/>
        <v>-0.21219938667259125</v>
      </c>
    </row>
    <row r="30" spans="1:69" x14ac:dyDescent="0.25">
      <c r="A30" s="1" t="s">
        <v>21</v>
      </c>
      <c r="B30">
        <f t="shared" ca="1" si="2"/>
        <v>192.05742718668728</v>
      </c>
      <c r="C30" t="s">
        <v>195</v>
      </c>
      <c r="D30">
        <f t="shared" si="8"/>
        <v>134</v>
      </c>
      <c r="E30">
        <f t="shared" si="9"/>
        <v>155.43</v>
      </c>
      <c r="F30">
        <f t="shared" si="10"/>
        <v>9.02</v>
      </c>
      <c r="G30">
        <f t="shared" si="11"/>
        <v>32.25</v>
      </c>
      <c r="H30">
        <f t="shared" si="12"/>
        <v>9</v>
      </c>
      <c r="I30">
        <f t="shared" si="13"/>
        <v>6</v>
      </c>
      <c r="J30">
        <f t="shared" si="14"/>
        <v>-1.72</v>
      </c>
      <c r="K30">
        <f t="shared" si="15"/>
        <v>0.01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>
        <f t="shared" si="5"/>
        <v>47</v>
      </c>
      <c r="Q30">
        <f t="shared" ca="1" si="16"/>
        <v>169.20113200000003</v>
      </c>
      <c r="R30">
        <f t="shared" ca="1" si="17"/>
        <v>20.165554</v>
      </c>
      <c r="S30" t="e">
        <f t="shared" si="18"/>
        <v>#VALUE!</v>
      </c>
      <c r="T30">
        <f t="shared" ca="1" si="19"/>
        <v>1000000</v>
      </c>
      <c r="U30">
        <f t="shared" ca="1" si="20"/>
        <v>100</v>
      </c>
      <c r="V30">
        <f t="shared" si="21"/>
        <v>47</v>
      </c>
      <c r="W30">
        <f t="shared" ca="1" si="22"/>
        <v>140.041132</v>
      </c>
      <c r="X30">
        <f t="shared" ca="1" si="23"/>
        <v>20.165554</v>
      </c>
      <c r="Y30" t="e">
        <f>GetFollowingCarRow($B$45:$E$54,L30,$E$15,E30)</f>
        <v>#VALUE!</v>
      </c>
      <c r="Z30">
        <f t="shared" ca="1" si="24"/>
        <v>1000000000</v>
      </c>
      <c r="AA30">
        <f t="shared" ca="1" si="25"/>
        <v>100</v>
      </c>
      <c r="AB30">
        <f t="shared" si="26"/>
        <v>-2.8599999999999994</v>
      </c>
      <c r="AC30">
        <f t="shared" si="27"/>
        <v>29.160000000000011</v>
      </c>
      <c r="AD30">
        <f t="shared" si="28"/>
        <v>-6.224506172839499</v>
      </c>
      <c r="AE30">
        <f t="shared" si="29"/>
        <v>181.50659999999985</v>
      </c>
      <c r="AF30">
        <f t="shared" si="30"/>
        <v>29.299918088622718</v>
      </c>
      <c r="AG30">
        <f t="shared" si="31"/>
        <v>18.887401727409166</v>
      </c>
      <c r="AH30">
        <f t="shared" si="32"/>
        <v>0.68580906222909455</v>
      </c>
      <c r="AI30">
        <f>IF(G30&lt;=0,1,0)</f>
        <v>0</v>
      </c>
      <c r="AJ30">
        <f>IF(G30&lt;0,1,0)</f>
        <v>0</v>
      </c>
      <c r="AK30">
        <f>MAX(($B$3-G30)/(G30 + 1),0) / $B$3</f>
        <v>0</v>
      </c>
      <c r="AL30">
        <f>IF(H30+ABS(K30)&lt;0,Logistic(SQRT(H30^2+K30^2)/$B$4),0)</f>
        <v>0</v>
      </c>
      <c r="AM30">
        <f>IF(G30&gt;$B$3,1,0)</f>
        <v>1</v>
      </c>
      <c r="AN30">
        <f>IF(H30&gt;$B$4,1,0)</f>
        <v>1</v>
      </c>
      <c r="AO30">
        <f>ABS(H30)/$B$4</f>
        <v>1.125</v>
      </c>
      <c r="AP30">
        <f>Logistic(I30/$B$5)</f>
        <v>0.35835739835078595</v>
      </c>
      <c r="AQ30">
        <f>IF(I30&gt;$B$5,1,0)</f>
        <v>0</v>
      </c>
      <c r="AR30">
        <f>Logistic(ABS(F30-O30)/($B$6/2))</f>
        <v>0.24021286468618039</v>
      </c>
      <c r="AS30">
        <f>IF(OR(F30&lt;M30,F30&gt;N30),1,0)</f>
        <v>0</v>
      </c>
      <c r="AT30">
        <f>ABS(K30)/$B$4</f>
        <v>1.25E-3</v>
      </c>
      <c r="AU30">
        <f t="shared" ca="1" si="33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</v>
      </c>
      <c r="BA30">
        <f t="shared" ca="1" si="34"/>
        <v>0</v>
      </c>
      <c r="BB30">
        <f t="shared" ca="1" si="35"/>
        <v>0</v>
      </c>
      <c r="BC30">
        <f t="shared" si="36"/>
        <v>0</v>
      </c>
      <c r="BE30">
        <f t="shared" si="37"/>
        <v>0.68580906222909455</v>
      </c>
      <c r="BF30">
        <f t="shared" si="38"/>
        <v>0</v>
      </c>
      <c r="BG30">
        <f t="shared" si="39"/>
        <v>0</v>
      </c>
      <c r="BH30">
        <f t="shared" si="40"/>
        <v>-0.16436017650638463</v>
      </c>
      <c r="BI30">
        <f t="shared" si="41"/>
        <v>1</v>
      </c>
      <c r="BJ30">
        <f t="shared" si="42"/>
        <v>1</v>
      </c>
      <c r="BK30">
        <f t="shared" si="43"/>
        <v>1.1175190687418637</v>
      </c>
      <c r="BL30">
        <f t="shared" si="44"/>
        <v>0</v>
      </c>
      <c r="BM30">
        <f t="shared" si="45"/>
        <v>0.71653131057378927</v>
      </c>
      <c r="BN30">
        <f t="shared" si="46"/>
        <v>0</v>
      </c>
      <c r="BO30">
        <f t="shared" si="47"/>
        <v>1.25E-3</v>
      </c>
      <c r="BP30">
        <f t="shared" si="7"/>
        <v>0.50982997373525663</v>
      </c>
      <c r="BQ30">
        <f t="shared" si="48"/>
        <v>-0.16936005939125223</v>
      </c>
    </row>
    <row r="31" spans="1:69" x14ac:dyDescent="0.25">
      <c r="A31" s="1" t="s">
        <v>20</v>
      </c>
      <c r="B31">
        <f t="shared" ca="1" si="2"/>
        <v>191.63238129656071</v>
      </c>
      <c r="C31" t="s">
        <v>194</v>
      </c>
      <c r="D31">
        <f t="shared" si="8"/>
        <v>111</v>
      </c>
      <c r="E31">
        <f t="shared" si="9"/>
        <v>142.41</v>
      </c>
      <c r="F31">
        <f t="shared" si="10"/>
        <v>9.0399999999999991</v>
      </c>
      <c r="G31">
        <f t="shared" si="11"/>
        <v>23.97</v>
      </c>
      <c r="H31">
        <f t="shared" si="12"/>
        <v>9</v>
      </c>
      <c r="I31">
        <f t="shared" si="13"/>
        <v>6</v>
      </c>
      <c r="J31">
        <f t="shared" si="14"/>
        <v>-5.52</v>
      </c>
      <c r="K31">
        <f t="shared" si="15"/>
        <v>0.02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>
        <f t="shared" si="5"/>
        <v>47</v>
      </c>
      <c r="Q31">
        <f t="shared" ca="1" si="16"/>
        <v>169.20113200000003</v>
      </c>
      <c r="R31">
        <f t="shared" ca="1" si="17"/>
        <v>20.165554</v>
      </c>
      <c r="S31" t="e">
        <f t="shared" si="18"/>
        <v>#VALUE!</v>
      </c>
      <c r="T31">
        <f t="shared" ca="1" si="19"/>
        <v>1000000</v>
      </c>
      <c r="U31">
        <f t="shared" ca="1" si="20"/>
        <v>100</v>
      </c>
      <c r="V31">
        <f t="shared" si="21"/>
        <v>47</v>
      </c>
      <c r="W31">
        <f t="shared" ca="1" si="22"/>
        <v>153.06113200000001</v>
      </c>
      <c r="X31">
        <f t="shared" ca="1" si="23"/>
        <v>20.165554</v>
      </c>
      <c r="Y31" t="e">
        <f>GetFollowingCarRow($B$45:$E$54,L31,$E$15,E31)</f>
        <v>#VALUE!</v>
      </c>
      <c r="Z31">
        <f t="shared" ca="1" si="24"/>
        <v>1000000000</v>
      </c>
      <c r="AA31">
        <f t="shared" ca="1" si="25"/>
        <v>100</v>
      </c>
      <c r="AB31">
        <f t="shared" si="26"/>
        <v>-2.879999999999999</v>
      </c>
      <c r="AC31">
        <f t="shared" si="27"/>
        <v>16.14</v>
      </c>
      <c r="AD31">
        <f t="shared" si="28"/>
        <v>-16.371449814126386</v>
      </c>
      <c r="AE31">
        <f t="shared" si="29"/>
        <v>264.23519999999991</v>
      </c>
      <c r="AF31">
        <f t="shared" si="30"/>
        <v>16.394938243250568</v>
      </c>
      <c r="AG31">
        <f t="shared" si="31"/>
        <v>42.057506953029481</v>
      </c>
      <c r="AH31">
        <f t="shared" si="32"/>
        <v>0.54412709885356747</v>
      </c>
      <c r="AI31">
        <f>IF(G31&lt;=0,1,0)</f>
        <v>0</v>
      </c>
      <c r="AJ31">
        <f>IF(G31&lt;0,1,0)</f>
        <v>0</v>
      </c>
      <c r="AK31">
        <f>MAX(($B$3-G31)/(G31 + 1),0) / $B$3</f>
        <v>0</v>
      </c>
      <c r="AL31">
        <f>IF(H31+ABS(K31)&lt;0,Logistic(SQRT(H31^2+K31^2)/$B$4),0)</f>
        <v>0</v>
      </c>
      <c r="AM31">
        <f>IF(G31&gt;$B$3,1,0)</f>
        <v>1</v>
      </c>
      <c r="AN31">
        <f>IF(H31&gt;$B$4,1,0)</f>
        <v>1</v>
      </c>
      <c r="AO31">
        <f>ABS(H31)/$B$4</f>
        <v>1.125</v>
      </c>
      <c r="AP31">
        <f>Logistic(I31/$B$5)</f>
        <v>0.35835739835078595</v>
      </c>
      <c r="AQ31">
        <f>IF(I31&gt;$B$5,1,0)</f>
        <v>0</v>
      </c>
      <c r="AR31">
        <f>Logistic(ABS(F31-O31)/($B$6/2))</f>
        <v>0.23549574953849814</v>
      </c>
      <c r="AS31">
        <f>IF(OR(F31&lt;M31,F31&gt;N31),1,0)</f>
        <v>0</v>
      </c>
      <c r="AT31">
        <f>ABS(K31)/$B$4</f>
        <v>2.5000000000000001E-3</v>
      </c>
      <c r="AU31">
        <f t="shared" ca="1" si="33"/>
        <v>0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</v>
      </c>
      <c r="BA31">
        <f t="shared" ca="1" si="34"/>
        <v>0</v>
      </c>
      <c r="BB31">
        <f t="shared" ca="1" si="35"/>
        <v>0</v>
      </c>
      <c r="BC31">
        <f t="shared" si="36"/>
        <v>0</v>
      </c>
      <c r="BE31">
        <f t="shared" si="37"/>
        <v>0.54412709885356747</v>
      </c>
      <c r="BF31">
        <f t="shared" si="38"/>
        <v>0</v>
      </c>
      <c r="BG31">
        <f t="shared" si="39"/>
        <v>0</v>
      </c>
      <c r="BH31">
        <f t="shared" si="40"/>
        <v>-5.5010488257610235E-2</v>
      </c>
      <c r="BI31">
        <f t="shared" si="41"/>
        <v>1</v>
      </c>
      <c r="BJ31">
        <f t="shared" si="42"/>
        <v>1</v>
      </c>
      <c r="BK31">
        <f t="shared" si="43"/>
        <v>1.1175190687418637</v>
      </c>
      <c r="BL31">
        <f t="shared" si="44"/>
        <v>0</v>
      </c>
      <c r="BM31">
        <f t="shared" si="45"/>
        <v>0.71653131057378927</v>
      </c>
      <c r="BN31">
        <f t="shared" si="46"/>
        <v>0</v>
      </c>
      <c r="BO31">
        <f t="shared" si="47"/>
        <v>2.5000000000000001E-3</v>
      </c>
      <c r="BP31">
        <f t="shared" si="7"/>
        <v>0.50982997373525663</v>
      </c>
      <c r="BQ31">
        <f t="shared" si="48"/>
        <v>-5.7300534451522778E-2</v>
      </c>
    </row>
    <row r="32" spans="1:69" x14ac:dyDescent="0.25">
      <c r="A32" s="1" t="s">
        <v>37</v>
      </c>
      <c r="B32">
        <f t="shared" ca="1" si="2"/>
        <v>218.57383376926197</v>
      </c>
      <c r="C32" t="s">
        <v>193</v>
      </c>
      <c r="D32">
        <f t="shared" ref="D32:D37" si="49">VALUE(MID(C32,FIND("#[",C32)+2,FIND("]",C32,FIND("#[",C32))-(FIND("#[",C32)+2)))</f>
        <v>109</v>
      </c>
      <c r="E32">
        <f t="shared" ref="E32:E37" si="50">VALUE(MID(C32,FIND("s[",C32)+2,FIND("]",C32,FIND("s[",C32))-(FIND("s[",C32)+2)))</f>
        <v>151.88</v>
      </c>
      <c r="F32">
        <f t="shared" ref="F32:F37" si="51">VALUE(MID(C32,FIND("d[",C32)+2,FIND("]",C32,FIND("d[",C32))-(FIND("d[",C32)+2)))</f>
        <v>2.92</v>
      </c>
      <c r="G32">
        <f t="shared" ref="G32:G37" si="52">VALUE(MID(C32,FIND("s_dot[",C32)+6,FIND("]",C32,FIND("s_dot[",C32))-(FIND("s_dot[",C32)+6)))</f>
        <v>40.19</v>
      </c>
      <c r="H32">
        <f t="shared" ref="H32:H37" si="53">VALUE(MID(C32,FIND("s_dot2[",C32)+7,FIND("]",C32,FIND("s_dot2[",C32))-(FIND("s_dot2[",C32)+7)))</f>
        <v>16</v>
      </c>
      <c r="I32">
        <f t="shared" ref="I32:I37" si="54">VALUE(MID(C32,FIND("s_dot3[",C32)+7,FIND("]",C32,FIND("s_dot3[",C32))-(FIND("s_dot3[",C32)+7)))</f>
        <v>13</v>
      </c>
      <c r="J32">
        <f t="shared" ref="J32:J37" si="55">VALUE(MID(C32,FIND("d_dot[",C32)+6,FIND("]",C32,FIND("d_dot[",C32))-(FIND("d_dot[",C32)+6)))</f>
        <v>8.09</v>
      </c>
      <c r="K32">
        <f t="shared" ref="K32:K37" si="56">VALUE(MID(C32,FIND("d_dot2[",C32)+7,FIND("]",C32,FIND("d_dot2[",C32))-(FIND("d_dot2[",C32)+7)))</f>
        <v>0.01</v>
      </c>
      <c r="L32">
        <f t="shared" ref="L32:L37" si="57">VALUE(MID(C32,FIND("-",C32)+1,FIND(")",C32,FIND("-",C32))-(FIND("-",C32)+1)))</f>
        <v>1</v>
      </c>
      <c r="M32">
        <f t="shared" si="0"/>
        <v>0</v>
      </c>
      <c r="N32">
        <f t="shared" ref="N32:N37" si="58">$B$6*L32</f>
        <v>4</v>
      </c>
      <c r="O32">
        <f t="shared" ref="O32:O37" si="59">(N32+M32)/2</f>
        <v>2</v>
      </c>
      <c r="P32">
        <f t="shared" si="5"/>
        <v>46</v>
      </c>
      <c r="Q32">
        <f t="shared" ca="1" si="16"/>
        <v>139.32593100000003</v>
      </c>
      <c r="R32">
        <f t="shared" ca="1" si="17"/>
        <v>22.105345</v>
      </c>
      <c r="S32" t="e">
        <f t="shared" si="18"/>
        <v>#VALUE!</v>
      </c>
      <c r="T32">
        <f t="shared" ca="1" si="19"/>
        <v>1000000</v>
      </c>
      <c r="U32">
        <f t="shared" ca="1" si="20"/>
        <v>100</v>
      </c>
      <c r="V32">
        <f t="shared" si="21"/>
        <v>46</v>
      </c>
      <c r="W32">
        <f t="shared" ca="1" si="22"/>
        <v>113.71593100000001</v>
      </c>
      <c r="X32">
        <f t="shared" ca="1" si="23"/>
        <v>22.105345</v>
      </c>
      <c r="Y32" t="e">
        <f>GetFollowingCarRow($B$45:$E$54,L32,$E$15,E32)</f>
        <v>#VALUE!</v>
      </c>
      <c r="Z32">
        <f t="shared" ca="1" si="24"/>
        <v>1000000000</v>
      </c>
      <c r="AA32">
        <f t="shared" ca="1" si="25"/>
        <v>100</v>
      </c>
      <c r="AB32">
        <f t="shared" ref="AB32:AB37" si="60">$F$15-F32</f>
        <v>3.24</v>
      </c>
      <c r="AC32">
        <f t="shared" ref="AC32:AC37" si="61">E32-$E$15</f>
        <v>25.61</v>
      </c>
      <c r="AD32">
        <f t="shared" ref="AD32:AD37" si="62">$F$15-(-AB32/AC32)*$E$15</f>
        <v>22.134806716126516</v>
      </c>
      <c r="AE32">
        <f t="shared" ref="AE32:AE37" si="63">AD32*-AC32</f>
        <v>-566.87240000000008</v>
      </c>
      <c r="AF32">
        <f t="shared" ref="AF32:AF37" si="64">SQRT(AB32^2+AC32^2)</f>
        <v>25.81413759938534</v>
      </c>
      <c r="AG32">
        <f t="shared" ref="AG32:AG37" si="65">GetSmallestNormalDistance($B$45:$E$56,AB32,AC32,AF32,$L$15,L32)</f>
        <v>35.317728473397011</v>
      </c>
      <c r="AH32">
        <f t="shared" si="32"/>
        <v>0.5298956075275294</v>
      </c>
      <c r="AI32">
        <f>IF(G32&lt;=0,1,0)</f>
        <v>0</v>
      </c>
      <c r="AJ32">
        <f>IF(G32&lt;0,1,0)</f>
        <v>0</v>
      </c>
      <c r="AK32">
        <f>MAX(($B$3-G32)/(G32 + 1),0) / $B$3</f>
        <v>0</v>
      </c>
      <c r="AL32">
        <f>IF(H32+ABS(K32)&lt;0,Logistic(SQRT(H32^2+K32^2)/$B$4),0)</f>
        <v>0</v>
      </c>
      <c r="AM32">
        <f>IF(G32&gt;$B$3,1,0)</f>
        <v>1</v>
      </c>
      <c r="AN32">
        <f>IF(H32&gt;$B$4,1,0)</f>
        <v>1</v>
      </c>
      <c r="AO32">
        <f>ABS(H32)/$B$4</f>
        <v>2</v>
      </c>
      <c r="AP32">
        <f>Logistic(I32/$B$5)</f>
        <v>0.67096707420687363</v>
      </c>
      <c r="AQ32">
        <f>IF(I32&gt;$B$5,1,0)</f>
        <v>1</v>
      </c>
      <c r="AR32">
        <f>Logistic(ABS(F32-O32)/($B$6/2))</f>
        <v>0.22602835227867096</v>
      </c>
      <c r="AS32">
        <f>IF(OR(F32&lt;M32,F32&gt;N32),1,0)</f>
        <v>0</v>
      </c>
      <c r="AT32">
        <f>ABS(K32)/$B$4</f>
        <v>1.25E-3</v>
      </c>
      <c r="AU32">
        <f t="shared" ca="1" si="33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0.22959032948098801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0.37120209923827674</v>
      </c>
      <c r="AZ32">
        <f ca="1">MAX(1-(IF(Z32/(G32-AA32)&gt;0,Z32/(G32-AA32),Collision_Time_Buffer)/Collision_Time_Buffer),0)*IF($L$15&lt;&gt;L32,Lane_Change_Multiplier,1)</f>
        <v>0</v>
      </c>
      <c r="BA32">
        <f t="shared" ca="1" si="34"/>
        <v>0</v>
      </c>
      <c r="BB32">
        <f t="shared" ca="1" si="35"/>
        <v>0</v>
      </c>
      <c r="BC32">
        <f t="shared" si="36"/>
        <v>0</v>
      </c>
      <c r="BE32">
        <f t="shared" ref="BE32:BE37" si="66">Logistic((D32-$B$2)/$B$2)</f>
        <v>0.5298956075275294</v>
      </c>
      <c r="BF32">
        <f t="shared" ref="BF32:BF37" si="67">IF(G32&lt;=0,1,0)</f>
        <v>0</v>
      </c>
      <c r="BG32">
        <f t="shared" ref="BG32:BG37" si="68">IF(G32&lt;0,1,0)</f>
        <v>0</v>
      </c>
      <c r="BH32">
        <f t="shared" ref="BH32:BH37" si="69">Logistic(($B$3-G32)/(G32+1))</f>
        <v>-0.22628865893696889</v>
      </c>
      <c r="BI32">
        <f t="shared" ref="BI32:BI37" si="70">IF(G32&gt;$B$3,1,0)</f>
        <v>1</v>
      </c>
      <c r="BJ32">
        <f t="shared" ref="BJ32:BJ37" si="71">IF(H32&gt;$B$5,1,0)</f>
        <v>1</v>
      </c>
      <c r="BK32">
        <f t="shared" ref="BK32:BK37" si="72">EXP(-($B$4-ABS(H32))/MAX(ABS(H32),0.000000001))</f>
        <v>1.6487212707001282</v>
      </c>
      <c r="BL32">
        <f t="shared" ref="BL32:BL37" si="73">IF(G32&lt;ABS(H32),1,0)</f>
        <v>0</v>
      </c>
      <c r="BM32">
        <f t="shared" ref="BM32:BM37" si="74">EXP(-($B$5-I32)/MAX(I32,0.000000001))</f>
        <v>1.4690491938490167</v>
      </c>
      <c r="BN32">
        <f t="shared" ref="BN32:BN37" si="75">IF(F32&gt;N32,(F32-N32)/$B$6,0)+IF(F32&lt;M32,(M32-F32)/$B$6,0)</f>
        <v>0</v>
      </c>
      <c r="BO32">
        <f t="shared" ref="BO32:BO37" si="76">ABS(K32/$B$4)</f>
        <v>1.25E-3</v>
      </c>
      <c r="BP32">
        <f t="shared" ref="BP32:BP37" si="77">Logistic(ABS(H32)/$B$4)</f>
        <v>0.76159415595576485</v>
      </c>
      <c r="BQ32">
        <f t="shared" ref="BQ32:BQ37" si="78">Logistic(($B$3-G32)/G32)</f>
        <v>-0.23171780773015241</v>
      </c>
    </row>
    <row r="33" spans="1:69" x14ac:dyDescent="0.25">
      <c r="A33" s="1" t="s">
        <v>38</v>
      </c>
      <c r="B33">
        <f t="shared" ca="1" si="2"/>
        <v>207.17089548997549</v>
      </c>
      <c r="C33" t="s">
        <v>192</v>
      </c>
      <c r="D33">
        <f t="shared" si="49"/>
        <v>104</v>
      </c>
      <c r="E33">
        <f t="shared" si="50"/>
        <v>147.99</v>
      </c>
      <c r="F33">
        <f t="shared" si="51"/>
        <v>2.97</v>
      </c>
      <c r="G33">
        <f t="shared" si="52"/>
        <v>36.99</v>
      </c>
      <c r="H33">
        <f t="shared" si="53"/>
        <v>16</v>
      </c>
      <c r="I33">
        <f t="shared" si="54"/>
        <v>13</v>
      </c>
      <c r="J33">
        <f t="shared" si="55"/>
        <v>8.32</v>
      </c>
      <c r="K33">
        <f t="shared" si="56"/>
        <v>0.01</v>
      </c>
      <c r="L33">
        <f t="shared" si="57"/>
        <v>1</v>
      </c>
      <c r="M33">
        <f t="shared" si="0"/>
        <v>0</v>
      </c>
      <c r="N33">
        <f t="shared" si="58"/>
        <v>4</v>
      </c>
      <c r="O33">
        <f t="shared" si="59"/>
        <v>2</v>
      </c>
      <c r="P33">
        <f t="shared" si="5"/>
        <v>46</v>
      </c>
      <c r="Q33">
        <f t="shared" ca="1" si="16"/>
        <v>139.32593100000003</v>
      </c>
      <c r="R33">
        <f t="shared" ca="1" si="17"/>
        <v>22.105345</v>
      </c>
      <c r="S33" t="e">
        <f t="shared" si="18"/>
        <v>#VALUE!</v>
      </c>
      <c r="T33">
        <f t="shared" ca="1" si="19"/>
        <v>1000000</v>
      </c>
      <c r="U33">
        <f t="shared" ca="1" si="20"/>
        <v>100</v>
      </c>
      <c r="V33">
        <f t="shared" si="21"/>
        <v>46</v>
      </c>
      <c r="W33">
        <f t="shared" ca="1" si="22"/>
        <v>117.605931</v>
      </c>
      <c r="X33">
        <f t="shared" ca="1" si="23"/>
        <v>22.105345</v>
      </c>
      <c r="Y33" t="e">
        <f>GetFollowingCarRow($B$45:$E$54,L33,$E$15,E33)</f>
        <v>#VALUE!</v>
      </c>
      <c r="Z33">
        <f t="shared" ca="1" si="24"/>
        <v>1000000000</v>
      </c>
      <c r="AA33">
        <f t="shared" ca="1" si="25"/>
        <v>100</v>
      </c>
      <c r="AB33">
        <f t="shared" si="60"/>
        <v>3.19</v>
      </c>
      <c r="AC33">
        <f t="shared" si="61"/>
        <v>21.720000000000013</v>
      </c>
      <c r="AD33">
        <f t="shared" si="62"/>
        <v>24.705179558011036</v>
      </c>
      <c r="AE33">
        <f t="shared" si="63"/>
        <v>-536.59649999999999</v>
      </c>
      <c r="AF33">
        <f t="shared" si="64"/>
        <v>21.953006627794757</v>
      </c>
      <c r="AG33">
        <f t="shared" si="65"/>
        <v>40.57053052598053</v>
      </c>
      <c r="AH33">
        <f t="shared" si="32"/>
        <v>0.49298796667532441</v>
      </c>
      <c r="AI33">
        <f>IF(G33&lt;=0,1,0)</f>
        <v>0</v>
      </c>
      <c r="AJ33">
        <f>IF(G33&lt;0,1,0)</f>
        <v>0</v>
      </c>
      <c r="AK33">
        <f>MAX(($B$3-G33)/(G33 + 1),0) / $B$3</f>
        <v>0</v>
      </c>
      <c r="AL33">
        <f>IF(H33+ABS(K33)&lt;0,Logistic(SQRT(H33^2+K33^2)/$B$4),0)</f>
        <v>0</v>
      </c>
      <c r="AM33">
        <f>IF(G33&gt;$B$3,1,0)</f>
        <v>1</v>
      </c>
      <c r="AN33">
        <f>IF(H33&gt;$B$4,1,0)</f>
        <v>1</v>
      </c>
      <c r="AO33">
        <f>ABS(H33)/$B$4</f>
        <v>2</v>
      </c>
      <c r="AP33">
        <f>Logistic(I33/$B$5)</f>
        <v>0.67096707420687363</v>
      </c>
      <c r="AQ33">
        <f>IF(I33&gt;$B$5,1,0)</f>
        <v>1</v>
      </c>
      <c r="AR33">
        <f>Logistic(ABS(F33-O33)/($B$6/2))</f>
        <v>0.23785570960038072</v>
      </c>
      <c r="AS33">
        <f>IF(OR(F33&lt;M33,F33&gt;N33),1,0)</f>
        <v>0</v>
      </c>
      <c r="AT33">
        <f>ABS(K33)/$B$4</f>
        <v>1.25E-3</v>
      </c>
      <c r="AU33">
        <f t="shared" ca="1" si="33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6.3962644750583664E-2</v>
      </c>
      <c r="AX33">
        <f ca="1">MAX(1-(IF(T33/(G33-U33)&gt;0,T33/(G33-U33),Collision_Time_Buffer)/Collision_Time_Buffer),0)*IF($L$15&lt;&gt;L33,Lane_Change_Multiplier,1)</f>
        <v>0</v>
      </c>
      <c r="AY33">
        <f ca="1">MAX(1-(IF(W33/(G33-X33)&gt;0,W33/(G33-X33),Collision_Time_Buffer)/Collision_Time_Buffer),0)*IF($L$15&lt;&gt;L33,Lane_Change_Multiplier,1)</f>
        <v>0.2098847369992789</v>
      </c>
      <c r="AZ33">
        <f ca="1">MAX(1-(IF(Z33/(G33-AA33)&gt;0,Z33/(G33-AA33),Collision_Time_Buffer)/Collision_Time_Buffer),0)*IF($L$15&lt;&gt;L33,Lane_Change_Multiplier,1)</f>
        <v>0</v>
      </c>
      <c r="BA33">
        <f t="shared" ca="1" si="34"/>
        <v>0</v>
      </c>
      <c r="BB33">
        <f t="shared" ca="1" si="35"/>
        <v>0</v>
      </c>
      <c r="BC33">
        <f t="shared" si="36"/>
        <v>0</v>
      </c>
      <c r="BE33">
        <f t="shared" si="66"/>
        <v>0.49298796667532441</v>
      </c>
      <c r="BF33">
        <f t="shared" si="67"/>
        <v>0</v>
      </c>
      <c r="BG33">
        <f t="shared" si="68"/>
        <v>0</v>
      </c>
      <c r="BH33">
        <f t="shared" si="69"/>
        <v>-0.20462468700570988</v>
      </c>
      <c r="BI33">
        <f t="shared" si="70"/>
        <v>1</v>
      </c>
      <c r="BJ33">
        <f t="shared" si="71"/>
        <v>1</v>
      </c>
      <c r="BK33">
        <f t="shared" si="72"/>
        <v>1.6487212707001282</v>
      </c>
      <c r="BL33">
        <f t="shared" si="73"/>
        <v>0</v>
      </c>
      <c r="BM33">
        <f t="shared" si="74"/>
        <v>1.4690491938490167</v>
      </c>
      <c r="BN33">
        <f t="shared" si="75"/>
        <v>0</v>
      </c>
      <c r="BO33">
        <f t="shared" si="76"/>
        <v>1.25E-3</v>
      </c>
      <c r="BP33">
        <f t="shared" si="77"/>
        <v>0.76159415595576485</v>
      </c>
      <c r="BQ33">
        <f t="shared" si="78"/>
        <v>-0.20999462200478106</v>
      </c>
    </row>
    <row r="34" spans="1:69" x14ac:dyDescent="0.25">
      <c r="A34" s="1" t="s">
        <v>39</v>
      </c>
      <c r="B34">
        <f t="shared" ca="1" si="2"/>
        <v>192.29025263420596</v>
      </c>
      <c r="C34" t="s">
        <v>191</v>
      </c>
      <c r="D34">
        <f t="shared" si="49"/>
        <v>96</v>
      </c>
      <c r="E34">
        <f t="shared" si="50"/>
        <v>142.43</v>
      </c>
      <c r="F34">
        <f t="shared" si="51"/>
        <v>2.91</v>
      </c>
      <c r="G34">
        <f t="shared" si="52"/>
        <v>31.87</v>
      </c>
      <c r="H34">
        <f t="shared" si="53"/>
        <v>16</v>
      </c>
      <c r="I34">
        <f t="shared" si="54"/>
        <v>13</v>
      </c>
      <c r="J34">
        <f t="shared" si="55"/>
        <v>9.41</v>
      </c>
      <c r="K34">
        <f t="shared" si="56"/>
        <v>0.02</v>
      </c>
      <c r="L34">
        <f t="shared" si="57"/>
        <v>1</v>
      </c>
      <c r="M34">
        <f t="shared" si="0"/>
        <v>0</v>
      </c>
      <c r="N34">
        <f t="shared" si="58"/>
        <v>4</v>
      </c>
      <c r="O34">
        <f t="shared" si="59"/>
        <v>2</v>
      </c>
      <c r="P34">
        <f t="shared" si="5"/>
        <v>46</v>
      </c>
      <c r="Q34">
        <f t="shared" ca="1" si="16"/>
        <v>139.32593100000003</v>
      </c>
      <c r="R34">
        <f t="shared" ca="1" si="17"/>
        <v>22.105345</v>
      </c>
      <c r="S34" t="e">
        <f t="shared" si="18"/>
        <v>#VALUE!</v>
      </c>
      <c r="T34">
        <f t="shared" ca="1" si="19"/>
        <v>1000000</v>
      </c>
      <c r="U34">
        <f t="shared" ca="1" si="20"/>
        <v>100</v>
      </c>
      <c r="V34">
        <f t="shared" si="21"/>
        <v>46</v>
      </c>
      <c r="W34">
        <f t="shared" ca="1" si="22"/>
        <v>123.165931</v>
      </c>
      <c r="X34">
        <f t="shared" ca="1" si="23"/>
        <v>22.105345</v>
      </c>
      <c r="Y34" t="e">
        <f>GetFollowingCarRow($B$45:$E$54,L34,$E$15,E34)</f>
        <v>#VALUE!</v>
      </c>
      <c r="Z34">
        <f t="shared" ca="1" si="24"/>
        <v>1000000000</v>
      </c>
      <c r="AA34">
        <f t="shared" ca="1" si="25"/>
        <v>100</v>
      </c>
      <c r="AB34">
        <f t="shared" si="60"/>
        <v>3.25</v>
      </c>
      <c r="AC34">
        <f t="shared" si="61"/>
        <v>16.160000000000011</v>
      </c>
      <c r="AD34">
        <f t="shared" si="62"/>
        <v>31.554647277227705</v>
      </c>
      <c r="AE34">
        <f t="shared" si="63"/>
        <v>-509.92310000000003</v>
      </c>
      <c r="AF34">
        <f t="shared" si="64"/>
        <v>16.483570608336059</v>
      </c>
      <c r="AG34">
        <f t="shared" si="65"/>
        <v>54.325161152714223</v>
      </c>
      <c r="AH34">
        <f t="shared" si="32"/>
        <v>0.4300842114019795</v>
      </c>
      <c r="AI34">
        <f>IF(G34&lt;=0,1,0)</f>
        <v>0</v>
      </c>
      <c r="AJ34">
        <f>IF(G34&lt;0,1,0)</f>
        <v>0</v>
      </c>
      <c r="AK34">
        <f>MAX(($B$3-G34)/(G34 + 1),0) / $B$3</f>
        <v>0</v>
      </c>
      <c r="AL34">
        <f>IF(H34+ABS(K34)&lt;0,Logistic(SQRT(H34^2+K34^2)/$B$4),0)</f>
        <v>0</v>
      </c>
      <c r="AM34">
        <f>IF(G34&gt;$B$3,1,0)</f>
        <v>1</v>
      </c>
      <c r="AN34">
        <f>IF(H34&gt;$B$4,1,0)</f>
        <v>1</v>
      </c>
      <c r="AO34">
        <f>ABS(H34)/$B$4</f>
        <v>2</v>
      </c>
      <c r="AP34">
        <f>Logistic(I34/$B$5)</f>
        <v>0.67096707420687363</v>
      </c>
      <c r="AQ34">
        <f>IF(I34&gt;$B$5,1,0)</f>
        <v>1</v>
      </c>
      <c r="AR34">
        <f>Logistic(ABS(F34-O34)/($B$6/2))</f>
        <v>0.2236547380034743</v>
      </c>
      <c r="AS34">
        <f>IF(OR(F34&lt;M34,F34&gt;N34),1,0)</f>
        <v>0</v>
      </c>
      <c r="AT34">
        <f>ABS(K34)/$B$4</f>
        <v>2.5000000000000001E-3</v>
      </c>
      <c r="AU34">
        <f t="shared" ca="1" si="33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</v>
      </c>
      <c r="BA34">
        <f t="shared" ca="1" si="34"/>
        <v>0</v>
      </c>
      <c r="BB34">
        <f t="shared" ca="1" si="35"/>
        <v>0</v>
      </c>
      <c r="BC34">
        <f t="shared" si="36"/>
        <v>0</v>
      </c>
      <c r="BE34">
        <f t="shared" si="66"/>
        <v>0.4300842114019795</v>
      </c>
      <c r="BF34">
        <f t="shared" si="67"/>
        <v>0</v>
      </c>
      <c r="BG34">
        <f t="shared" si="68"/>
        <v>0</v>
      </c>
      <c r="BH34">
        <f t="shared" si="69"/>
        <v>-0.16059932287122611</v>
      </c>
      <c r="BI34">
        <f t="shared" si="70"/>
        <v>1</v>
      </c>
      <c r="BJ34">
        <f t="shared" si="71"/>
        <v>1</v>
      </c>
      <c r="BK34">
        <f t="shared" si="72"/>
        <v>1.6487212707001282</v>
      </c>
      <c r="BL34">
        <f t="shared" si="73"/>
        <v>0</v>
      </c>
      <c r="BM34">
        <f t="shared" si="74"/>
        <v>1.4690491938490167</v>
      </c>
      <c r="BN34">
        <f t="shared" si="75"/>
        <v>0</v>
      </c>
      <c r="BO34">
        <f t="shared" si="76"/>
        <v>2.5000000000000001E-3</v>
      </c>
      <c r="BP34">
        <f t="shared" si="77"/>
        <v>0.76159415595576485</v>
      </c>
      <c r="BQ34">
        <f t="shared" si="78"/>
        <v>-0.16554734165045007</v>
      </c>
    </row>
    <row r="35" spans="1:69" x14ac:dyDescent="0.25">
      <c r="A35" s="1" t="s">
        <v>82</v>
      </c>
      <c r="B35">
        <f t="shared" ca="1" si="2"/>
        <v>239.46220686875628</v>
      </c>
      <c r="C35" t="s">
        <v>190</v>
      </c>
      <c r="D35">
        <f t="shared" si="49"/>
        <v>148</v>
      </c>
      <c r="E35">
        <f t="shared" si="50"/>
        <v>129.21</v>
      </c>
      <c r="F35">
        <f t="shared" si="51"/>
        <v>6.12</v>
      </c>
      <c r="G35">
        <f t="shared" si="52"/>
        <v>1.47</v>
      </c>
      <c r="H35">
        <f t="shared" si="53"/>
        <v>0</v>
      </c>
      <c r="I35">
        <f t="shared" si="54"/>
        <v>3</v>
      </c>
      <c r="J35">
        <f t="shared" si="55"/>
        <v>0.06</v>
      </c>
      <c r="K35">
        <f t="shared" si="56"/>
        <v>0.01</v>
      </c>
      <c r="L35">
        <f t="shared" si="57"/>
        <v>1</v>
      </c>
      <c r="M35">
        <f t="shared" si="0"/>
        <v>0</v>
      </c>
      <c r="N35">
        <f t="shared" si="58"/>
        <v>4</v>
      </c>
      <c r="O35">
        <f t="shared" si="59"/>
        <v>2</v>
      </c>
      <c r="P35">
        <f t="shared" si="5"/>
        <v>46</v>
      </c>
      <c r="Q35">
        <f t="shared" ca="1" si="16"/>
        <v>139.32593100000003</v>
      </c>
      <c r="R35">
        <f t="shared" ca="1" si="17"/>
        <v>22.105345</v>
      </c>
      <c r="S35" t="e">
        <f t="shared" si="18"/>
        <v>#VALUE!</v>
      </c>
      <c r="T35">
        <f t="shared" ca="1" si="19"/>
        <v>1000000</v>
      </c>
      <c r="U35">
        <f t="shared" ca="1" si="20"/>
        <v>100</v>
      </c>
      <c r="V35">
        <f t="shared" si="21"/>
        <v>46</v>
      </c>
      <c r="W35">
        <f t="shared" ca="1" si="22"/>
        <v>136.385931</v>
      </c>
      <c r="X35">
        <f t="shared" ca="1" si="23"/>
        <v>22.105345</v>
      </c>
      <c r="Y35" t="e">
        <f>GetFollowingCarRow($B$45:$E$54,L35,$E$15,E35)</f>
        <v>#VALUE!</v>
      </c>
      <c r="Z35">
        <f t="shared" ca="1" si="24"/>
        <v>1000000000</v>
      </c>
      <c r="AA35">
        <f t="shared" ca="1" si="25"/>
        <v>100</v>
      </c>
      <c r="AB35">
        <f t="shared" si="60"/>
        <v>4.0000000000000036E-2</v>
      </c>
      <c r="AC35">
        <f t="shared" si="61"/>
        <v>2.9400000000000119</v>
      </c>
      <c r="AD35">
        <f t="shared" si="62"/>
        <v>7.8779591836734637</v>
      </c>
      <c r="AE35">
        <f t="shared" si="63"/>
        <v>-23.161200000000079</v>
      </c>
      <c r="AF35">
        <f t="shared" si="64"/>
        <v>2.9402720962523299</v>
      </c>
      <c r="AG35">
        <f t="shared" si="65"/>
        <v>5.6109177926178679</v>
      </c>
      <c r="AH35">
        <f t="shared" si="32"/>
        <v>0.75306590486955205</v>
      </c>
      <c r="AI35">
        <f>IF(G35&lt;=0,1,0)</f>
        <v>0</v>
      </c>
      <c r="AJ35">
        <f>IF(G35&lt;0,1,0)</f>
        <v>0</v>
      </c>
      <c r="AK35">
        <f>MAX(($B$3-G35)/(G35 + 1),0) / $B$3</f>
        <v>0.37681203661659046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</v>
      </c>
      <c r="AP35">
        <f>Logistic(I35/$B$5)</f>
        <v>0.18533319990813948</v>
      </c>
      <c r="AQ35">
        <f>IF(I35&gt;$B$5,1,0)</f>
        <v>0</v>
      </c>
      <c r="AR35">
        <f>Logistic(ABS(F35-O35)/($B$6/2))</f>
        <v>0.77390833985584206</v>
      </c>
      <c r="AS35">
        <f>IF(OR(F35&lt;M35,F35&gt;N35),1,0)</f>
        <v>1</v>
      </c>
      <c r="AT35">
        <f>ABS(K35)/$B$4</f>
        <v>1.25E-3</v>
      </c>
      <c r="AU35">
        <f t="shared" ca="1" si="33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34"/>
        <v>0</v>
      </c>
      <c r="BB35">
        <f t="shared" ca="1" si="35"/>
        <v>0</v>
      </c>
      <c r="BC35">
        <f t="shared" si="36"/>
        <v>0</v>
      </c>
      <c r="BE35">
        <f t="shared" si="66"/>
        <v>0.75306590486955205</v>
      </c>
      <c r="BF35">
        <f t="shared" si="67"/>
        <v>0</v>
      </c>
      <c r="BG35">
        <f t="shared" si="68"/>
        <v>0</v>
      </c>
      <c r="BH35">
        <f t="shared" si="69"/>
        <v>0.99932657976538875</v>
      </c>
      <c r="BI35">
        <f t="shared" si="70"/>
        <v>0</v>
      </c>
      <c r="BJ35">
        <f t="shared" si="71"/>
        <v>0</v>
      </c>
      <c r="BK35">
        <f t="shared" si="72"/>
        <v>0</v>
      </c>
      <c r="BL35">
        <f t="shared" si="73"/>
        <v>0</v>
      </c>
      <c r="BM35">
        <f t="shared" si="74"/>
        <v>0.18887560283756183</v>
      </c>
      <c r="BN35">
        <f t="shared" si="75"/>
        <v>0.53</v>
      </c>
      <c r="BO35">
        <f t="shared" si="76"/>
        <v>1.25E-3</v>
      </c>
      <c r="BP35">
        <f t="shared" si="77"/>
        <v>0</v>
      </c>
      <c r="BQ35">
        <f t="shared" si="78"/>
        <v>0.99999707503613611</v>
      </c>
    </row>
    <row r="36" spans="1:69" x14ac:dyDescent="0.25">
      <c r="A36" s="1" t="s">
        <v>83</v>
      </c>
      <c r="B36">
        <f t="shared" ca="1" si="2"/>
        <v>239.46220686875628</v>
      </c>
      <c r="C36" t="s">
        <v>189</v>
      </c>
      <c r="D36">
        <f t="shared" si="49"/>
        <v>148</v>
      </c>
      <c r="E36">
        <f t="shared" si="50"/>
        <v>129.21</v>
      </c>
      <c r="F36">
        <f t="shared" si="51"/>
        <v>6.09</v>
      </c>
      <c r="G36">
        <f t="shared" si="52"/>
        <v>1.47</v>
      </c>
      <c r="H36">
        <f t="shared" si="53"/>
        <v>0</v>
      </c>
      <c r="I36">
        <f t="shared" si="54"/>
        <v>3</v>
      </c>
      <c r="J36">
        <f t="shared" si="55"/>
        <v>0.08</v>
      </c>
      <c r="K36">
        <f t="shared" si="56"/>
        <v>0.01</v>
      </c>
      <c r="L36">
        <f t="shared" si="57"/>
        <v>1</v>
      </c>
      <c r="M36">
        <f t="shared" si="0"/>
        <v>0</v>
      </c>
      <c r="N36">
        <f t="shared" si="58"/>
        <v>4</v>
      </c>
      <c r="O36">
        <f t="shared" si="59"/>
        <v>2</v>
      </c>
      <c r="P36">
        <f t="shared" si="5"/>
        <v>46</v>
      </c>
      <c r="Q36">
        <f t="shared" ca="1" si="16"/>
        <v>139.32593100000003</v>
      </c>
      <c r="R36">
        <f t="shared" ca="1" si="17"/>
        <v>22.105345</v>
      </c>
      <c r="S36" t="e">
        <f t="shared" si="18"/>
        <v>#VALUE!</v>
      </c>
      <c r="T36">
        <f t="shared" ca="1" si="19"/>
        <v>1000000</v>
      </c>
      <c r="U36">
        <f t="shared" ca="1" si="20"/>
        <v>100</v>
      </c>
      <c r="V36">
        <f t="shared" si="21"/>
        <v>46</v>
      </c>
      <c r="W36">
        <f t="shared" ca="1" si="22"/>
        <v>136.385931</v>
      </c>
      <c r="X36">
        <f t="shared" ca="1" si="23"/>
        <v>22.105345</v>
      </c>
      <c r="Y36" t="e">
        <f>GetFollowingCarRow($B$45:$E$54,L36,$E$15,E36)</f>
        <v>#VALUE!</v>
      </c>
      <c r="Z36">
        <f t="shared" ca="1" si="24"/>
        <v>1000000000</v>
      </c>
      <c r="AA36">
        <f t="shared" ca="1" si="25"/>
        <v>100</v>
      </c>
      <c r="AB36">
        <f t="shared" si="60"/>
        <v>7.0000000000000284E-2</v>
      </c>
      <c r="AC36">
        <f t="shared" si="61"/>
        <v>2.9400000000000119</v>
      </c>
      <c r="AD36">
        <f t="shared" si="62"/>
        <v>9.1664285714285718</v>
      </c>
      <c r="AE36">
        <f t="shared" si="63"/>
        <v>-26.949300000000111</v>
      </c>
      <c r="AF36">
        <f t="shared" si="64"/>
        <v>2.9408332152640124</v>
      </c>
      <c r="AG36">
        <f t="shared" si="65"/>
        <v>8.3192419151875345</v>
      </c>
      <c r="AH36">
        <f t="shared" si="32"/>
        <v>0.75306590486955205</v>
      </c>
      <c r="AI36">
        <f>IF(G36&lt;=0,1,0)</f>
        <v>0</v>
      </c>
      <c r="AJ36">
        <f>IF(G36&lt;0,1,0)</f>
        <v>0</v>
      </c>
      <c r="AK36">
        <f>MAX(($B$3-G36)/(G36 + 1),0) / $B$3</f>
        <v>0.37681203661659046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0</v>
      </c>
      <c r="AP36">
        <f>Logistic(I36/$B$5)</f>
        <v>0.18533319990813948</v>
      </c>
      <c r="AQ36">
        <f>IF(I36&gt;$B$5,1,0)</f>
        <v>0</v>
      </c>
      <c r="AR36">
        <f>Logistic(ABS(F36-O36)/($B$6/2))</f>
        <v>0.7708828415345883</v>
      </c>
      <c r="AS36">
        <f>IF(OR(F36&lt;M36,F36&gt;N36),1,0)</f>
        <v>1</v>
      </c>
      <c r="AT36">
        <f>ABS(K36)/$B$4</f>
        <v>1.25E-3</v>
      </c>
      <c r="AU36">
        <f t="shared" ca="1" si="33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</v>
      </c>
      <c r="BA36">
        <f t="shared" ca="1" si="34"/>
        <v>0</v>
      </c>
      <c r="BB36">
        <f t="shared" ca="1" si="35"/>
        <v>0</v>
      </c>
      <c r="BC36">
        <f t="shared" si="36"/>
        <v>0</v>
      </c>
      <c r="BE36">
        <f t="shared" si="66"/>
        <v>0.75306590486955205</v>
      </c>
      <c r="BF36">
        <f t="shared" si="67"/>
        <v>0</v>
      </c>
      <c r="BG36">
        <f t="shared" si="68"/>
        <v>0</v>
      </c>
      <c r="BH36">
        <f t="shared" si="69"/>
        <v>0.99932657976538875</v>
      </c>
      <c r="BI36">
        <f t="shared" si="70"/>
        <v>0</v>
      </c>
      <c r="BJ36">
        <f t="shared" si="71"/>
        <v>0</v>
      </c>
      <c r="BK36">
        <f t="shared" si="72"/>
        <v>0</v>
      </c>
      <c r="BL36">
        <f t="shared" si="73"/>
        <v>0</v>
      </c>
      <c r="BM36">
        <f t="shared" si="74"/>
        <v>0.18887560283756183</v>
      </c>
      <c r="BN36">
        <f t="shared" si="75"/>
        <v>0.52249999999999996</v>
      </c>
      <c r="BO36">
        <f t="shared" si="76"/>
        <v>1.25E-3</v>
      </c>
      <c r="BP36">
        <f t="shared" si="77"/>
        <v>0</v>
      </c>
      <c r="BQ36">
        <f t="shared" si="78"/>
        <v>0.99999707503613611</v>
      </c>
    </row>
    <row r="37" spans="1:69" x14ac:dyDescent="0.25">
      <c r="A37" s="1" t="s">
        <v>84</v>
      </c>
      <c r="B37">
        <f t="shared" ca="1" si="2"/>
        <v>239.46220686875628</v>
      </c>
      <c r="C37" t="s">
        <v>188</v>
      </c>
      <c r="D37">
        <f t="shared" si="49"/>
        <v>148</v>
      </c>
      <c r="E37">
        <f t="shared" si="50"/>
        <v>129.21</v>
      </c>
      <c r="F37">
        <f t="shared" si="51"/>
        <v>6.02</v>
      </c>
      <c r="G37">
        <f t="shared" si="52"/>
        <v>1.47</v>
      </c>
      <c r="H37">
        <f t="shared" si="53"/>
        <v>0</v>
      </c>
      <c r="I37">
        <f t="shared" si="54"/>
        <v>3</v>
      </c>
      <c r="J37">
        <f t="shared" si="55"/>
        <v>0.15</v>
      </c>
      <c r="K37">
        <f t="shared" si="56"/>
        <v>0.02</v>
      </c>
      <c r="L37">
        <f t="shared" si="57"/>
        <v>1</v>
      </c>
      <c r="M37">
        <f t="shared" si="0"/>
        <v>0</v>
      </c>
      <c r="N37">
        <f t="shared" si="58"/>
        <v>4</v>
      </c>
      <c r="O37">
        <f t="shared" si="59"/>
        <v>2</v>
      </c>
      <c r="P37">
        <f t="shared" si="5"/>
        <v>46</v>
      </c>
      <c r="Q37">
        <f t="shared" ca="1" si="16"/>
        <v>139.32593100000003</v>
      </c>
      <c r="R37">
        <f t="shared" ca="1" si="17"/>
        <v>22.105345</v>
      </c>
      <c r="S37" t="e">
        <f t="shared" si="18"/>
        <v>#VALUE!</v>
      </c>
      <c r="T37">
        <f t="shared" ca="1" si="19"/>
        <v>1000000</v>
      </c>
      <c r="U37">
        <f t="shared" ca="1" si="20"/>
        <v>100</v>
      </c>
      <c r="V37">
        <f t="shared" si="21"/>
        <v>46</v>
      </c>
      <c r="W37">
        <f t="shared" ca="1" si="22"/>
        <v>136.385931</v>
      </c>
      <c r="X37">
        <f t="shared" ca="1" si="23"/>
        <v>22.105345</v>
      </c>
      <c r="Y37" t="e">
        <f>GetFollowingCarRow($B$45:$E$54,L37,$E$15,E37)</f>
        <v>#VALUE!</v>
      </c>
      <c r="Z37">
        <f t="shared" ca="1" si="24"/>
        <v>1000000000</v>
      </c>
      <c r="AA37">
        <f t="shared" ca="1" si="25"/>
        <v>100</v>
      </c>
      <c r="AB37">
        <f t="shared" si="60"/>
        <v>0.14000000000000057</v>
      </c>
      <c r="AC37">
        <f t="shared" si="61"/>
        <v>2.9400000000000119</v>
      </c>
      <c r="AD37">
        <f t="shared" si="62"/>
        <v>12.172857142857143</v>
      </c>
      <c r="AE37">
        <f t="shared" si="63"/>
        <v>-35.788200000000145</v>
      </c>
      <c r="AF37">
        <f t="shared" si="64"/>
        <v>2.9433314458280213</v>
      </c>
      <c r="AG37">
        <f t="shared" si="65"/>
        <v>14.628735809224255</v>
      </c>
      <c r="AH37">
        <f t="shared" si="32"/>
        <v>0.75306590486955205</v>
      </c>
      <c r="AI37">
        <f>IF(G37&lt;=0,1,0)</f>
        <v>0</v>
      </c>
      <c r="AJ37">
        <f>IF(G37&lt;0,1,0)</f>
        <v>0</v>
      </c>
      <c r="AK37">
        <f>MAX(($B$3-G37)/(G37 + 1),0) / $B$3</f>
        <v>0.37681203661659046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0</v>
      </c>
      <c r="AP37">
        <f>Logistic(I37/$B$5)</f>
        <v>0.18533319990813948</v>
      </c>
      <c r="AQ37">
        <f>IF(I37&gt;$B$5,1,0)</f>
        <v>0</v>
      </c>
      <c r="AR37">
        <f>Logistic(ABS(F37-O37)/($B$6/2))</f>
        <v>0.76368604438146093</v>
      </c>
      <c r="AS37">
        <f>IF(OR(F37&lt;M37,F37&gt;N37),1,0)</f>
        <v>1</v>
      </c>
      <c r="AT37">
        <f>ABS(K37)/$B$4</f>
        <v>2.5000000000000001E-3</v>
      </c>
      <c r="AU37">
        <f t="shared" ca="1" si="33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</v>
      </c>
      <c r="BA37">
        <f t="shared" ca="1" si="34"/>
        <v>0</v>
      </c>
      <c r="BB37">
        <f t="shared" ca="1" si="35"/>
        <v>0</v>
      </c>
      <c r="BC37">
        <f t="shared" si="36"/>
        <v>0</v>
      </c>
      <c r="BE37">
        <f t="shared" si="66"/>
        <v>0.75306590486955205</v>
      </c>
      <c r="BF37">
        <f t="shared" si="67"/>
        <v>0</v>
      </c>
      <c r="BG37">
        <f t="shared" si="68"/>
        <v>0</v>
      </c>
      <c r="BH37">
        <f t="shared" si="69"/>
        <v>0.99932657976538875</v>
      </c>
      <c r="BI37">
        <f t="shared" si="70"/>
        <v>0</v>
      </c>
      <c r="BJ37">
        <f t="shared" si="71"/>
        <v>0</v>
      </c>
      <c r="BK37">
        <f t="shared" si="72"/>
        <v>0</v>
      </c>
      <c r="BL37">
        <f t="shared" si="73"/>
        <v>0</v>
      </c>
      <c r="BM37">
        <f t="shared" si="74"/>
        <v>0.18887560283756183</v>
      </c>
      <c r="BN37">
        <f t="shared" si="75"/>
        <v>0.50499999999999989</v>
      </c>
      <c r="BO37">
        <f t="shared" si="76"/>
        <v>2.5000000000000001E-3</v>
      </c>
      <c r="BP37">
        <f t="shared" si="77"/>
        <v>0</v>
      </c>
      <c r="BQ37">
        <f t="shared" si="78"/>
        <v>0.99999707503613611</v>
      </c>
    </row>
    <row r="38" spans="1:69" x14ac:dyDescent="0.25">
      <c r="A38" s="1" t="s">
        <v>19</v>
      </c>
      <c r="B38">
        <f t="shared" ca="1" si="2"/>
        <v>191.95812011788598</v>
      </c>
      <c r="C38" t="s">
        <v>187</v>
      </c>
      <c r="D38">
        <f t="shared" si="8"/>
        <v>128</v>
      </c>
      <c r="E38">
        <f t="shared" si="9"/>
        <v>151.66999999999999</v>
      </c>
      <c r="F38">
        <f t="shared" si="10"/>
        <v>2.97</v>
      </c>
      <c r="G38">
        <f t="shared" si="11"/>
        <v>30.09</v>
      </c>
      <c r="H38">
        <f t="shared" si="12"/>
        <v>9</v>
      </c>
      <c r="I38">
        <f t="shared" si="13"/>
        <v>6</v>
      </c>
      <c r="J38">
        <f t="shared" si="14"/>
        <v>6.05</v>
      </c>
      <c r="K38">
        <f t="shared" si="15"/>
        <v>0.01</v>
      </c>
      <c r="L38">
        <f t="shared" si="3"/>
        <v>1</v>
      </c>
      <c r="M38">
        <f t="shared" si="0"/>
        <v>0</v>
      </c>
      <c r="N38">
        <f t="shared" si="1"/>
        <v>4</v>
      </c>
      <c r="O38">
        <f t="shared" si="4"/>
        <v>2</v>
      </c>
      <c r="P38">
        <f t="shared" si="5"/>
        <v>46</v>
      </c>
      <c r="Q38">
        <f t="shared" ca="1" si="16"/>
        <v>139.32593100000003</v>
      </c>
      <c r="R38">
        <f t="shared" ca="1" si="17"/>
        <v>22.105345</v>
      </c>
      <c r="S38" t="e">
        <f t="shared" si="18"/>
        <v>#VALUE!</v>
      </c>
      <c r="T38">
        <f t="shared" ca="1" si="19"/>
        <v>1000000</v>
      </c>
      <c r="U38">
        <f t="shared" ca="1" si="20"/>
        <v>100</v>
      </c>
      <c r="V38">
        <f t="shared" si="21"/>
        <v>46</v>
      </c>
      <c r="W38">
        <f t="shared" ca="1" si="22"/>
        <v>113.92593100000002</v>
      </c>
      <c r="X38">
        <f t="shared" ca="1" si="23"/>
        <v>22.105345</v>
      </c>
      <c r="Y38" t="e">
        <f>GetFollowingCarRow($B$45:$E$54,L38,$E$15,E38)</f>
        <v>#VALUE!</v>
      </c>
      <c r="Z38">
        <f t="shared" ca="1" si="24"/>
        <v>1000000000</v>
      </c>
      <c r="AA38">
        <f t="shared" ca="1" si="25"/>
        <v>100</v>
      </c>
      <c r="AB38">
        <f t="shared" si="26"/>
        <v>3.19</v>
      </c>
      <c r="AC38">
        <f t="shared" si="27"/>
        <v>25.399999999999991</v>
      </c>
      <c r="AD38">
        <f t="shared" si="28"/>
        <v>22.018318897637801</v>
      </c>
      <c r="AE38">
        <f t="shared" si="29"/>
        <v>-559.26529999999991</v>
      </c>
      <c r="AF38">
        <f t="shared" si="30"/>
        <v>25.599533198869068</v>
      </c>
      <c r="AG38">
        <f t="shared" si="31"/>
        <v>35.078661111276496</v>
      </c>
      <c r="AH38">
        <f t="shared" si="32"/>
        <v>0.65270670596198999</v>
      </c>
      <c r="AI38">
        <f>IF(G38&lt;=0,1,0)</f>
        <v>0</v>
      </c>
      <c r="AJ38">
        <f>IF(G38&lt;0,1,0)</f>
        <v>0</v>
      </c>
      <c r="AK38">
        <f>MAX(($B$3-G38)/(G38 + 1),0) / $B$3</f>
        <v>0</v>
      </c>
      <c r="AL38">
        <f>IF(H38+ABS(K38)&lt;0,Logistic(SQRT(H38^2+K38^2)/$B$4),0)</f>
        <v>0</v>
      </c>
      <c r="AM38">
        <f>IF(G38&gt;$B$3,1,0)</f>
        <v>1</v>
      </c>
      <c r="AN38">
        <f>IF(H38&gt;$B$4,1,0)</f>
        <v>1</v>
      </c>
      <c r="AO38">
        <f>ABS(H38)/$B$4</f>
        <v>1.125</v>
      </c>
      <c r="AP38">
        <f>Logistic(I38/$B$5)</f>
        <v>0.35835739835078595</v>
      </c>
      <c r="AQ38">
        <f>IF(I38&gt;$B$5,1,0)</f>
        <v>0</v>
      </c>
      <c r="AR38">
        <f>Logistic(ABS(F38-O38)/($B$6/2))</f>
        <v>0.23785570960038072</v>
      </c>
      <c r="AS38">
        <f>IF(OR(F38&lt;M38,F38&gt;N38),1,0)</f>
        <v>0</v>
      </c>
      <c r="AT38">
        <f>ABS(K38)/$B$4</f>
        <v>1.25E-3</v>
      </c>
      <c r="AU38">
        <f t="shared" ca="1" si="33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34"/>
        <v>0</v>
      </c>
      <c r="BB38">
        <f t="shared" ca="1" si="35"/>
        <v>0</v>
      </c>
      <c r="BC38">
        <f t="shared" si="36"/>
        <v>0</v>
      </c>
      <c r="BE38">
        <f t="shared" si="37"/>
        <v>0.65270670596198999</v>
      </c>
      <c r="BF38">
        <f t="shared" si="38"/>
        <v>0</v>
      </c>
      <c r="BG38">
        <f t="shared" si="39"/>
        <v>0</v>
      </c>
      <c r="BH38">
        <f t="shared" si="40"/>
        <v>-0.14169057796220416</v>
      </c>
      <c r="BI38">
        <f t="shared" si="41"/>
        <v>1</v>
      </c>
      <c r="BJ38">
        <f t="shared" si="42"/>
        <v>1</v>
      </c>
      <c r="BK38">
        <f t="shared" si="43"/>
        <v>1.1175190687418637</v>
      </c>
      <c r="BL38">
        <f t="shared" si="44"/>
        <v>0</v>
      </c>
      <c r="BM38">
        <f t="shared" si="45"/>
        <v>0.71653131057378927</v>
      </c>
      <c r="BN38">
        <f t="shared" si="46"/>
        <v>0</v>
      </c>
      <c r="BO38">
        <f t="shared" si="47"/>
        <v>1.25E-3</v>
      </c>
      <c r="BP38">
        <f t="shared" si="7"/>
        <v>0.50982997373525663</v>
      </c>
      <c r="BQ38">
        <f t="shared" si="48"/>
        <v>-0.14633303754320515</v>
      </c>
    </row>
    <row r="39" spans="1:69" x14ac:dyDescent="0.25">
      <c r="A39" s="1" t="s">
        <v>18</v>
      </c>
      <c r="B39">
        <f t="shared" ca="1" si="2"/>
        <v>191.8507279086312</v>
      </c>
      <c r="C39" t="s">
        <v>186</v>
      </c>
      <c r="D39">
        <f t="shared" si="8"/>
        <v>122</v>
      </c>
      <c r="E39">
        <f t="shared" si="9"/>
        <v>148.16</v>
      </c>
      <c r="F39">
        <f t="shared" si="10"/>
        <v>2.93</v>
      </c>
      <c r="G39">
        <f t="shared" si="11"/>
        <v>27.93</v>
      </c>
      <c r="H39">
        <f t="shared" si="12"/>
        <v>9</v>
      </c>
      <c r="I39">
        <f t="shared" si="13"/>
        <v>6</v>
      </c>
      <c r="J39">
        <f t="shared" si="14"/>
        <v>6.29</v>
      </c>
      <c r="K39">
        <f t="shared" si="15"/>
        <v>0.01</v>
      </c>
      <c r="L39">
        <f t="shared" si="3"/>
        <v>1</v>
      </c>
      <c r="M39">
        <f t="shared" si="0"/>
        <v>0</v>
      </c>
      <c r="N39">
        <f t="shared" si="1"/>
        <v>4</v>
      </c>
      <c r="O39">
        <f t="shared" si="4"/>
        <v>2</v>
      </c>
      <c r="P39">
        <f t="shared" si="5"/>
        <v>46</v>
      </c>
      <c r="Q39">
        <f t="shared" ca="1" si="16"/>
        <v>139.32593100000003</v>
      </c>
      <c r="R39">
        <f t="shared" ca="1" si="17"/>
        <v>22.105345</v>
      </c>
      <c r="S39" t="e">
        <f t="shared" si="18"/>
        <v>#VALUE!</v>
      </c>
      <c r="T39">
        <f t="shared" ca="1" si="19"/>
        <v>1000000</v>
      </c>
      <c r="U39">
        <f t="shared" ca="1" si="20"/>
        <v>100</v>
      </c>
      <c r="V39">
        <f t="shared" si="21"/>
        <v>46</v>
      </c>
      <c r="W39">
        <f t="shared" ca="1" si="22"/>
        <v>117.43593100000001</v>
      </c>
      <c r="X39">
        <f t="shared" ca="1" si="23"/>
        <v>22.105345</v>
      </c>
      <c r="Y39" t="e">
        <f>GetFollowingCarRow($B$45:$E$54,L39,$E$15,E39)</f>
        <v>#VALUE!</v>
      </c>
      <c r="Z39">
        <f t="shared" ca="1" si="24"/>
        <v>1000000000</v>
      </c>
      <c r="AA39">
        <f t="shared" ca="1" si="25"/>
        <v>100</v>
      </c>
      <c r="AB39">
        <f t="shared" si="26"/>
        <v>3.23</v>
      </c>
      <c r="AC39">
        <f t="shared" si="27"/>
        <v>21.89</v>
      </c>
      <c r="AD39">
        <f t="shared" si="28"/>
        <v>24.79189127455459</v>
      </c>
      <c r="AE39">
        <f t="shared" si="29"/>
        <v>-542.69449999999995</v>
      </c>
      <c r="AF39">
        <f t="shared" si="30"/>
        <v>22.127019681827917</v>
      </c>
      <c r="AG39">
        <f t="shared" si="31"/>
        <v>40.746951759637881</v>
      </c>
      <c r="AH39">
        <f t="shared" si="32"/>
        <v>0.61690930287706502</v>
      </c>
      <c r="AI39">
        <f>IF(G39&lt;=0,1,0)</f>
        <v>0</v>
      </c>
      <c r="AJ39">
        <f>IF(G39&lt;0,1,0)</f>
        <v>0</v>
      </c>
      <c r="AK39">
        <f>MAX(($B$3-G39)/(G39 + 1),0) / $B$3</f>
        <v>0</v>
      </c>
      <c r="AL39">
        <f>IF(H39+ABS(K39)&lt;0,Logistic(SQRT(H39^2+K39^2)/$B$4),0)</f>
        <v>0</v>
      </c>
      <c r="AM39">
        <f>IF(G39&gt;$B$3,1,0)</f>
        <v>1</v>
      </c>
      <c r="AN39">
        <f>IF(H39&gt;$B$4,1,0)</f>
        <v>1</v>
      </c>
      <c r="AO39">
        <f>ABS(H39)/$B$4</f>
        <v>1.125</v>
      </c>
      <c r="AP39">
        <f>Logistic(I39/$B$5)</f>
        <v>0.35835739835078595</v>
      </c>
      <c r="AQ39">
        <f>IF(I39&gt;$B$5,1,0)</f>
        <v>0</v>
      </c>
      <c r="AR39">
        <f>Logistic(ABS(F39-O39)/($B$6/2))</f>
        <v>0.22839928555379033</v>
      </c>
      <c r="AS39">
        <f>IF(OR(F39&lt;M39,F39&gt;N39),1,0)</f>
        <v>0</v>
      </c>
      <c r="AT39">
        <f>ABS(K39)/$B$4</f>
        <v>1.25E-3</v>
      </c>
      <c r="AU39">
        <f t="shared" ca="1" si="33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</v>
      </c>
      <c r="BA39">
        <f t="shared" ca="1" si="34"/>
        <v>0</v>
      </c>
      <c r="BB39">
        <f t="shared" ca="1" si="35"/>
        <v>0</v>
      </c>
      <c r="BC39">
        <f t="shared" si="36"/>
        <v>0</v>
      </c>
      <c r="BE39">
        <f t="shared" si="37"/>
        <v>0.61690930287706502</v>
      </c>
      <c r="BF39">
        <f t="shared" si="38"/>
        <v>0</v>
      </c>
      <c r="BG39">
        <f t="shared" si="39"/>
        <v>0</v>
      </c>
      <c r="BH39">
        <f t="shared" si="40"/>
        <v>-0.1154524739266327</v>
      </c>
      <c r="BI39">
        <f t="shared" si="41"/>
        <v>1</v>
      </c>
      <c r="BJ39">
        <f t="shared" si="42"/>
        <v>1</v>
      </c>
      <c r="BK39">
        <f t="shared" si="43"/>
        <v>1.1175190687418637</v>
      </c>
      <c r="BL39">
        <f t="shared" si="44"/>
        <v>0</v>
      </c>
      <c r="BM39">
        <f t="shared" si="45"/>
        <v>0.71653131057378927</v>
      </c>
      <c r="BN39">
        <f t="shared" si="46"/>
        <v>0</v>
      </c>
      <c r="BO39">
        <f t="shared" si="47"/>
        <v>1.25E-3</v>
      </c>
      <c r="BP39">
        <f t="shared" si="7"/>
        <v>0.50982997373525663</v>
      </c>
      <c r="BQ39">
        <f t="shared" si="48"/>
        <v>-0.11954729343121437</v>
      </c>
    </row>
    <row r="40" spans="1:69" x14ac:dyDescent="0.25">
      <c r="A40" s="1" t="s">
        <v>17</v>
      </c>
      <c r="B40">
        <f t="shared" ca="1" si="2"/>
        <v>191.63238129656071</v>
      </c>
      <c r="C40" t="s">
        <v>185</v>
      </c>
      <c r="D40">
        <f t="shared" si="8"/>
        <v>111</v>
      </c>
      <c r="E40">
        <f t="shared" si="9"/>
        <v>142.41</v>
      </c>
      <c r="F40">
        <f t="shared" si="10"/>
        <v>2.92</v>
      </c>
      <c r="G40">
        <f t="shared" si="11"/>
        <v>23.97</v>
      </c>
      <c r="H40">
        <f t="shared" si="12"/>
        <v>9</v>
      </c>
      <c r="I40">
        <f t="shared" si="13"/>
        <v>6</v>
      </c>
      <c r="J40">
        <f t="shared" si="14"/>
        <v>7.07</v>
      </c>
      <c r="K40">
        <f t="shared" si="15"/>
        <v>0.02</v>
      </c>
      <c r="L40">
        <f t="shared" si="3"/>
        <v>1</v>
      </c>
      <c r="M40">
        <f t="shared" si="0"/>
        <v>0</v>
      </c>
      <c r="N40">
        <f t="shared" si="1"/>
        <v>4</v>
      </c>
      <c r="O40">
        <f t="shared" si="4"/>
        <v>2</v>
      </c>
      <c r="P40">
        <f t="shared" si="5"/>
        <v>46</v>
      </c>
      <c r="Q40">
        <f t="shared" ca="1" si="16"/>
        <v>139.32593100000003</v>
      </c>
      <c r="R40">
        <f t="shared" ca="1" si="17"/>
        <v>22.105345</v>
      </c>
      <c r="S40" t="e">
        <f t="shared" si="18"/>
        <v>#VALUE!</v>
      </c>
      <c r="T40">
        <f t="shared" ca="1" si="19"/>
        <v>1000000</v>
      </c>
      <c r="U40">
        <f t="shared" ca="1" si="20"/>
        <v>100</v>
      </c>
      <c r="V40">
        <f t="shared" si="21"/>
        <v>46</v>
      </c>
      <c r="W40">
        <f t="shared" ca="1" si="22"/>
        <v>123.18593100000001</v>
      </c>
      <c r="X40">
        <f t="shared" ca="1" si="23"/>
        <v>22.105345</v>
      </c>
      <c r="Y40" t="e">
        <f>GetFollowingCarRow($B$45:$E$54,L40,$E$15,E40)</f>
        <v>#VALUE!</v>
      </c>
      <c r="Z40">
        <f t="shared" ca="1" si="24"/>
        <v>1000000000</v>
      </c>
      <c r="AA40">
        <f t="shared" ca="1" si="25"/>
        <v>100</v>
      </c>
      <c r="AB40">
        <f t="shared" si="26"/>
        <v>3.24</v>
      </c>
      <c r="AC40">
        <f t="shared" si="27"/>
        <v>16.14</v>
      </c>
      <c r="AD40">
        <f t="shared" si="28"/>
        <v>31.507881040892194</v>
      </c>
      <c r="AE40">
        <f t="shared" si="29"/>
        <v>-508.53720000000004</v>
      </c>
      <c r="AF40">
        <f t="shared" si="30"/>
        <v>16.461992588991166</v>
      </c>
      <c r="AG40">
        <f t="shared" si="31"/>
        <v>54.23260324008637</v>
      </c>
      <c r="AH40">
        <f t="shared" si="32"/>
        <v>0.54412709885356747</v>
      </c>
      <c r="AI40">
        <f>IF(G40&lt;=0,1,0)</f>
        <v>0</v>
      </c>
      <c r="AJ40">
        <f>IF(G40&lt;0,1,0)</f>
        <v>0</v>
      </c>
      <c r="AK40">
        <f>MAX(($B$3-G40)/(G40 + 1),0) / $B$3</f>
        <v>0</v>
      </c>
      <c r="AL40">
        <f>IF(H40+ABS(K40)&lt;0,Logistic(SQRT(H40^2+K40^2)/$B$4),0)</f>
        <v>0</v>
      </c>
      <c r="AM40">
        <f>IF(G40&gt;$B$3,1,0)</f>
        <v>1</v>
      </c>
      <c r="AN40">
        <f>IF(H40&gt;$B$4,1,0)</f>
        <v>1</v>
      </c>
      <c r="AO40">
        <f>ABS(H40)/$B$4</f>
        <v>1.125</v>
      </c>
      <c r="AP40">
        <f>Logistic(I40/$B$5)</f>
        <v>0.35835739835078595</v>
      </c>
      <c r="AQ40">
        <f>IF(I40&gt;$B$5,1,0)</f>
        <v>0</v>
      </c>
      <c r="AR40">
        <f>Logistic(ABS(F40-O40)/($B$6/2))</f>
        <v>0.22602835227867096</v>
      </c>
      <c r="AS40">
        <f>IF(OR(F40&lt;M40,F40&gt;N40),1,0)</f>
        <v>0</v>
      </c>
      <c r="AT40">
        <f>ABS(K40)/$B$4</f>
        <v>2.5000000000000001E-3</v>
      </c>
      <c r="AU40">
        <f t="shared" ca="1" si="33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</v>
      </c>
      <c r="BA40">
        <f t="shared" ca="1" si="34"/>
        <v>0</v>
      </c>
      <c r="BB40">
        <f t="shared" ca="1" si="35"/>
        <v>0</v>
      </c>
      <c r="BC40">
        <f t="shared" si="36"/>
        <v>0</v>
      </c>
      <c r="BE40">
        <f t="shared" si="37"/>
        <v>0.54412709885356747</v>
      </c>
      <c r="BF40">
        <f t="shared" si="38"/>
        <v>0</v>
      </c>
      <c r="BG40">
        <f t="shared" si="39"/>
        <v>0</v>
      </c>
      <c r="BH40">
        <f t="shared" si="40"/>
        <v>-5.5010488257610235E-2</v>
      </c>
      <c r="BI40">
        <f t="shared" si="41"/>
        <v>1</v>
      </c>
      <c r="BJ40">
        <f t="shared" si="42"/>
        <v>1</v>
      </c>
      <c r="BK40">
        <f t="shared" si="43"/>
        <v>1.1175190687418637</v>
      </c>
      <c r="BL40">
        <f t="shared" si="44"/>
        <v>0</v>
      </c>
      <c r="BM40">
        <f t="shared" si="45"/>
        <v>0.71653131057378927</v>
      </c>
      <c r="BN40">
        <f t="shared" si="46"/>
        <v>0</v>
      </c>
      <c r="BO40">
        <f t="shared" si="47"/>
        <v>2.5000000000000001E-3</v>
      </c>
      <c r="BP40">
        <f t="shared" si="7"/>
        <v>0.50982997373525663</v>
      </c>
      <c r="BQ40">
        <f t="shared" si="48"/>
        <v>-5.7300534451522778E-2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296.92046699999997</v>
      </c>
      <c r="C45">
        <v>2.0000589999999998</v>
      </c>
      <c r="D45">
        <v>22.039445000000001</v>
      </c>
      <c r="E45">
        <v>1</v>
      </c>
    </row>
    <row r="46" spans="1:69" x14ac:dyDescent="0.25">
      <c r="B46">
        <v>265.59593100000001</v>
      </c>
      <c r="C46">
        <v>1.997887</v>
      </c>
      <c r="D46">
        <v>22.105345</v>
      </c>
      <c r="E46">
        <v>1</v>
      </c>
    </row>
    <row r="47" spans="1:69" x14ac:dyDescent="0.25">
      <c r="B47">
        <v>295.47113200000001</v>
      </c>
      <c r="C47">
        <v>10.00165</v>
      </c>
      <c r="D47">
        <v>20.165554</v>
      </c>
      <c r="E47">
        <v>3</v>
      </c>
    </row>
  </sheetData>
  <mergeCells count="4">
    <mergeCell ref="A1:B1"/>
    <mergeCell ref="BE12:BO12"/>
    <mergeCell ref="B43:E43"/>
    <mergeCell ref="AH12:BB12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92D050"/>
  </sheetPr>
  <dimension ref="A1:BQ46"/>
  <sheetViews>
    <sheetView topLeftCell="A11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1406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12" t="s">
        <v>183</v>
      </c>
      <c r="B12">
        <f ca="1">INDEX(A16:F40,MATCH(MIN(B16:B40),B16:B40,0),5)</f>
        <v>126.31</v>
      </c>
      <c r="C12">
        <f ca="1">INDEX(A16:F40,MATCH(MIN(B16:B40),B16:B40,0),6)</f>
        <v>6.18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3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210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126.27</v>
      </c>
      <c r="F15">
        <f>VALUE(MID(C15,FIND("d[",C15)+2,FIND("]",C15,FIND("d[",C15))-(FIND("d[",C15)+2)))</f>
        <v>6.16</v>
      </c>
      <c r="G15">
        <f>VALUE(MID(C15,FIND("s_dot[",C15)+6,FIND("]",C15,FIND("s_dot[",C15))-(FIND("s_dot[",C15)+6)))</f>
        <v>1.47</v>
      </c>
      <c r="H15">
        <f>VALUE(MID(C15,FIND("s_dot2[",C15)+7,FIND("]",C15,FIND("s_dot2[",C15))-(FIND("s_dot2[",C15)+7)))</f>
        <v>1.5</v>
      </c>
      <c r="I15">
        <f>VALUE(MID(C15,FIND("s_dot3[",C15)+7,FIND("]",C15,FIND("s_dot3[",C15))-(FIND("s_dot3[",C15)+7)))</f>
        <v>1.5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1" si="0">$B$6*(L15-1)</f>
        <v>4</v>
      </c>
      <c r="N15">
        <f t="shared" ref="N15:N31" si="1">$B$6*L15</f>
        <v>8</v>
      </c>
      <c r="O15">
        <f>(N15+M15)/2</f>
        <v>6</v>
      </c>
      <c r="P15" t="e">
        <f>GetLeadingCarRow($B$45:$E$56,L15,$E$15, $E$15)</f>
        <v>#VALUE!</v>
      </c>
      <c r="Q15">
        <f ca="1">IFERROR(INDIRECT(CONCATENATE("B", P15))-$E$15,1000000)</f>
        <v>1000000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101.71159946556948</v>
      </c>
      <c r="C16" t="s">
        <v>235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126.3</v>
      </c>
      <c r="F16">
        <f>VALUE(MID(C16,FIND("d[",C16)+2,FIND("]",C16,FIND("d[",C16))-(FIND("d[",C16)+2)))</f>
        <v>6.18</v>
      </c>
      <c r="G16">
        <f>VALUE(MID(C16,FIND("s_dot[",C16)+6,FIND("]",C16,FIND("s_dot[",C16))-(FIND("s_dot[",C16)+6)))</f>
        <v>1.49</v>
      </c>
      <c r="H16">
        <f>VALUE(MID(C16,FIND("s_dot2[",C16)+7,FIND("]",C16,FIND("s_dot2[",C16))-(FIND("s_dot2[",C16)+7)))</f>
        <v>1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 t="e">
        <f t="shared" ref="P16:P40" si="5">GetLeadingCarRow($B$45:$E$56,L16,$E$15, $E$15)</f>
        <v>#VALUE!</v>
      </c>
      <c r="Q16">
        <f ca="1">IFERROR(INDIRECT(CONCATENATE("B", P16))-$E$15,1000000)</f>
        <v>1000000</v>
      </c>
      <c r="R16">
        <f ca="1">IFERROR(INDIRECT(CONCATENATE("D", P16)),100)</f>
        <v>100</v>
      </c>
      <c r="S16">
        <f>GetFollowingCarRow($B$45:$E$56,L16,$E$15, $E$15)</f>
        <v>46</v>
      </c>
      <c r="T16">
        <f ca="1">IFERROR(INDIRECT(CONCATENATE("B", S16))-$E$15,1000000)</f>
        <v>-37.988057999999995</v>
      </c>
      <c r="U16">
        <f ca="1">IFERROR(INDIRECT(CONCATENATE("D", S16)),100)</f>
        <v>24.651617000000002</v>
      </c>
      <c r="V16" t="e">
        <f>GetLeadingCarRow($B$45:$E$56,L16,$E$15,E16)</f>
        <v>#VALUE!</v>
      </c>
      <c r="W16">
        <f ca="1">IFERROR(INDIRECT(CONCATENATE("B", V16))-E16,1000000000)</f>
        <v>1000000000</v>
      </c>
      <c r="X16">
        <f ca="1">IFERROR(INDIRECT(CONCATENATE("D", V16)),100)</f>
        <v>100</v>
      </c>
      <c r="Y16">
        <f>GetFollowingCarRow($B$45:$E$56,L16,$E$15,E16)</f>
        <v>46</v>
      </c>
      <c r="Z16">
        <f ca="1">IFERROR(INDIRECT(CONCATENATE("B", Y16))-E16,1000000000)</f>
        <v>-38.018057999999996</v>
      </c>
      <c r="AA16">
        <f ca="1">IFERROR(INDIRECT(CONCATENATE("D", Y16)),100)</f>
        <v>24.651617000000002</v>
      </c>
      <c r="AB16">
        <f>$F$15-F16</f>
        <v>-1.9999999999999574E-2</v>
      </c>
      <c r="AC16">
        <f>E16-$E$15</f>
        <v>3.0000000000001137E-2</v>
      </c>
      <c r="AD16">
        <f>$F$15-(-AB16/AC16)*$E$15</f>
        <v>-78.019999999995022</v>
      </c>
      <c r="AE16">
        <f>AD16*-AC16</f>
        <v>2.3405999999999394</v>
      </c>
      <c r="AF16">
        <f>SQRT(AB16^2+AC16^2)</f>
        <v>3.6055512754640605E-2</v>
      </c>
      <c r="AG16">
        <f>GetSmallestNormalDistance($B$45:$E$56,AB16,AC16,AF16,$L$15,L16)</f>
        <v>43.98233831235283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0.37340691701774104</v>
      </c>
      <c r="AL16">
        <f>IF(H16+ABS(K16)&lt;0,Logistic(SQRT(H16^2+K16^2)/$B$4),0)</f>
        <v>0</v>
      </c>
      <c r="AM16">
        <f>IF(G16&gt;$B$3,1,0)</f>
        <v>0</v>
      </c>
      <c r="AN16">
        <f>IF(H16&gt;$B$4,1,0)</f>
        <v>0</v>
      </c>
      <c r="AO16">
        <f>ABS(H16)/$B$4</f>
        <v>0.125</v>
      </c>
      <c r="AP16">
        <f>Logistic(I16/$B$5)</f>
        <v>0.12435300177159621</v>
      </c>
      <c r="AQ16">
        <f>IF(I16&gt;$B$5,1,0)</f>
        <v>0</v>
      </c>
      <c r="AR16">
        <f>Logistic(ABS(F16-O16)/($B$6/2))</f>
        <v>4.4969649583600189E-2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0.83598702111342238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0.83585749647790142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1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1" si="8">Logistic(($B$3-G16)/(G16+1))</f>
        <v>0.99927613785787628</v>
      </c>
      <c r="BI16">
        <f t="shared" ref="BI16:BI31" si="9">IF(G16&gt;$B$3,1,0)</f>
        <v>0</v>
      </c>
      <c r="BJ16">
        <f t="shared" ref="BJ16:BJ31" si="10">IF(H16&gt;$B$5,1,0)</f>
        <v>0</v>
      </c>
      <c r="BK16">
        <f t="shared" ref="BK16:BK31" si="11">EXP(-($B$4-ABS(H16))/MAX(ABS(H16),0.000000001))</f>
        <v>9.1188196555451624E-4</v>
      </c>
      <c r="BL16">
        <f>IF(G16&lt;ABS(H16),1,0)</f>
        <v>0</v>
      </c>
      <c r="BM16">
        <f t="shared" ref="BM16:BM31" si="12">EXP(-($B$5-I16)/MAX(I16,0.000000001))</f>
        <v>4.9787068367863944E-2</v>
      </c>
      <c r="BN16">
        <f t="shared" ref="BN16:BN31" si="13">IF(F16&gt;N16,(F16-N16)/$B$6,0)+IF(F16&lt;M16,(M16-F16)/$B$6,0)</f>
        <v>0</v>
      </c>
      <c r="BO16">
        <f t="shared" ref="BO16:BO31" si="14">ABS(K16/$B$4)</f>
        <v>0</v>
      </c>
      <c r="BP16">
        <f t="shared" ref="BP16:BP31" si="15">Logistic(ABS(H16)/$B$4)</f>
        <v>6.2418746747512487E-2</v>
      </c>
      <c r="BQ16">
        <f t="shared" ref="BQ16:BQ31" si="16">Logistic(($B$3-G16)/G16)</f>
        <v>0.99999644965342638</v>
      </c>
    </row>
    <row r="17" spans="1:69" x14ac:dyDescent="0.25">
      <c r="A17" s="1" t="s">
        <v>15</v>
      </c>
      <c r="B17">
        <f t="shared" ca="1" si="2"/>
        <v>100.8724683073273</v>
      </c>
      <c r="C17" t="s">
        <v>234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126.3</v>
      </c>
      <c r="F17">
        <f t="shared" ref="F17:F40" si="19">VALUE(MID(C17,FIND("d[",C17)+2,FIND("]",C17,FIND("d[",C17))-(FIND("d[",C17)+2)))</f>
        <v>6.18</v>
      </c>
      <c r="G17">
        <f t="shared" ref="G17:G40" si="20">VALUE(MID(C17,FIND("s_dot[",C17)+6,FIND("]",C17,FIND("s_dot[",C17))-(FIND("s_dot[",C17)+6)))</f>
        <v>1.51</v>
      </c>
      <c r="H17">
        <f t="shared" ref="H17:H40" si="21">VALUE(MID(C17,FIND("s_dot2[",C17)+7,FIND("]",C17,FIND("s_dot2[",C17))-(FIND("s_dot2[",C17)+7)))</f>
        <v>2</v>
      </c>
      <c r="I17">
        <f t="shared" ref="I17:I40" si="22">VALUE(MID(C17,FIND("s_dot3[",C17)+7,FIND("]",C17,FIND("s_dot3[",C17))-(FIND("s_dot3[",C17)+7)))</f>
        <v>1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 t="e">
        <f t="shared" si="5"/>
        <v>#VALUE!</v>
      </c>
      <c r="Q17">
        <f t="shared" ref="Q17:Q40" ca="1" si="25">IFERROR(INDIRECT(CONCATENATE("B", P17))-$E$15,1000000)</f>
        <v>1000000</v>
      </c>
      <c r="R17">
        <f t="shared" ref="R17:R40" ca="1" si="26">IFERROR(INDIRECT(CONCATENATE("D", P17)),100)</f>
        <v>100</v>
      </c>
      <c r="S17">
        <f t="shared" ref="S17:S40" si="27">GetFollowingCarRow($B$45:$E$56,L17,$E$15, $E$15)</f>
        <v>46</v>
      </c>
      <c r="T17">
        <f t="shared" ref="T17:T40" ca="1" si="28">IFERROR(INDIRECT(CONCATENATE("B", S17))-$E$15,1000000)</f>
        <v>-37.988057999999995</v>
      </c>
      <c r="U17">
        <f t="shared" ref="U17:U40" ca="1" si="29">IFERROR(INDIRECT(CONCATENATE("D", S17)),100)</f>
        <v>24.651617000000002</v>
      </c>
      <c r="V17" t="e">
        <f t="shared" ref="V17:V40" si="30">GetLeadingCarRow($B$45:$E$56,L17,$E$15,E17)</f>
        <v>#VALUE!</v>
      </c>
      <c r="W17">
        <f t="shared" ref="W17:W40" ca="1" si="31">IFERROR(INDIRECT(CONCATENATE("B", V17))-E17,1000000000)</f>
        <v>1000000000</v>
      </c>
      <c r="X17">
        <f t="shared" ref="X17:X40" ca="1" si="32">IFERROR(INDIRECT(CONCATENATE("D", V17)),100)</f>
        <v>100</v>
      </c>
      <c r="Y17">
        <f>GetFollowingCarRow($B$45:$E$54,L17,$E$15,E17)</f>
        <v>46</v>
      </c>
      <c r="Z17">
        <f t="shared" ref="Z17:Z40" ca="1" si="33">IFERROR(INDIRECT(CONCATENATE("B", Y17))-E17,1000000000)</f>
        <v>-38.018057999999996</v>
      </c>
      <c r="AA17">
        <f t="shared" ref="AA17:AA40" ca="1" si="34">IFERROR(INDIRECT(CONCATENATE("D", Y17)),100)</f>
        <v>24.651617000000002</v>
      </c>
      <c r="AB17">
        <f t="shared" ref="AB17:AB40" si="35">$F$15-F17</f>
        <v>-1.9999999999999574E-2</v>
      </c>
      <c r="AC17">
        <f t="shared" ref="AC17:AC40" si="36">E17-$E$15</f>
        <v>3.0000000000001137E-2</v>
      </c>
      <c r="AD17">
        <f t="shared" ref="AD17:AD40" si="37">$F$15-(-AB17/AC17)*$E$15</f>
        <v>-78.019999999995022</v>
      </c>
      <c r="AE17">
        <f t="shared" ref="AE17:AE40" si="38">AD17*-AC17</f>
        <v>2.3405999999999394</v>
      </c>
      <c r="AF17">
        <f t="shared" ref="AF17:AF40" si="39">SQRT(AB17^2+AC17^2)</f>
        <v>3.6055512754640605E-2</v>
      </c>
      <c r="AG17">
        <f t="shared" ref="AG17:AG40" si="40">GetSmallestNormalDistance($B$45:$E$56,AB17,AC17,AF17,$L$15,L17)</f>
        <v>43.98233831235283</v>
      </c>
      <c r="AH17">
        <f t="shared" ref="AH17:AH40" si="41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0.37005606227305665</v>
      </c>
      <c r="AL17">
        <f>IF(H17+ABS(K17)&lt;0,Logistic(SQRT(H17^2+K17^2)/$B$4),0)</f>
        <v>0</v>
      </c>
      <c r="AM17">
        <f>IF(G17&gt;$B$3,1,0)</f>
        <v>0</v>
      </c>
      <c r="AN17">
        <f>IF(H17&gt;$B$4,1,0)</f>
        <v>0</v>
      </c>
      <c r="AO17">
        <f>ABS(H17)/$B$4</f>
        <v>0.25</v>
      </c>
      <c r="AP17">
        <f>Logistic(I17/$B$5)</f>
        <v>6.2418746747512487E-2</v>
      </c>
      <c r="AQ17">
        <f>IF(I17&gt;$B$5,1,0)</f>
        <v>0</v>
      </c>
      <c r="AR17">
        <f>Logistic(ABS(F17-O17)/($B$6/2))</f>
        <v>4.4969649583600189E-2</v>
      </c>
      <c r="AS17">
        <f>IF(OR(F17&lt;M17,F17&gt;N17),1,0)</f>
        <v>0</v>
      </c>
      <c r="AT17">
        <f>ABS(K17)/$B$4</f>
        <v>0</v>
      </c>
      <c r="AU17">
        <f t="shared" ref="AU17:AU40" ca="1" si="42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0.83584527390631347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0.83571563732992382</v>
      </c>
      <c r="BA17">
        <f t="shared" ref="BA17:BA40" ca="1" si="43">IF(OR(ABS(Q17)&lt;$B$8,ABS(W17)&lt;$B$8),1,0)</f>
        <v>0</v>
      </c>
      <c r="BB17">
        <f t="shared" ref="BB17:BB40" ca="1" si="44">IF(OR(ABS(T17)&lt;$B$8,ABS(Z17)&lt;$B$8),1,0)</f>
        <v>0</v>
      </c>
      <c r="BC17">
        <f t="shared" ref="BC17:BC40" si="45">IFERROR(IF(P17=Y17,1,0),0)</f>
        <v>0</v>
      </c>
      <c r="BE17">
        <f t="shared" si="7"/>
        <v>0</v>
      </c>
      <c r="BF17">
        <f t="shared" ref="BF17:BF40" si="46">IF(G17&lt;=0,1,0)</f>
        <v>0</v>
      </c>
      <c r="BG17">
        <f t="shared" ref="BG17:BG40" si="47">IF(G17&lt;0,1,0)</f>
        <v>0</v>
      </c>
      <c r="BH17">
        <f t="shared" si="8"/>
        <v>0.99922281421394721</v>
      </c>
      <c r="BI17">
        <f t="shared" si="9"/>
        <v>0</v>
      </c>
      <c r="BJ17">
        <f t="shared" si="10"/>
        <v>0</v>
      </c>
      <c r="BK17">
        <f t="shared" si="11"/>
        <v>4.9787068367863944E-2</v>
      </c>
      <c r="BL17">
        <f t="shared" ref="BL17:BL40" si="48">IF(G17&lt;ABS(H17),1,0)</f>
        <v>1</v>
      </c>
      <c r="BM17">
        <f t="shared" si="12"/>
        <v>9.1188196555451624E-4</v>
      </c>
      <c r="BN17">
        <f t="shared" si="13"/>
        <v>0</v>
      </c>
      <c r="BO17">
        <f t="shared" si="14"/>
        <v>0</v>
      </c>
      <c r="BP17">
        <f t="shared" si="15"/>
        <v>0.12435300177159621</v>
      </c>
      <c r="BQ17">
        <f t="shared" si="16"/>
        <v>0.9999957126215494</v>
      </c>
    </row>
    <row r="18" spans="1:69" x14ac:dyDescent="0.25">
      <c r="A18" s="1" t="s">
        <v>14</v>
      </c>
      <c r="B18">
        <f t="shared" ca="1" si="2"/>
        <v>99.638502610434955</v>
      </c>
      <c r="C18" t="s">
        <v>233</v>
      </c>
      <c r="D18">
        <f t="shared" si="17"/>
        <v>50</v>
      </c>
      <c r="E18">
        <f t="shared" si="18"/>
        <v>126.3</v>
      </c>
      <c r="F18">
        <f t="shared" si="19"/>
        <v>6.18</v>
      </c>
      <c r="G18">
        <f t="shared" si="20"/>
        <v>1.54</v>
      </c>
      <c r="H18">
        <f t="shared" si="21"/>
        <v>3.5</v>
      </c>
      <c r="I18">
        <f t="shared" si="22"/>
        <v>0.5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 t="e">
        <f t="shared" si="5"/>
        <v>#VALUE!</v>
      </c>
      <c r="Q18">
        <f t="shared" ca="1" si="25"/>
        <v>1000000</v>
      </c>
      <c r="R18">
        <f t="shared" ca="1" si="26"/>
        <v>100</v>
      </c>
      <c r="S18">
        <f t="shared" si="27"/>
        <v>46</v>
      </c>
      <c r="T18">
        <f t="shared" ca="1" si="28"/>
        <v>-37.988057999999995</v>
      </c>
      <c r="U18">
        <f t="shared" ca="1" si="29"/>
        <v>24.651617000000002</v>
      </c>
      <c r="V18" t="e">
        <f t="shared" si="30"/>
        <v>#VALUE!</v>
      </c>
      <c r="W18">
        <f t="shared" ca="1" si="31"/>
        <v>1000000000</v>
      </c>
      <c r="X18">
        <f t="shared" ca="1" si="32"/>
        <v>100</v>
      </c>
      <c r="Y18">
        <f>GetFollowingCarRow($B$45:$E$54,L18,$E$15,E18)</f>
        <v>46</v>
      </c>
      <c r="Z18">
        <f t="shared" ca="1" si="33"/>
        <v>-38.018057999999996</v>
      </c>
      <c r="AA18">
        <f t="shared" ca="1" si="34"/>
        <v>24.651617000000002</v>
      </c>
      <c r="AB18">
        <f t="shared" si="35"/>
        <v>-1.9999999999999574E-2</v>
      </c>
      <c r="AC18">
        <f t="shared" si="36"/>
        <v>3.0000000000001137E-2</v>
      </c>
      <c r="AD18">
        <f t="shared" si="37"/>
        <v>-78.019999999995022</v>
      </c>
      <c r="AE18">
        <f t="shared" si="38"/>
        <v>2.3405999999999394</v>
      </c>
      <c r="AF18">
        <f t="shared" si="39"/>
        <v>3.6055512754640605E-2</v>
      </c>
      <c r="AG18">
        <f t="shared" si="40"/>
        <v>43.98233831235283</v>
      </c>
      <c r="AH18">
        <f t="shared" si="41"/>
        <v>0</v>
      </c>
      <c r="AI18">
        <f>IF(G18&lt;=0,1,0)</f>
        <v>0</v>
      </c>
      <c r="AJ18">
        <f>IF(G18&lt;0,1,0)</f>
        <v>0</v>
      </c>
      <c r="AK18">
        <f>MAX(($B$3-G18)/(G18 + 1),0) / $B$3</f>
        <v>0.36512872271738889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0.4375</v>
      </c>
      <c r="AP18">
        <f>Logistic(I18/$B$5)</f>
        <v>3.1239831446031246E-2</v>
      </c>
      <c r="AQ18">
        <f>IF(I18&gt;$B$5,1,0)</f>
        <v>0</v>
      </c>
      <c r="AR18">
        <f>Logistic(ABS(F18-O18)/($B$6/2))</f>
        <v>4.4969649583600189E-2</v>
      </c>
      <c r="AS18">
        <f>IF(OR(F18&lt;M18,F18&gt;N18),1,0)</f>
        <v>0</v>
      </c>
      <c r="AT18">
        <f>ABS(K18)/$B$4</f>
        <v>0</v>
      </c>
      <c r="AU18">
        <f t="shared" ca="1" si="42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0.83563219310877301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0.83550238825781853</v>
      </c>
      <c r="BA18">
        <f t="shared" ca="1" si="43"/>
        <v>0</v>
      </c>
      <c r="BB18">
        <f t="shared" ca="1" si="44"/>
        <v>0</v>
      </c>
      <c r="BC18">
        <f t="shared" si="45"/>
        <v>0</v>
      </c>
      <c r="BE18">
        <f t="shared" si="7"/>
        <v>0</v>
      </c>
      <c r="BF18">
        <f t="shared" si="46"/>
        <v>0</v>
      </c>
      <c r="BG18">
        <f t="shared" si="47"/>
        <v>0</v>
      </c>
      <c r="BH18">
        <f t="shared" si="8"/>
        <v>0.99913718979322197</v>
      </c>
      <c r="BI18">
        <f t="shared" si="9"/>
        <v>0</v>
      </c>
      <c r="BJ18">
        <f t="shared" si="10"/>
        <v>0</v>
      </c>
      <c r="BK18">
        <f t="shared" si="11"/>
        <v>0.27645304662956433</v>
      </c>
      <c r="BL18">
        <f t="shared" si="48"/>
        <v>1</v>
      </c>
      <c r="BM18">
        <f t="shared" si="12"/>
        <v>3.0590232050182579E-7</v>
      </c>
      <c r="BN18">
        <f t="shared" si="13"/>
        <v>0</v>
      </c>
      <c r="BO18">
        <f t="shared" si="14"/>
        <v>0</v>
      </c>
      <c r="BP18">
        <f t="shared" si="15"/>
        <v>0.21532633966578324</v>
      </c>
      <c r="BQ18">
        <f t="shared" si="16"/>
        <v>0.99999436253700591</v>
      </c>
    </row>
    <row r="19" spans="1:69" x14ac:dyDescent="0.25">
      <c r="A19" s="1" t="s">
        <v>13</v>
      </c>
      <c r="B19">
        <f t="shared" ca="1" si="2"/>
        <v>99.23362044839277</v>
      </c>
      <c r="C19" t="s">
        <v>232</v>
      </c>
      <c r="D19">
        <f t="shared" si="17"/>
        <v>50</v>
      </c>
      <c r="E19">
        <f t="shared" si="18"/>
        <v>126.31</v>
      </c>
      <c r="F19">
        <f t="shared" si="19"/>
        <v>6.18</v>
      </c>
      <c r="G19">
        <f t="shared" si="20"/>
        <v>1.55</v>
      </c>
      <c r="H19">
        <f t="shared" si="21"/>
        <v>4</v>
      </c>
      <c r="I19">
        <f t="shared" si="22"/>
        <v>1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 t="e">
        <f t="shared" si="5"/>
        <v>#VALUE!</v>
      </c>
      <c r="Q19">
        <f t="shared" ca="1" si="25"/>
        <v>1000000</v>
      </c>
      <c r="R19">
        <f t="shared" ca="1" si="26"/>
        <v>100</v>
      </c>
      <c r="S19">
        <f t="shared" si="27"/>
        <v>46</v>
      </c>
      <c r="T19">
        <f t="shared" ca="1" si="28"/>
        <v>-37.988057999999995</v>
      </c>
      <c r="U19">
        <f t="shared" ca="1" si="29"/>
        <v>24.651617000000002</v>
      </c>
      <c r="V19" t="e">
        <f t="shared" si="30"/>
        <v>#VALUE!</v>
      </c>
      <c r="W19">
        <f t="shared" ca="1" si="31"/>
        <v>1000000000</v>
      </c>
      <c r="X19">
        <f t="shared" ca="1" si="32"/>
        <v>100</v>
      </c>
      <c r="Y19">
        <f>GetFollowingCarRow($B$45:$E$54,L19,$E$15,E19)</f>
        <v>46</v>
      </c>
      <c r="Z19">
        <f t="shared" ca="1" si="33"/>
        <v>-38.028058000000001</v>
      </c>
      <c r="AA19">
        <f t="shared" ca="1" si="34"/>
        <v>24.651617000000002</v>
      </c>
      <c r="AB19">
        <f t="shared" si="35"/>
        <v>-1.9999999999999574E-2</v>
      </c>
      <c r="AC19">
        <f t="shared" si="36"/>
        <v>4.0000000000006253E-2</v>
      </c>
      <c r="AD19">
        <f t="shared" si="37"/>
        <v>-56.974999999988782</v>
      </c>
      <c r="AE19">
        <f t="shared" si="38"/>
        <v>2.2789999999999075</v>
      </c>
      <c r="AF19">
        <f t="shared" si="39"/>
        <v>4.4721359550001193E-2</v>
      </c>
      <c r="AG19">
        <f t="shared" si="40"/>
        <v>34.119298146424178</v>
      </c>
      <c r="AH19">
        <f t="shared" si="41"/>
        <v>0</v>
      </c>
      <c r="AI19">
        <f>IF(G19&lt;=0,1,0)</f>
        <v>0</v>
      </c>
      <c r="AJ19">
        <f>IF(G19&lt;0,1,0)</f>
        <v>0</v>
      </c>
      <c r="AK19">
        <f>MAX(($B$3-G19)/(G19 + 1),0) / $B$3</f>
        <v>0.36351204006579074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0.5</v>
      </c>
      <c r="AP19">
        <f>Logistic(I19/$B$5)</f>
        <v>6.2418746747512487E-2</v>
      </c>
      <c r="AQ19">
        <f>IF(I19&gt;$B$5,1,0)</f>
        <v>0</v>
      </c>
      <c r="AR19">
        <f>Logistic(ABS(F19-O19)/($B$6/2))</f>
        <v>4.4969649583600189E-2</v>
      </c>
      <c r="AS19">
        <f>IF(OR(F19&lt;M19,F19&gt;N19),1,0)</f>
        <v>0</v>
      </c>
      <c r="AT19">
        <f>ABS(K19)/$B$4</f>
        <v>0</v>
      </c>
      <c r="AU19">
        <f t="shared" ca="1" si="42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0.83556104319450886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0.83538789514171241</v>
      </c>
      <c r="BA19">
        <f t="shared" ca="1" si="43"/>
        <v>0</v>
      </c>
      <c r="BB19">
        <f t="shared" ca="1" si="44"/>
        <v>0</v>
      </c>
      <c r="BC19">
        <f t="shared" si="45"/>
        <v>0</v>
      </c>
      <c r="BE19">
        <f t="shared" si="7"/>
        <v>0</v>
      </c>
      <c r="BF19">
        <f t="shared" si="46"/>
        <v>0</v>
      </c>
      <c r="BG19">
        <f t="shared" si="47"/>
        <v>0</v>
      </c>
      <c r="BH19">
        <f t="shared" si="8"/>
        <v>0.99910709008772092</v>
      </c>
      <c r="BI19">
        <f t="shared" si="9"/>
        <v>0</v>
      </c>
      <c r="BJ19">
        <f t="shared" si="10"/>
        <v>0</v>
      </c>
      <c r="BK19">
        <f t="shared" si="11"/>
        <v>0.36787944117144233</v>
      </c>
      <c r="BL19">
        <f t="shared" si="48"/>
        <v>1</v>
      </c>
      <c r="BM19">
        <f t="shared" si="12"/>
        <v>9.1188196555451624E-4</v>
      </c>
      <c r="BN19">
        <f t="shared" si="13"/>
        <v>0</v>
      </c>
      <c r="BO19">
        <f t="shared" si="14"/>
        <v>0</v>
      </c>
      <c r="BP19">
        <f t="shared" si="15"/>
        <v>0.24491866240370913</v>
      </c>
      <c r="BQ19">
        <f t="shared" si="16"/>
        <v>0.99999383842715406</v>
      </c>
    </row>
    <row r="20" spans="1:69" x14ac:dyDescent="0.25">
      <c r="A20" s="1" t="s">
        <v>12</v>
      </c>
      <c r="B20">
        <f t="shared" ca="1" si="2"/>
        <v>98.831895253414274</v>
      </c>
      <c r="C20" t="s">
        <v>231</v>
      </c>
      <c r="D20">
        <f t="shared" si="17"/>
        <v>50</v>
      </c>
      <c r="E20">
        <f t="shared" si="18"/>
        <v>126.31</v>
      </c>
      <c r="F20">
        <f t="shared" si="19"/>
        <v>6.18</v>
      </c>
      <c r="G20">
        <f t="shared" si="20"/>
        <v>1.56</v>
      </c>
      <c r="H20">
        <f t="shared" si="21"/>
        <v>4.5</v>
      </c>
      <c r="I20">
        <f t="shared" si="22"/>
        <v>1.5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 t="e">
        <f t="shared" si="5"/>
        <v>#VALUE!</v>
      </c>
      <c r="Q20">
        <f t="shared" ca="1" si="25"/>
        <v>1000000</v>
      </c>
      <c r="R20">
        <f t="shared" ca="1" si="26"/>
        <v>100</v>
      </c>
      <c r="S20">
        <f t="shared" si="27"/>
        <v>46</v>
      </c>
      <c r="T20">
        <f t="shared" ca="1" si="28"/>
        <v>-37.988057999999995</v>
      </c>
      <c r="U20">
        <f t="shared" ca="1" si="29"/>
        <v>24.651617000000002</v>
      </c>
      <c r="V20" t="e">
        <f t="shared" si="30"/>
        <v>#VALUE!</v>
      </c>
      <c r="W20">
        <f t="shared" ca="1" si="31"/>
        <v>1000000000</v>
      </c>
      <c r="X20">
        <f t="shared" ca="1" si="32"/>
        <v>100</v>
      </c>
      <c r="Y20">
        <f>GetFollowingCarRow($B$45:$E$54,L20,$E$15,E20)</f>
        <v>46</v>
      </c>
      <c r="Z20">
        <f t="shared" ca="1" si="33"/>
        <v>-38.028058000000001</v>
      </c>
      <c r="AA20">
        <f t="shared" ca="1" si="34"/>
        <v>24.651617000000002</v>
      </c>
      <c r="AB20">
        <f t="shared" si="35"/>
        <v>-1.9999999999999574E-2</v>
      </c>
      <c r="AC20">
        <f t="shared" si="36"/>
        <v>4.0000000000006253E-2</v>
      </c>
      <c r="AD20">
        <f t="shared" si="37"/>
        <v>-56.974999999988782</v>
      </c>
      <c r="AE20">
        <f t="shared" si="38"/>
        <v>2.2789999999999075</v>
      </c>
      <c r="AF20">
        <f t="shared" si="39"/>
        <v>4.4721359550001193E-2</v>
      </c>
      <c r="AG20">
        <f t="shared" si="40"/>
        <v>34.119298146424178</v>
      </c>
      <c r="AH20">
        <f t="shared" si="41"/>
        <v>0</v>
      </c>
      <c r="AI20">
        <f>IF(G20&lt;=0,1,0)</f>
        <v>0</v>
      </c>
      <c r="AJ20">
        <f>IF(G20&lt;0,1,0)</f>
        <v>0</v>
      </c>
      <c r="AK20">
        <f>MAX(($B$3-G20)/(G20 + 1),0) / $B$3</f>
        <v>0.36190798774740812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0.5625</v>
      </c>
      <c r="AP20">
        <f>Logistic(I20/$B$5)</f>
        <v>9.3476303969227723E-2</v>
      </c>
      <c r="AQ20">
        <f>IF(I20&gt;$B$5,1,0)</f>
        <v>0</v>
      </c>
      <c r="AR20">
        <f>Logistic(ABS(F20-O20)/($B$6/2))</f>
        <v>4.4969649583600189E-2</v>
      </c>
      <c r="AS20">
        <f>IF(OR(F20&lt;M20,F20&gt;N20),1,0)</f>
        <v>0</v>
      </c>
      <c r="AT20">
        <f>ABS(K20)/$B$4</f>
        <v>0</v>
      </c>
      <c r="AU20">
        <f t="shared" ca="1" si="42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0.83548983165622404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0.83531660862034918</v>
      </c>
      <c r="BA20">
        <f t="shared" ca="1" si="43"/>
        <v>0</v>
      </c>
      <c r="BB20">
        <f t="shared" ca="1" si="44"/>
        <v>0</v>
      </c>
      <c r="BC20">
        <f t="shared" si="45"/>
        <v>0</v>
      </c>
      <c r="BE20">
        <f t="shared" si="7"/>
        <v>0</v>
      </c>
      <c r="BF20">
        <f t="shared" si="46"/>
        <v>0</v>
      </c>
      <c r="BG20">
        <f t="shared" si="47"/>
        <v>0</v>
      </c>
      <c r="BH20">
        <f t="shared" si="8"/>
        <v>0.9990761883341952</v>
      </c>
      <c r="BI20">
        <f t="shared" si="9"/>
        <v>0</v>
      </c>
      <c r="BJ20">
        <f t="shared" si="10"/>
        <v>0</v>
      </c>
      <c r="BK20">
        <f t="shared" si="11"/>
        <v>0.45942582403592663</v>
      </c>
      <c r="BL20">
        <f t="shared" si="48"/>
        <v>1</v>
      </c>
      <c r="BM20">
        <f t="shared" si="12"/>
        <v>1.3123728736940968E-2</v>
      </c>
      <c r="BN20">
        <f t="shared" si="13"/>
        <v>0</v>
      </c>
      <c r="BO20">
        <f t="shared" si="14"/>
        <v>0</v>
      </c>
      <c r="BP20">
        <f t="shared" si="15"/>
        <v>0.27406158896076638</v>
      </c>
      <c r="BQ20">
        <f t="shared" si="16"/>
        <v>0.99999327326239129</v>
      </c>
    </row>
    <row r="21" spans="1:69" x14ac:dyDescent="0.25">
      <c r="A21" s="1" t="s">
        <v>33</v>
      </c>
      <c r="B21">
        <f t="shared" ca="1" si="2"/>
        <v>100.04657918203964</v>
      </c>
      <c r="C21" t="s">
        <v>230</v>
      </c>
      <c r="D21">
        <f t="shared" si="17"/>
        <v>50</v>
      </c>
      <c r="E21">
        <f t="shared" si="18"/>
        <v>126.3</v>
      </c>
      <c r="F21">
        <f t="shared" si="19"/>
        <v>6.18</v>
      </c>
      <c r="G21">
        <f t="shared" si="20"/>
        <v>1.53</v>
      </c>
      <c r="H21">
        <f t="shared" si="21"/>
        <v>3</v>
      </c>
      <c r="I21">
        <f t="shared" si="22"/>
        <v>0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 t="e">
        <f t="shared" si="5"/>
        <v>#VALUE!</v>
      </c>
      <c r="Q21">
        <f t="shared" ca="1" si="25"/>
        <v>1000000</v>
      </c>
      <c r="R21">
        <f t="shared" ca="1" si="26"/>
        <v>100</v>
      </c>
      <c r="S21">
        <f t="shared" si="27"/>
        <v>46</v>
      </c>
      <c r="T21">
        <f t="shared" ca="1" si="28"/>
        <v>-37.988057999999995</v>
      </c>
      <c r="U21">
        <f t="shared" ca="1" si="29"/>
        <v>24.651617000000002</v>
      </c>
      <c r="V21" t="e">
        <f t="shared" si="30"/>
        <v>#VALUE!</v>
      </c>
      <c r="W21">
        <f t="shared" ca="1" si="31"/>
        <v>1000000000</v>
      </c>
      <c r="X21">
        <f t="shared" ca="1" si="32"/>
        <v>100</v>
      </c>
      <c r="Y21">
        <f>GetFollowingCarRow($B$45:$E$54,L21,$E$15,E21)</f>
        <v>46</v>
      </c>
      <c r="Z21">
        <f t="shared" ca="1" si="33"/>
        <v>-38.018057999999996</v>
      </c>
      <c r="AA21">
        <f t="shared" ca="1" si="34"/>
        <v>24.651617000000002</v>
      </c>
      <c r="AB21">
        <f t="shared" si="35"/>
        <v>-1.9999999999999574E-2</v>
      </c>
      <c r="AC21">
        <f t="shared" si="36"/>
        <v>3.0000000000001137E-2</v>
      </c>
      <c r="AD21">
        <f t="shared" si="37"/>
        <v>-78.019999999995022</v>
      </c>
      <c r="AE21">
        <f t="shared" si="38"/>
        <v>2.3405999999999394</v>
      </c>
      <c r="AF21">
        <f t="shared" si="39"/>
        <v>3.6055512754640605E-2</v>
      </c>
      <c r="AG21">
        <f t="shared" si="40"/>
        <v>43.98233831235283</v>
      </c>
      <c r="AH21">
        <f t="shared" si="41"/>
        <v>0</v>
      </c>
      <c r="AI21">
        <f>IF(G21&lt;=0,1,0)</f>
        <v>0</v>
      </c>
      <c r="AJ21">
        <f>IF(G21&lt;0,1,0)</f>
        <v>0</v>
      </c>
      <c r="AK21">
        <f>MAX(($B$3-G21)/(G21 + 1),0) / $B$3</f>
        <v>0.36675818546899963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0.375</v>
      </c>
      <c r="AP21">
        <f>Logistic(I21/$B$5)</f>
        <v>0</v>
      </c>
      <c r="AQ21">
        <f>IF(I21&gt;$B$5,1,0)</f>
        <v>0</v>
      </c>
      <c r="AR21">
        <f>Logistic(ABS(F21-O21)/($B$6/2))</f>
        <v>4.4969649583600189E-2</v>
      </c>
      <c r="AS21">
        <f>IF(OR(F21&lt;M21,F21&gt;N21),1,0)</f>
        <v>0</v>
      </c>
      <c r="AT21">
        <f>ABS(K21)/$B$4</f>
        <v>0</v>
      </c>
      <c r="AU21">
        <f t="shared" ca="1" si="42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0.83570328147897266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0.83557353276805857</v>
      </c>
      <c r="BA21">
        <f t="shared" ca="1" si="43"/>
        <v>0</v>
      </c>
      <c r="BB21">
        <f t="shared" ca="1" si="44"/>
        <v>0</v>
      </c>
      <c r="BC21">
        <f t="shared" si="45"/>
        <v>0</v>
      </c>
      <c r="BE21">
        <f t="shared" si="7"/>
        <v>0</v>
      </c>
      <c r="BF21">
        <f t="shared" si="46"/>
        <v>0</v>
      </c>
      <c r="BG21">
        <f t="shared" si="47"/>
        <v>0</v>
      </c>
      <c r="BH21">
        <f t="shared" si="8"/>
        <v>0.99916650124654804</v>
      </c>
      <c r="BI21">
        <f t="shared" si="9"/>
        <v>0</v>
      </c>
      <c r="BJ21">
        <f t="shared" si="10"/>
        <v>0</v>
      </c>
      <c r="BK21">
        <f t="shared" si="11"/>
        <v>0.18887560283756183</v>
      </c>
      <c r="BL21">
        <f t="shared" si="48"/>
        <v>1</v>
      </c>
      <c r="BM21">
        <f t="shared" si="12"/>
        <v>0</v>
      </c>
      <c r="BN21">
        <f t="shared" si="13"/>
        <v>0</v>
      </c>
      <c r="BO21">
        <f t="shared" si="14"/>
        <v>0</v>
      </c>
      <c r="BP21">
        <f t="shared" si="15"/>
        <v>0.18533319990813948</v>
      </c>
      <c r="BQ21">
        <f t="shared" si="16"/>
        <v>0.99999484805601224</v>
      </c>
    </row>
    <row r="22" spans="1:69" x14ac:dyDescent="0.25">
      <c r="A22" s="1" t="s">
        <v>11</v>
      </c>
      <c r="B22">
        <f t="shared" ca="1" si="2"/>
        <v>102.56429439149754</v>
      </c>
      <c r="C22" t="s">
        <v>229</v>
      </c>
      <c r="D22">
        <f t="shared" si="17"/>
        <v>50</v>
      </c>
      <c r="E22">
        <f t="shared" si="18"/>
        <v>126.3</v>
      </c>
      <c r="F22">
        <f t="shared" si="19"/>
        <v>6.18</v>
      </c>
      <c r="G22">
        <f t="shared" si="20"/>
        <v>1.47</v>
      </c>
      <c r="H22">
        <f t="shared" si="21"/>
        <v>0</v>
      </c>
      <c r="I22">
        <f t="shared" si="22"/>
        <v>3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 t="e">
        <f t="shared" si="5"/>
        <v>#VALUE!</v>
      </c>
      <c r="Q22">
        <f t="shared" ca="1" si="25"/>
        <v>1000000</v>
      </c>
      <c r="R22">
        <f t="shared" ca="1" si="26"/>
        <v>100</v>
      </c>
      <c r="S22">
        <f t="shared" si="27"/>
        <v>46</v>
      </c>
      <c r="T22">
        <f t="shared" ca="1" si="28"/>
        <v>-37.988057999999995</v>
      </c>
      <c r="U22">
        <f t="shared" ca="1" si="29"/>
        <v>24.651617000000002</v>
      </c>
      <c r="V22" t="e">
        <f t="shared" si="30"/>
        <v>#VALUE!</v>
      </c>
      <c r="W22">
        <f t="shared" ca="1" si="31"/>
        <v>1000000000</v>
      </c>
      <c r="X22">
        <f t="shared" ca="1" si="32"/>
        <v>100</v>
      </c>
      <c r="Y22">
        <f>GetFollowingCarRow($B$45:$E$54,L22,$E$15,E22)</f>
        <v>46</v>
      </c>
      <c r="Z22">
        <f t="shared" ca="1" si="33"/>
        <v>-38.018057999999996</v>
      </c>
      <c r="AA22">
        <f t="shared" ca="1" si="34"/>
        <v>24.651617000000002</v>
      </c>
      <c r="AB22">
        <f t="shared" si="35"/>
        <v>-1.9999999999999574E-2</v>
      </c>
      <c r="AC22">
        <f t="shared" si="36"/>
        <v>3.0000000000001137E-2</v>
      </c>
      <c r="AD22">
        <f t="shared" si="37"/>
        <v>-78.019999999995022</v>
      </c>
      <c r="AE22">
        <f t="shared" si="38"/>
        <v>2.3405999999999394</v>
      </c>
      <c r="AF22">
        <f t="shared" si="39"/>
        <v>3.6055512754640605E-2</v>
      </c>
      <c r="AG22">
        <f t="shared" si="40"/>
        <v>43.98233831235283</v>
      </c>
      <c r="AH22">
        <f t="shared" si="41"/>
        <v>0</v>
      </c>
      <c r="AI22">
        <f>IF(G22&lt;=0,1,0)</f>
        <v>0</v>
      </c>
      <c r="AJ22">
        <f>IF(G22&lt;0,1,0)</f>
        <v>0</v>
      </c>
      <c r="AK22">
        <f>MAX(($B$3-G22)/(G22 + 1),0) / $B$3</f>
        <v>0.37681203661659046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0.18533319990813948</v>
      </c>
      <c r="AQ22">
        <f>IF(I22&gt;$B$5,1,0)</f>
        <v>0</v>
      </c>
      <c r="AR22">
        <f>Logistic(ABS(F22-O22)/($B$6/2))</f>
        <v>4.4969649583600189E-2</v>
      </c>
      <c r="AS22">
        <f>IF(OR(F22&lt;M22,F22&gt;N22),1,0)</f>
        <v>0</v>
      </c>
      <c r="AT22">
        <f>ABS(K22)/$B$4</f>
        <v>0</v>
      </c>
      <c r="AU22">
        <f t="shared" ca="1" si="42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0.83612852373499225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0.83599911084718559</v>
      </c>
      <c r="BA22">
        <f t="shared" ca="1" si="43"/>
        <v>0</v>
      </c>
      <c r="BB22">
        <f t="shared" ca="1" si="44"/>
        <v>0</v>
      </c>
      <c r="BC22">
        <f t="shared" si="45"/>
        <v>0</v>
      </c>
      <c r="BE22">
        <f t="shared" si="7"/>
        <v>0</v>
      </c>
      <c r="BF22">
        <f t="shared" si="46"/>
        <v>0</v>
      </c>
      <c r="BG22">
        <f t="shared" si="47"/>
        <v>0</v>
      </c>
      <c r="BH22">
        <f t="shared" si="8"/>
        <v>0.99932657976538875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8"/>
        <v>0</v>
      </c>
      <c r="BM22">
        <f t="shared" si="12"/>
        <v>0.18887560283756183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0.99999707503613611</v>
      </c>
    </row>
    <row r="23" spans="1:69" x14ac:dyDescent="0.25">
      <c r="A23" s="1" t="s">
        <v>34</v>
      </c>
      <c r="B23">
        <f t="shared" ca="1" si="2"/>
        <v>274.65609737113749</v>
      </c>
      <c r="C23" t="s">
        <v>228</v>
      </c>
      <c r="D23">
        <f t="shared" si="17"/>
        <v>148</v>
      </c>
      <c r="E23">
        <f t="shared" si="18"/>
        <v>193.21</v>
      </c>
      <c r="F23">
        <f t="shared" si="19"/>
        <v>3.99</v>
      </c>
      <c r="G23">
        <f t="shared" si="20"/>
        <v>65.150000000000006</v>
      </c>
      <c r="H23">
        <f t="shared" si="21"/>
        <v>16</v>
      </c>
      <c r="I23">
        <f t="shared" si="22"/>
        <v>13</v>
      </c>
      <c r="J23">
        <f t="shared" si="23"/>
        <v>12.31</v>
      </c>
      <c r="K23">
        <f t="shared" si="24"/>
        <v>0.01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45</v>
      </c>
      <c r="Q23">
        <f t="shared" ca="1" si="25"/>
        <v>140.97925400000003</v>
      </c>
      <c r="R23">
        <f t="shared" ca="1" si="26"/>
        <v>20.483077999999999</v>
      </c>
      <c r="S23" t="e">
        <f t="shared" si="27"/>
        <v>#VALUE!</v>
      </c>
      <c r="T23">
        <f t="shared" ca="1" si="28"/>
        <v>1000000</v>
      </c>
      <c r="U23">
        <f t="shared" ca="1" si="29"/>
        <v>100</v>
      </c>
      <c r="V23">
        <f t="shared" si="30"/>
        <v>45</v>
      </c>
      <c r="W23">
        <f t="shared" ca="1" si="31"/>
        <v>74.039254</v>
      </c>
      <c r="X23">
        <f t="shared" ca="1" si="32"/>
        <v>20.483077999999999</v>
      </c>
      <c r="Y23" t="e">
        <f>GetFollowingCarRow($B$45:$E$54,L23,$E$15,E23)</f>
        <v>#VALUE!</v>
      </c>
      <c r="Z23">
        <f t="shared" ca="1" si="33"/>
        <v>1000000000</v>
      </c>
      <c r="AA23">
        <f t="shared" ca="1" si="34"/>
        <v>100</v>
      </c>
      <c r="AB23">
        <f t="shared" si="35"/>
        <v>2.17</v>
      </c>
      <c r="AC23">
        <f t="shared" si="36"/>
        <v>66.940000000000012</v>
      </c>
      <c r="AD23">
        <f t="shared" si="37"/>
        <v>10.253305945622945</v>
      </c>
      <c r="AE23">
        <f t="shared" si="38"/>
        <v>-686.35630000000003</v>
      </c>
      <c r="AF23">
        <f t="shared" si="39"/>
        <v>66.97516330700509</v>
      </c>
      <c r="AG23">
        <f t="shared" si="40"/>
        <v>8.8516299282840816</v>
      </c>
      <c r="AH23">
        <f t="shared" si="41"/>
        <v>0.75306590486955205</v>
      </c>
      <c r="AI23">
        <f>IF(G23&lt;=0,1,0)</f>
        <v>0</v>
      </c>
      <c r="AJ23">
        <f>IF(G23&lt;0,1,0)</f>
        <v>0</v>
      </c>
      <c r="AK23">
        <f>MAX(($B$3-G23)/(G23 + 1),0) / $B$3</f>
        <v>0</v>
      </c>
      <c r="AL23">
        <f>IF(H23+ABS(K23)&lt;0,Logistic(SQRT(H23^2+K23^2)/$B$4),0)</f>
        <v>0</v>
      </c>
      <c r="AM23">
        <f>IF(G23&gt;$B$3,1,0)</f>
        <v>1</v>
      </c>
      <c r="AN23">
        <f>IF(H23&gt;$B$4,1,0)</f>
        <v>1</v>
      </c>
      <c r="AO23">
        <f>ABS(H23)/$B$4</f>
        <v>2</v>
      </c>
      <c r="AP23">
        <f>Logistic(I23/$B$5)</f>
        <v>0.67096707420687363</v>
      </c>
      <c r="AQ23">
        <f>IF(I23&gt;$B$5,1,0)</f>
        <v>1</v>
      </c>
      <c r="AR23">
        <f>Logistic(ABS(F23-O23)/($B$6/2))</f>
        <v>0.90559899932396171</v>
      </c>
      <c r="AS23">
        <f>IF(OR(F23&lt;M23,F23&gt;N23),1,0)</f>
        <v>1</v>
      </c>
      <c r="AT23">
        <f>ABS(K23)/$B$4</f>
        <v>1.25E-3</v>
      </c>
      <c r="AU23">
        <f t="shared" ca="1" si="42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0.6843766087128188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0.83424142366469756</v>
      </c>
      <c r="AZ23">
        <f ca="1">MAX(1-(IF(Z23/(G23-AA23)&gt;0,Z23/(G23-AA23),Collision_Time_Buffer)/Collision_Time_Buffer),0)*IF($L$15&lt;&gt;L23,Lane_Change_Multiplier,1)</f>
        <v>0</v>
      </c>
      <c r="BA23">
        <f t="shared" ca="1" si="43"/>
        <v>0</v>
      </c>
      <c r="BB23">
        <f t="shared" ca="1" si="44"/>
        <v>0</v>
      </c>
      <c r="BC23">
        <f t="shared" si="45"/>
        <v>0</v>
      </c>
      <c r="BE23">
        <f t="shared" si="7"/>
        <v>0.75306590486955205</v>
      </c>
      <c r="BF23">
        <f t="shared" si="46"/>
        <v>0</v>
      </c>
      <c r="BG23">
        <f t="shared" si="47"/>
        <v>0</v>
      </c>
      <c r="BH23">
        <f t="shared" si="8"/>
        <v>-0.32036013027954263</v>
      </c>
      <c r="BI23">
        <f t="shared" si="9"/>
        <v>1</v>
      </c>
      <c r="BJ23">
        <f t="shared" si="10"/>
        <v>1</v>
      </c>
      <c r="BK23">
        <f t="shared" si="11"/>
        <v>1.6487212707001282</v>
      </c>
      <c r="BL23">
        <f t="shared" si="48"/>
        <v>0</v>
      </c>
      <c r="BM23">
        <f t="shared" si="12"/>
        <v>1.4690491938490167</v>
      </c>
      <c r="BN23">
        <f t="shared" si="13"/>
        <v>1.0024999999999999</v>
      </c>
      <c r="BO23">
        <f t="shared" si="14"/>
        <v>1.25E-3</v>
      </c>
      <c r="BP23">
        <f t="shared" si="15"/>
        <v>0.76159415595576485</v>
      </c>
      <c r="BQ23">
        <f t="shared" si="16"/>
        <v>-0.32492623543849286</v>
      </c>
    </row>
    <row r="24" spans="1:69" x14ac:dyDescent="0.25">
      <c r="A24" s="1" t="s">
        <v>35</v>
      </c>
      <c r="B24">
        <f t="shared" ca="1" si="2"/>
        <v>227.45892671952504</v>
      </c>
      <c r="C24" t="s">
        <v>227</v>
      </c>
      <c r="D24">
        <f t="shared" si="17"/>
        <v>113</v>
      </c>
      <c r="E24">
        <f t="shared" si="18"/>
        <v>155.22999999999999</v>
      </c>
      <c r="F24">
        <f t="shared" si="19"/>
        <v>9.01</v>
      </c>
      <c r="G24">
        <f t="shared" si="20"/>
        <v>42.75</v>
      </c>
      <c r="H24">
        <f t="shared" si="21"/>
        <v>16</v>
      </c>
      <c r="I24">
        <f t="shared" si="22"/>
        <v>13</v>
      </c>
      <c r="J24">
        <f t="shared" si="23"/>
        <v>-2.4500000000000002</v>
      </c>
      <c r="K24">
        <f t="shared" si="24"/>
        <v>0.01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45</v>
      </c>
      <c r="Q24">
        <f t="shared" ca="1" si="25"/>
        <v>140.97925400000003</v>
      </c>
      <c r="R24">
        <f t="shared" ca="1" si="26"/>
        <v>20.483077999999999</v>
      </c>
      <c r="S24" t="e">
        <f t="shared" si="27"/>
        <v>#VALUE!</v>
      </c>
      <c r="T24">
        <f t="shared" ca="1" si="28"/>
        <v>1000000</v>
      </c>
      <c r="U24">
        <f t="shared" ca="1" si="29"/>
        <v>100</v>
      </c>
      <c r="V24">
        <f t="shared" si="30"/>
        <v>45</v>
      </c>
      <c r="W24">
        <f t="shared" ca="1" si="31"/>
        <v>112.01925400000002</v>
      </c>
      <c r="X24">
        <f t="shared" ca="1" si="32"/>
        <v>20.483077999999999</v>
      </c>
      <c r="Y24" t="e">
        <f>GetFollowingCarRow($B$45:$E$54,L24,$E$15,E24)</f>
        <v>#VALUE!</v>
      </c>
      <c r="Z24">
        <f t="shared" ca="1" si="33"/>
        <v>1000000000</v>
      </c>
      <c r="AA24">
        <f t="shared" ca="1" si="34"/>
        <v>100</v>
      </c>
      <c r="AB24">
        <f t="shared" si="35"/>
        <v>-2.8499999999999996</v>
      </c>
      <c r="AC24">
        <f t="shared" si="36"/>
        <v>28.959999999999994</v>
      </c>
      <c r="AD24">
        <f t="shared" si="37"/>
        <v>-6.2664330110497239</v>
      </c>
      <c r="AE24">
        <f t="shared" si="38"/>
        <v>181.47589999999997</v>
      </c>
      <c r="AF24">
        <f t="shared" si="39"/>
        <v>29.099898625252969</v>
      </c>
      <c r="AG24">
        <f t="shared" si="40"/>
        <v>2.6805821265750853</v>
      </c>
      <c r="AH24">
        <f t="shared" si="41"/>
        <v>0.55805221555962436</v>
      </c>
      <c r="AI24">
        <f>IF(G24&lt;=0,1,0)</f>
        <v>0</v>
      </c>
      <c r="AJ24">
        <f>IF(G24&lt;0,1,0)</f>
        <v>0</v>
      </c>
      <c r="AK24">
        <f>MAX(($B$3-G24)/(G24 + 1),0) / $B$3</f>
        <v>0</v>
      </c>
      <c r="AL24">
        <f>IF(H24+ABS(K24)&lt;0,Logistic(SQRT(H24^2+K24^2)/$B$4),0)</f>
        <v>0</v>
      </c>
      <c r="AM24">
        <f>IF(G24&gt;$B$3,1,0)</f>
        <v>1</v>
      </c>
      <c r="AN24">
        <f>IF(H24&gt;$B$4,1,0)</f>
        <v>1</v>
      </c>
      <c r="AO24">
        <f>ABS(H24)/$B$4</f>
        <v>2</v>
      </c>
      <c r="AP24">
        <f>Logistic(I24/$B$5)</f>
        <v>0.67096707420687363</v>
      </c>
      <c r="AQ24">
        <f>IF(I24&gt;$B$5,1,0)</f>
        <v>1</v>
      </c>
      <c r="AR24">
        <f>Logistic(ABS(F24-O24)/($B$6/2))</f>
        <v>0.2425671903821357</v>
      </c>
      <c r="AS24">
        <f>IF(OR(F24&lt;M24,F24&gt;N24),1,0)</f>
        <v>0</v>
      </c>
      <c r="AT24">
        <f>ABS(K24)/$B$4</f>
        <v>1.25E-3</v>
      </c>
      <c r="AU24">
        <f t="shared" ca="1" si="42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0.36686689790353599</v>
      </c>
      <c r="AX24">
        <f ca="1">MAX(1-(IF(T24/(G24-U24)&gt;0,T24/(G24-U24),Collision_Time_Buffer)/Collision_Time_Buffer),0)*IF($L$15&lt;&gt;L24,Lane_Change_Multiplier,1)</f>
        <v>0</v>
      </c>
      <c r="AY24">
        <f ca="1">MAX(1-(IF(W24/(G24-X24)&gt;0,W24/(G24-X24),Collision_Time_Buffer)/Collision_Time_Buffer),0)*IF($L$15&lt;&gt;L24,Lane_Change_Multiplier,1)</f>
        <v>0.49692528675494529</v>
      </c>
      <c r="AZ24">
        <f ca="1">MAX(1-(IF(Z24/(G24-AA24)&gt;0,Z24/(G24-AA24),Collision_Time_Buffer)/Collision_Time_Buffer),0)*IF($L$15&lt;&gt;L24,Lane_Change_Multiplier,1)</f>
        <v>0</v>
      </c>
      <c r="BA24">
        <f t="shared" ca="1" si="43"/>
        <v>0</v>
      </c>
      <c r="BB24">
        <f t="shared" ca="1" si="44"/>
        <v>0</v>
      </c>
      <c r="BC24">
        <f t="shared" si="45"/>
        <v>0</v>
      </c>
      <c r="BE24">
        <f t="shared" si="7"/>
        <v>0.55805221555962436</v>
      </c>
      <c r="BF24">
        <f t="shared" si="46"/>
        <v>0</v>
      </c>
      <c r="BG24">
        <f t="shared" si="47"/>
        <v>0</v>
      </c>
      <c r="BH24">
        <f t="shared" si="8"/>
        <v>-0.24120875478659251</v>
      </c>
      <c r="BI24">
        <f t="shared" si="9"/>
        <v>1</v>
      </c>
      <c r="BJ24">
        <f t="shared" si="10"/>
        <v>1</v>
      </c>
      <c r="BK24">
        <f t="shared" si="11"/>
        <v>1.6487212707001282</v>
      </c>
      <c r="BL24">
        <f t="shared" si="48"/>
        <v>0</v>
      </c>
      <c r="BM24">
        <f t="shared" si="12"/>
        <v>1.4690491938490167</v>
      </c>
      <c r="BN24">
        <f t="shared" si="13"/>
        <v>0</v>
      </c>
      <c r="BO24">
        <f t="shared" si="14"/>
        <v>1.25E-3</v>
      </c>
      <c r="BP24">
        <f t="shared" si="15"/>
        <v>0.76159415595576485</v>
      </c>
      <c r="BQ24">
        <f t="shared" si="16"/>
        <v>-0.24662202472313419</v>
      </c>
    </row>
    <row r="25" spans="1:69" x14ac:dyDescent="0.25">
      <c r="A25" s="1" t="s">
        <v>36</v>
      </c>
      <c r="B25">
        <f t="shared" ca="1" si="2"/>
        <v>192.29025263420596</v>
      </c>
      <c r="C25" t="s">
        <v>226</v>
      </c>
      <c r="D25">
        <f t="shared" si="17"/>
        <v>96</v>
      </c>
      <c r="E25">
        <f t="shared" si="18"/>
        <v>142.43</v>
      </c>
      <c r="F25">
        <f t="shared" si="19"/>
        <v>9.0399999999999991</v>
      </c>
      <c r="G25">
        <f t="shared" si="20"/>
        <v>31.87</v>
      </c>
      <c r="H25">
        <f t="shared" si="21"/>
        <v>16</v>
      </c>
      <c r="I25">
        <f t="shared" si="22"/>
        <v>13</v>
      </c>
      <c r="J25">
        <f t="shared" si="23"/>
        <v>-7.35</v>
      </c>
      <c r="K25">
        <f t="shared" si="24"/>
        <v>0.02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45</v>
      </c>
      <c r="Q25">
        <f t="shared" ca="1" si="25"/>
        <v>140.97925400000003</v>
      </c>
      <c r="R25">
        <f t="shared" ca="1" si="26"/>
        <v>20.483077999999999</v>
      </c>
      <c r="S25" t="e">
        <f t="shared" si="27"/>
        <v>#VALUE!</v>
      </c>
      <c r="T25">
        <f t="shared" ca="1" si="28"/>
        <v>1000000</v>
      </c>
      <c r="U25">
        <f t="shared" ca="1" si="29"/>
        <v>100</v>
      </c>
      <c r="V25">
        <f t="shared" si="30"/>
        <v>45</v>
      </c>
      <c r="W25">
        <f t="shared" ca="1" si="31"/>
        <v>124.819254</v>
      </c>
      <c r="X25">
        <f t="shared" ca="1" si="32"/>
        <v>20.483077999999999</v>
      </c>
      <c r="Y25" t="e">
        <f>GetFollowingCarRow($B$45:$E$54,L25,$E$15,E25)</f>
        <v>#VALUE!</v>
      </c>
      <c r="Z25">
        <f t="shared" ca="1" si="33"/>
        <v>1000000000</v>
      </c>
      <c r="AA25">
        <f t="shared" ca="1" si="34"/>
        <v>100</v>
      </c>
      <c r="AB25">
        <f t="shared" si="35"/>
        <v>-2.879999999999999</v>
      </c>
      <c r="AC25">
        <f t="shared" si="36"/>
        <v>16.160000000000011</v>
      </c>
      <c r="AD25">
        <f t="shared" si="37"/>
        <v>-16.343564356435621</v>
      </c>
      <c r="AE25">
        <f t="shared" si="38"/>
        <v>264.1119999999998</v>
      </c>
      <c r="AF25">
        <f t="shared" si="39"/>
        <v>16.414627622946565</v>
      </c>
      <c r="AG25">
        <f t="shared" si="40"/>
        <v>9.5879060320558445</v>
      </c>
      <c r="AH25">
        <f t="shared" si="41"/>
        <v>0.4300842114019795</v>
      </c>
      <c r="AI25">
        <f>IF(G25&lt;=0,1,0)</f>
        <v>0</v>
      </c>
      <c r="AJ25">
        <f>IF(G25&lt;0,1,0)</f>
        <v>0</v>
      </c>
      <c r="AK25">
        <f>MAX(($B$3-G25)/(G25 + 1),0) / $B$3</f>
        <v>0</v>
      </c>
      <c r="AL25">
        <f>IF(H25+ABS(K25)&lt;0,Logistic(SQRT(H25^2+K25^2)/$B$4),0)</f>
        <v>0</v>
      </c>
      <c r="AM25">
        <f>IF(G25&gt;$B$3,1,0)</f>
        <v>1</v>
      </c>
      <c r="AN25">
        <f>IF(H25&gt;$B$4,1,0)</f>
        <v>1</v>
      </c>
      <c r="AO25">
        <f>ABS(H25)/$B$4</f>
        <v>2</v>
      </c>
      <c r="AP25">
        <f>Logistic(I25/$B$5)</f>
        <v>0.67096707420687363</v>
      </c>
      <c r="AQ25">
        <f>IF(I25&gt;$B$5,1,0)</f>
        <v>1</v>
      </c>
      <c r="AR25">
        <f>Logistic(ABS(F25-O25)/($B$6/2))</f>
        <v>0.23549574953849814</v>
      </c>
      <c r="AS25">
        <f>IF(OR(F25&lt;M25,F25&gt;N25),1,0)</f>
        <v>0</v>
      </c>
      <c r="AT25">
        <f>ABS(K25)/$B$4</f>
        <v>2.5000000000000001E-3</v>
      </c>
      <c r="AU25">
        <f t="shared" ca="1" si="42"/>
        <v>0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</v>
      </c>
      <c r="BA25">
        <f t="shared" ca="1" si="43"/>
        <v>0</v>
      </c>
      <c r="BB25">
        <f t="shared" ca="1" si="44"/>
        <v>0</v>
      </c>
      <c r="BC25">
        <f t="shared" si="45"/>
        <v>0</v>
      </c>
      <c r="BE25">
        <f t="shared" si="7"/>
        <v>0.4300842114019795</v>
      </c>
      <c r="BF25">
        <f t="shared" si="46"/>
        <v>0</v>
      </c>
      <c r="BG25">
        <f t="shared" si="47"/>
        <v>0</v>
      </c>
      <c r="BH25">
        <f t="shared" si="8"/>
        <v>-0.16059932287122611</v>
      </c>
      <c r="BI25">
        <f t="shared" si="9"/>
        <v>1</v>
      </c>
      <c r="BJ25">
        <f t="shared" si="10"/>
        <v>1</v>
      </c>
      <c r="BK25">
        <f t="shared" si="11"/>
        <v>1.6487212707001282</v>
      </c>
      <c r="BL25">
        <f t="shared" si="48"/>
        <v>0</v>
      </c>
      <c r="BM25">
        <f t="shared" si="12"/>
        <v>1.4690491938490167</v>
      </c>
      <c r="BN25">
        <f t="shared" si="13"/>
        <v>0</v>
      </c>
      <c r="BO25">
        <f t="shared" si="14"/>
        <v>2.5000000000000001E-3</v>
      </c>
      <c r="BP25">
        <f t="shared" si="15"/>
        <v>0.76159415595576485</v>
      </c>
      <c r="BQ25">
        <f t="shared" si="16"/>
        <v>-0.16554734165045007</v>
      </c>
    </row>
    <row r="26" spans="1:69" x14ac:dyDescent="0.25">
      <c r="A26" s="1" t="s">
        <v>79</v>
      </c>
      <c r="B26">
        <f t="shared" ca="1" si="2"/>
        <v>239.46220686875628</v>
      </c>
      <c r="C26" t="s">
        <v>225</v>
      </c>
      <c r="D26">
        <f t="shared" si="17"/>
        <v>148</v>
      </c>
      <c r="E26">
        <f t="shared" si="18"/>
        <v>129.21</v>
      </c>
      <c r="F26">
        <f t="shared" si="19"/>
        <v>6.22</v>
      </c>
      <c r="G26">
        <f t="shared" si="20"/>
        <v>1.47</v>
      </c>
      <c r="H26">
        <f t="shared" si="21"/>
        <v>0</v>
      </c>
      <c r="I26">
        <f t="shared" si="22"/>
        <v>3</v>
      </c>
      <c r="J26">
        <f t="shared" si="23"/>
        <v>-0.04</v>
      </c>
      <c r="K26">
        <f t="shared" si="24"/>
        <v>0.01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>
        <f t="shared" si="5"/>
        <v>45</v>
      </c>
      <c r="Q26">
        <f t="shared" ca="1" si="25"/>
        <v>140.97925400000003</v>
      </c>
      <c r="R26">
        <f t="shared" ca="1" si="26"/>
        <v>20.483077999999999</v>
      </c>
      <c r="S26" t="e">
        <f t="shared" si="27"/>
        <v>#VALUE!</v>
      </c>
      <c r="T26">
        <f t="shared" ca="1" si="28"/>
        <v>1000000</v>
      </c>
      <c r="U26">
        <f t="shared" ca="1" si="29"/>
        <v>100</v>
      </c>
      <c r="V26">
        <f t="shared" si="30"/>
        <v>45</v>
      </c>
      <c r="W26">
        <f t="shared" ca="1" si="31"/>
        <v>138.039254</v>
      </c>
      <c r="X26">
        <f t="shared" ca="1" si="32"/>
        <v>20.483077999999999</v>
      </c>
      <c r="Y26" t="e">
        <f>GetFollowingCarRow($B$45:$E$54,L26,$E$15,E26)</f>
        <v>#VALUE!</v>
      </c>
      <c r="Z26">
        <f t="shared" ca="1" si="33"/>
        <v>1000000000</v>
      </c>
      <c r="AA26">
        <f t="shared" ca="1" si="34"/>
        <v>100</v>
      </c>
      <c r="AB26">
        <f t="shared" si="35"/>
        <v>-5.9999999999999609E-2</v>
      </c>
      <c r="AC26">
        <f t="shared" si="36"/>
        <v>2.9400000000000119</v>
      </c>
      <c r="AD26">
        <f t="shared" si="37"/>
        <v>3.5830612244898234</v>
      </c>
      <c r="AE26">
        <f t="shared" si="38"/>
        <v>-10.534200000000125</v>
      </c>
      <c r="AF26">
        <f t="shared" si="39"/>
        <v>2.9406121811622952</v>
      </c>
      <c r="AG26">
        <f t="shared" si="40"/>
        <v>4.1918908582932861</v>
      </c>
      <c r="AH26">
        <f t="shared" si="41"/>
        <v>0.75306590486955205</v>
      </c>
      <c r="AI26">
        <f>IF(G26&lt;=0,1,0)</f>
        <v>0</v>
      </c>
      <c r="AJ26">
        <f>IF(G26&lt;0,1,0)</f>
        <v>0</v>
      </c>
      <c r="AK26">
        <f>MAX(($B$3-G26)/(G26 + 1),0) / $B$3</f>
        <v>0.37681203661659046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0.18533319990813948</v>
      </c>
      <c r="AQ26">
        <f>IF(I26&gt;$B$5,1,0)</f>
        <v>0</v>
      </c>
      <c r="AR26">
        <f>Logistic(ABS(F26-O26)/($B$6/2))</f>
        <v>0.73751106112295339</v>
      </c>
      <c r="AS26">
        <f>IF(OR(F26&lt;M26,F26&gt;N26),1,0)</f>
        <v>1</v>
      </c>
      <c r="AT26">
        <f>ABS(K26)/$B$4</f>
        <v>1.25E-3</v>
      </c>
      <c r="AU26">
        <f t="shared" ca="1" si="42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3"/>
        <v>0</v>
      </c>
      <c r="BB26">
        <f t="shared" ca="1" si="44"/>
        <v>0</v>
      </c>
      <c r="BC26">
        <f t="shared" si="45"/>
        <v>0</v>
      </c>
      <c r="BE26">
        <f t="shared" si="7"/>
        <v>0.75306590486955205</v>
      </c>
      <c r="BF26">
        <f t="shared" si="46"/>
        <v>0</v>
      </c>
      <c r="BG26">
        <f t="shared" si="47"/>
        <v>0</v>
      </c>
      <c r="BH26">
        <f t="shared" si="8"/>
        <v>0.99932657976538875</v>
      </c>
      <c r="BI26">
        <f t="shared" si="9"/>
        <v>0</v>
      </c>
      <c r="BJ26">
        <f t="shared" si="10"/>
        <v>0</v>
      </c>
      <c r="BK26">
        <f t="shared" si="11"/>
        <v>0</v>
      </c>
      <c r="BL26">
        <f t="shared" si="48"/>
        <v>0</v>
      </c>
      <c r="BM26">
        <f t="shared" si="12"/>
        <v>0.18887560283756183</v>
      </c>
      <c r="BN26">
        <f t="shared" si="13"/>
        <v>0.44500000000000006</v>
      </c>
      <c r="BO26">
        <f t="shared" si="14"/>
        <v>1.25E-3</v>
      </c>
      <c r="BP26">
        <f t="shared" si="15"/>
        <v>0</v>
      </c>
      <c r="BQ26">
        <f t="shared" si="16"/>
        <v>0.99999707503613611</v>
      </c>
    </row>
    <row r="27" spans="1:69" x14ac:dyDescent="0.25">
      <c r="A27" s="1" t="s">
        <v>80</v>
      </c>
      <c r="B27">
        <f t="shared" ca="1" si="2"/>
        <v>239.46220686875628</v>
      </c>
      <c r="C27" t="s">
        <v>224</v>
      </c>
      <c r="D27">
        <f t="shared" si="17"/>
        <v>148</v>
      </c>
      <c r="E27">
        <f t="shared" si="18"/>
        <v>129.21</v>
      </c>
      <c r="F27">
        <f t="shared" si="19"/>
        <v>6.25</v>
      </c>
      <c r="G27">
        <f t="shared" si="20"/>
        <v>1.47</v>
      </c>
      <c r="H27">
        <f t="shared" si="21"/>
        <v>0</v>
      </c>
      <c r="I27">
        <f t="shared" si="22"/>
        <v>3</v>
      </c>
      <c r="J27">
        <f t="shared" si="23"/>
        <v>-7.0000000000000007E-2</v>
      </c>
      <c r="K27">
        <f t="shared" si="24"/>
        <v>0.01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>
        <f t="shared" si="5"/>
        <v>45</v>
      </c>
      <c r="Q27">
        <f t="shared" ca="1" si="25"/>
        <v>140.97925400000003</v>
      </c>
      <c r="R27">
        <f t="shared" ca="1" si="26"/>
        <v>20.483077999999999</v>
      </c>
      <c r="S27" t="e">
        <f t="shared" si="27"/>
        <v>#VALUE!</v>
      </c>
      <c r="T27">
        <f t="shared" ca="1" si="28"/>
        <v>1000000</v>
      </c>
      <c r="U27">
        <f t="shared" ca="1" si="29"/>
        <v>100</v>
      </c>
      <c r="V27">
        <f t="shared" si="30"/>
        <v>45</v>
      </c>
      <c r="W27">
        <f t="shared" ca="1" si="31"/>
        <v>138.039254</v>
      </c>
      <c r="X27">
        <f t="shared" ca="1" si="32"/>
        <v>20.483077999999999</v>
      </c>
      <c r="Y27" t="e">
        <f>GetFollowingCarRow($B$45:$E$54,L27,$E$15,E27)</f>
        <v>#VALUE!</v>
      </c>
      <c r="Z27">
        <f t="shared" ca="1" si="33"/>
        <v>1000000000</v>
      </c>
      <c r="AA27">
        <f t="shared" ca="1" si="34"/>
        <v>100</v>
      </c>
      <c r="AB27">
        <f t="shared" si="35"/>
        <v>-8.9999999999999858E-2</v>
      </c>
      <c r="AC27">
        <f t="shared" si="36"/>
        <v>2.9400000000000119</v>
      </c>
      <c r="AD27">
        <f t="shared" si="37"/>
        <v>2.2945918367347162</v>
      </c>
      <c r="AE27">
        <f t="shared" si="38"/>
        <v>-6.7461000000000935</v>
      </c>
      <c r="AF27">
        <f t="shared" si="39"/>
        <v>2.9413772284424979</v>
      </c>
      <c r="AG27">
        <f t="shared" si="40"/>
        <v>1.8005599243741106</v>
      </c>
      <c r="AH27">
        <f t="shared" si="41"/>
        <v>0.75306590486955205</v>
      </c>
      <c r="AI27">
        <f>IF(G27&lt;=0,1,0)</f>
        <v>0</v>
      </c>
      <c r="AJ27">
        <f>IF(G27&lt;0,1,0)</f>
        <v>0</v>
      </c>
      <c r="AK27">
        <f>MAX(($B$3-G27)/(G27 + 1),0) / $B$3</f>
        <v>0.37681203661659046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0</v>
      </c>
      <c r="AP27">
        <f>Logistic(I27/$B$5)</f>
        <v>0.18533319990813948</v>
      </c>
      <c r="AQ27">
        <f>IF(I27&gt;$B$5,1,0)</f>
        <v>0</v>
      </c>
      <c r="AR27">
        <f>Logistic(ABS(F27-O27)/($B$6/2))</f>
        <v>0.73407151960434147</v>
      </c>
      <c r="AS27">
        <f>IF(OR(F27&lt;M27,F27&gt;N27),1,0)</f>
        <v>1</v>
      </c>
      <c r="AT27">
        <f>ABS(K27)/$B$4</f>
        <v>1.25E-3</v>
      </c>
      <c r="AU27">
        <f t="shared" ca="1" si="42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</v>
      </c>
      <c r="BA27">
        <f t="shared" ca="1" si="43"/>
        <v>0</v>
      </c>
      <c r="BB27">
        <f t="shared" ca="1" si="44"/>
        <v>0</v>
      </c>
      <c r="BC27">
        <f t="shared" si="45"/>
        <v>0</v>
      </c>
      <c r="BE27">
        <f t="shared" si="7"/>
        <v>0.75306590486955205</v>
      </c>
      <c r="BF27">
        <f t="shared" si="46"/>
        <v>0</v>
      </c>
      <c r="BG27">
        <f t="shared" si="47"/>
        <v>0</v>
      </c>
      <c r="BH27">
        <f t="shared" si="8"/>
        <v>0.99932657976538875</v>
      </c>
      <c r="BI27">
        <f t="shared" si="9"/>
        <v>0</v>
      </c>
      <c r="BJ27">
        <f t="shared" si="10"/>
        <v>0</v>
      </c>
      <c r="BK27">
        <f t="shared" si="11"/>
        <v>0</v>
      </c>
      <c r="BL27">
        <f t="shared" si="48"/>
        <v>0</v>
      </c>
      <c r="BM27">
        <f t="shared" si="12"/>
        <v>0.18887560283756183</v>
      </c>
      <c r="BN27">
        <f t="shared" si="13"/>
        <v>0.4375</v>
      </c>
      <c r="BO27">
        <f t="shared" si="14"/>
        <v>1.25E-3</v>
      </c>
      <c r="BP27">
        <f t="shared" si="15"/>
        <v>0</v>
      </c>
      <c r="BQ27">
        <f t="shared" si="16"/>
        <v>0.99999707503613611</v>
      </c>
    </row>
    <row r="28" spans="1:69" x14ac:dyDescent="0.25">
      <c r="A28" s="1" t="s">
        <v>81</v>
      </c>
      <c r="B28">
        <f t="shared" ca="1" si="2"/>
        <v>239.46220686875628</v>
      </c>
      <c r="C28" t="s">
        <v>223</v>
      </c>
      <c r="D28">
        <f t="shared" si="17"/>
        <v>148</v>
      </c>
      <c r="E28">
        <f t="shared" si="18"/>
        <v>129.21</v>
      </c>
      <c r="F28">
        <f t="shared" si="19"/>
        <v>6.33</v>
      </c>
      <c r="G28">
        <f t="shared" si="20"/>
        <v>1.47</v>
      </c>
      <c r="H28">
        <f t="shared" si="21"/>
        <v>0</v>
      </c>
      <c r="I28">
        <f t="shared" si="22"/>
        <v>3</v>
      </c>
      <c r="J28">
        <f t="shared" si="23"/>
        <v>-0.14000000000000001</v>
      </c>
      <c r="K28">
        <f t="shared" si="24"/>
        <v>0.02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>
        <f t="shared" si="5"/>
        <v>45</v>
      </c>
      <c r="Q28">
        <f t="shared" ca="1" si="25"/>
        <v>140.97925400000003</v>
      </c>
      <c r="R28">
        <f t="shared" ca="1" si="26"/>
        <v>20.483077999999999</v>
      </c>
      <c r="S28" t="e">
        <f t="shared" si="27"/>
        <v>#VALUE!</v>
      </c>
      <c r="T28">
        <f t="shared" ca="1" si="28"/>
        <v>1000000</v>
      </c>
      <c r="U28">
        <f t="shared" ca="1" si="29"/>
        <v>100</v>
      </c>
      <c r="V28">
        <f t="shared" si="30"/>
        <v>45</v>
      </c>
      <c r="W28">
        <f t="shared" ca="1" si="31"/>
        <v>138.039254</v>
      </c>
      <c r="X28">
        <f t="shared" ca="1" si="32"/>
        <v>20.483077999999999</v>
      </c>
      <c r="Y28" t="e">
        <f>GetFollowingCarRow($B$45:$E$54,L28,$E$15,E28)</f>
        <v>#VALUE!</v>
      </c>
      <c r="Z28">
        <f t="shared" ca="1" si="33"/>
        <v>1000000000</v>
      </c>
      <c r="AA28">
        <f t="shared" ca="1" si="34"/>
        <v>100</v>
      </c>
      <c r="AB28">
        <f t="shared" si="35"/>
        <v>-0.16999999999999993</v>
      </c>
      <c r="AC28">
        <f t="shared" si="36"/>
        <v>2.9400000000000119</v>
      </c>
      <c r="AD28">
        <f t="shared" si="37"/>
        <v>-1.1413265306122113</v>
      </c>
      <c r="AE28">
        <f t="shared" si="38"/>
        <v>3.3554999999999149</v>
      </c>
      <c r="AF28">
        <f t="shared" si="39"/>
        <v>2.9449108645254563</v>
      </c>
      <c r="AG28">
        <f t="shared" si="40"/>
        <v>0.88821421779146958</v>
      </c>
      <c r="AH28">
        <f t="shared" si="41"/>
        <v>0.75306590486955205</v>
      </c>
      <c r="AI28">
        <f>IF(G28&lt;=0,1,0)</f>
        <v>0</v>
      </c>
      <c r="AJ28">
        <f>IF(G28&lt;0,1,0)</f>
        <v>0</v>
      </c>
      <c r="AK28">
        <f>MAX(($B$3-G28)/(G28 + 1),0) / $B$3</f>
        <v>0.37681203661659046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0</v>
      </c>
      <c r="AP28">
        <f>Logistic(I28/$B$5)</f>
        <v>0.18533319990813948</v>
      </c>
      <c r="AQ28">
        <f>IF(I28&gt;$B$5,1,0)</f>
        <v>0</v>
      </c>
      <c r="AR28">
        <f>Logistic(ABS(F28-O28)/($B$6/2))</f>
        <v>0.7247125847970074</v>
      </c>
      <c r="AS28">
        <f>IF(OR(F28&lt;M28,F28&gt;N28),1,0)</f>
        <v>1</v>
      </c>
      <c r="AT28">
        <f>ABS(K28)/$B$4</f>
        <v>2.5000000000000001E-3</v>
      </c>
      <c r="AU28">
        <f t="shared" ca="1" si="42"/>
        <v>0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</v>
      </c>
      <c r="BA28">
        <f t="shared" ca="1" si="43"/>
        <v>0</v>
      </c>
      <c r="BB28">
        <f t="shared" ca="1" si="44"/>
        <v>0</v>
      </c>
      <c r="BC28">
        <f t="shared" si="45"/>
        <v>0</v>
      </c>
      <c r="BE28">
        <f t="shared" si="7"/>
        <v>0.75306590486955205</v>
      </c>
      <c r="BF28">
        <f t="shared" si="46"/>
        <v>0</v>
      </c>
      <c r="BG28">
        <f t="shared" si="47"/>
        <v>0</v>
      </c>
      <c r="BH28">
        <f t="shared" si="8"/>
        <v>0.99932657976538875</v>
      </c>
      <c r="BI28">
        <f t="shared" si="9"/>
        <v>0</v>
      </c>
      <c r="BJ28">
        <f t="shared" si="10"/>
        <v>0</v>
      </c>
      <c r="BK28">
        <f t="shared" si="11"/>
        <v>0</v>
      </c>
      <c r="BL28">
        <f t="shared" si="48"/>
        <v>0</v>
      </c>
      <c r="BM28">
        <f t="shared" si="12"/>
        <v>0.18887560283756183</v>
      </c>
      <c r="BN28">
        <f t="shared" si="13"/>
        <v>0.41749999999999998</v>
      </c>
      <c r="BO28">
        <f t="shared" si="14"/>
        <v>2.5000000000000001E-3</v>
      </c>
      <c r="BP28">
        <f t="shared" si="15"/>
        <v>0</v>
      </c>
      <c r="BQ28">
        <f t="shared" si="16"/>
        <v>0.99999707503613611</v>
      </c>
    </row>
    <row r="29" spans="1:69" x14ac:dyDescent="0.25">
      <c r="A29" s="1" t="s">
        <v>22</v>
      </c>
      <c r="B29">
        <f t="shared" ca="1" si="2"/>
        <v>219.76035241741505</v>
      </c>
      <c r="C29" t="s">
        <v>222</v>
      </c>
      <c r="D29">
        <f t="shared" si="17"/>
        <v>148</v>
      </c>
      <c r="E29">
        <f t="shared" si="18"/>
        <v>165.21</v>
      </c>
      <c r="F29">
        <f t="shared" si="19"/>
        <v>8.1</v>
      </c>
      <c r="G29">
        <f t="shared" si="20"/>
        <v>37.29</v>
      </c>
      <c r="H29">
        <f t="shared" si="21"/>
        <v>9</v>
      </c>
      <c r="I29">
        <f t="shared" si="22"/>
        <v>6</v>
      </c>
      <c r="J29">
        <f t="shared" si="23"/>
        <v>1.19</v>
      </c>
      <c r="K29">
        <f t="shared" si="24"/>
        <v>0.01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>
        <f t="shared" si="5"/>
        <v>45</v>
      </c>
      <c r="Q29">
        <f t="shared" ca="1" si="25"/>
        <v>140.97925400000003</v>
      </c>
      <c r="R29">
        <f t="shared" ca="1" si="26"/>
        <v>20.483077999999999</v>
      </c>
      <c r="S29" t="e">
        <f t="shared" si="27"/>
        <v>#VALUE!</v>
      </c>
      <c r="T29">
        <f t="shared" ca="1" si="28"/>
        <v>1000000</v>
      </c>
      <c r="U29">
        <f t="shared" ca="1" si="29"/>
        <v>100</v>
      </c>
      <c r="V29">
        <f t="shared" si="30"/>
        <v>45</v>
      </c>
      <c r="W29">
        <f t="shared" ca="1" si="31"/>
        <v>102.039254</v>
      </c>
      <c r="X29">
        <f t="shared" ca="1" si="32"/>
        <v>20.483077999999999</v>
      </c>
      <c r="Y29" t="e">
        <f>GetFollowingCarRow($B$45:$E$54,L29,$E$15,E29)</f>
        <v>#VALUE!</v>
      </c>
      <c r="Z29">
        <f t="shared" ca="1" si="33"/>
        <v>1000000000</v>
      </c>
      <c r="AA29">
        <f t="shared" ca="1" si="34"/>
        <v>100</v>
      </c>
      <c r="AB29">
        <f t="shared" si="35"/>
        <v>-1.9399999999999995</v>
      </c>
      <c r="AC29">
        <f t="shared" si="36"/>
        <v>38.940000000000012</v>
      </c>
      <c r="AD29">
        <f t="shared" si="37"/>
        <v>-0.13080123266563515</v>
      </c>
      <c r="AE29">
        <f t="shared" si="38"/>
        <v>5.0933999999998338</v>
      </c>
      <c r="AF29">
        <f t="shared" si="39"/>
        <v>38.988295679601087</v>
      </c>
      <c r="AG29">
        <f t="shared" si="40"/>
        <v>1.5942315322216229</v>
      </c>
      <c r="AH29">
        <f t="shared" si="41"/>
        <v>0.75306590486955205</v>
      </c>
      <c r="AI29">
        <f>IF(G29&lt;=0,1,0)</f>
        <v>0</v>
      </c>
      <c r="AJ29">
        <f>IF(G29&lt;0,1,0)</f>
        <v>0</v>
      </c>
      <c r="AK29">
        <f>MAX(($B$3-G29)/(G29 + 1),0) / $B$3</f>
        <v>0</v>
      </c>
      <c r="AL29">
        <f>IF(H29+ABS(K29)&lt;0,Logistic(SQRT(H29^2+K29^2)/$B$4),0)</f>
        <v>0</v>
      </c>
      <c r="AM29">
        <f>IF(G29&gt;$B$3,1,0)</f>
        <v>1</v>
      </c>
      <c r="AN29">
        <f>IF(H29&gt;$B$4,1,0)</f>
        <v>1</v>
      </c>
      <c r="AO29">
        <f>ABS(H29)/$B$4</f>
        <v>1.125</v>
      </c>
      <c r="AP29">
        <f>Logistic(I29/$B$5)</f>
        <v>0.35835739835078595</v>
      </c>
      <c r="AQ29">
        <f>IF(I29&gt;$B$5,1,0)</f>
        <v>0</v>
      </c>
      <c r="AR29">
        <f>Logistic(ABS(F29-O29)/($B$6/2))</f>
        <v>0.44223035604572625</v>
      </c>
      <c r="AS29">
        <f>IF(OR(F29&lt;M29,F29&gt;N29),1,0)</f>
        <v>0</v>
      </c>
      <c r="AT29">
        <f>ABS(K29)/$B$4</f>
        <v>1.25E-3</v>
      </c>
      <c r="AU29">
        <f t="shared" ca="1" si="42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0.16118338622622264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0.39287363861151969</v>
      </c>
      <c r="AZ29">
        <f ca="1">MAX(1-(IF(Z29/(G29-AA29)&gt;0,Z29/(G29-AA29),Collision_Time_Buffer)/Collision_Time_Buffer),0)*IF($L$15&lt;&gt;L29,Lane_Change_Multiplier,1)</f>
        <v>0</v>
      </c>
      <c r="BA29">
        <f t="shared" ca="1" si="43"/>
        <v>0</v>
      </c>
      <c r="BB29">
        <f t="shared" ca="1" si="44"/>
        <v>0</v>
      </c>
      <c r="BC29">
        <f t="shared" si="45"/>
        <v>0</v>
      </c>
      <c r="BE29">
        <f t="shared" si="7"/>
        <v>0.75306590486955205</v>
      </c>
      <c r="BF29">
        <f t="shared" si="46"/>
        <v>0</v>
      </c>
      <c r="BG29">
        <f t="shared" si="47"/>
        <v>0</v>
      </c>
      <c r="BH29">
        <f t="shared" si="8"/>
        <v>-0.20681900814473692</v>
      </c>
      <c r="BI29">
        <f t="shared" si="9"/>
        <v>1</v>
      </c>
      <c r="BJ29">
        <f t="shared" si="10"/>
        <v>1</v>
      </c>
      <c r="BK29">
        <f t="shared" si="11"/>
        <v>1.1175190687418637</v>
      </c>
      <c r="BL29">
        <f t="shared" si="48"/>
        <v>0</v>
      </c>
      <c r="BM29">
        <f t="shared" si="12"/>
        <v>0.71653131057378927</v>
      </c>
      <c r="BN29">
        <f t="shared" si="13"/>
        <v>0</v>
      </c>
      <c r="BO29">
        <f t="shared" si="14"/>
        <v>1.25E-3</v>
      </c>
      <c r="BP29">
        <f t="shared" si="15"/>
        <v>0.50982997373525663</v>
      </c>
      <c r="BQ29">
        <f t="shared" si="16"/>
        <v>-0.21219938667259125</v>
      </c>
    </row>
    <row r="30" spans="1:69" x14ac:dyDescent="0.25">
      <c r="A30" s="1" t="s">
        <v>21</v>
      </c>
      <c r="B30">
        <f t="shared" ca="1" si="2"/>
        <v>195.53750141510486</v>
      </c>
      <c r="C30" t="s">
        <v>221</v>
      </c>
      <c r="D30">
        <f t="shared" si="17"/>
        <v>134</v>
      </c>
      <c r="E30">
        <f t="shared" si="18"/>
        <v>155.43</v>
      </c>
      <c r="F30">
        <f t="shared" si="19"/>
        <v>9.02</v>
      </c>
      <c r="G30">
        <f t="shared" si="20"/>
        <v>32.25</v>
      </c>
      <c r="H30">
        <f t="shared" si="21"/>
        <v>9</v>
      </c>
      <c r="I30">
        <f t="shared" si="22"/>
        <v>6</v>
      </c>
      <c r="J30">
        <f t="shared" si="23"/>
        <v>-1.72</v>
      </c>
      <c r="K30">
        <f t="shared" si="24"/>
        <v>0.01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>
        <f t="shared" si="5"/>
        <v>45</v>
      </c>
      <c r="Q30">
        <f t="shared" ca="1" si="25"/>
        <v>140.97925400000003</v>
      </c>
      <c r="R30">
        <f t="shared" ca="1" si="26"/>
        <v>20.483077999999999</v>
      </c>
      <c r="S30" t="e">
        <f t="shared" si="27"/>
        <v>#VALUE!</v>
      </c>
      <c r="T30">
        <f t="shared" ca="1" si="28"/>
        <v>1000000</v>
      </c>
      <c r="U30">
        <f t="shared" ca="1" si="29"/>
        <v>100</v>
      </c>
      <c r="V30">
        <f t="shared" si="30"/>
        <v>45</v>
      </c>
      <c r="W30">
        <f t="shared" ca="1" si="31"/>
        <v>111.819254</v>
      </c>
      <c r="X30">
        <f t="shared" ca="1" si="32"/>
        <v>20.483077999999999</v>
      </c>
      <c r="Y30" t="e">
        <f>GetFollowingCarRow($B$45:$E$54,L30,$E$15,E30)</f>
        <v>#VALUE!</v>
      </c>
      <c r="Z30">
        <f t="shared" ca="1" si="33"/>
        <v>1000000000</v>
      </c>
      <c r="AA30">
        <f t="shared" ca="1" si="34"/>
        <v>100</v>
      </c>
      <c r="AB30">
        <f t="shared" si="35"/>
        <v>-2.8599999999999994</v>
      </c>
      <c r="AC30">
        <f t="shared" si="36"/>
        <v>29.160000000000011</v>
      </c>
      <c r="AD30">
        <f t="shared" si="37"/>
        <v>-6.224506172839499</v>
      </c>
      <c r="AE30">
        <f t="shared" si="38"/>
        <v>181.50659999999985</v>
      </c>
      <c r="AF30">
        <f t="shared" si="39"/>
        <v>29.299918088622718</v>
      </c>
      <c r="AG30">
        <f t="shared" si="40"/>
        <v>2.6514954794418584</v>
      </c>
      <c r="AH30">
        <f t="shared" si="41"/>
        <v>0.68580906222909455</v>
      </c>
      <c r="AI30">
        <f>IF(G30&lt;=0,1,0)</f>
        <v>0</v>
      </c>
      <c r="AJ30">
        <f>IF(G30&lt;0,1,0)</f>
        <v>0</v>
      </c>
      <c r="AK30">
        <f>MAX(($B$3-G30)/(G30 + 1),0) / $B$3</f>
        <v>0</v>
      </c>
      <c r="AL30">
        <f>IF(H30+ABS(K30)&lt;0,Logistic(SQRT(H30^2+K30^2)/$B$4),0)</f>
        <v>0</v>
      </c>
      <c r="AM30">
        <f>IF(G30&gt;$B$3,1,0)</f>
        <v>1</v>
      </c>
      <c r="AN30">
        <f>IF(H30&gt;$B$4,1,0)</f>
        <v>1</v>
      </c>
      <c r="AO30">
        <f>ABS(H30)/$B$4</f>
        <v>1.125</v>
      </c>
      <c r="AP30">
        <f>Logistic(I30/$B$5)</f>
        <v>0.35835739835078595</v>
      </c>
      <c r="AQ30">
        <f>IF(I30&gt;$B$5,1,0)</f>
        <v>0</v>
      </c>
      <c r="AR30">
        <f>Logistic(ABS(F30-O30)/($B$6/2))</f>
        <v>0.24021286468618039</v>
      </c>
      <c r="AS30">
        <f>IF(OR(F30&lt;M30,F30&gt;N30),1,0)</f>
        <v>0</v>
      </c>
      <c r="AT30">
        <f>ABS(K30)/$B$4</f>
        <v>1.25E-3</v>
      </c>
      <c r="AU30">
        <f t="shared" ca="1" si="42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</v>
      </c>
      <c r="AY30">
        <f ca="1">MAX(1-(IF(W30/(G30-X30)&gt;0,W30/(G30-X30),Collision_Time_Buffer)/Collision_Time_Buffer),0)*IF($L$15&lt;&gt;L30,Lane_Change_Multiplier,1)</f>
        <v>4.9715346120251303E-2</v>
      </c>
      <c r="AZ30">
        <f ca="1">MAX(1-(IF(Z30/(G30-AA30)&gt;0,Z30/(G30-AA30),Collision_Time_Buffer)/Collision_Time_Buffer),0)*IF($L$15&lt;&gt;L30,Lane_Change_Multiplier,1)</f>
        <v>0</v>
      </c>
      <c r="BA30">
        <f t="shared" ca="1" si="43"/>
        <v>0</v>
      </c>
      <c r="BB30">
        <f t="shared" ca="1" si="44"/>
        <v>0</v>
      </c>
      <c r="BC30">
        <f t="shared" si="45"/>
        <v>0</v>
      </c>
      <c r="BE30">
        <f t="shared" si="7"/>
        <v>0.68580906222909455</v>
      </c>
      <c r="BF30">
        <f t="shared" si="46"/>
        <v>0</v>
      </c>
      <c r="BG30">
        <f t="shared" si="47"/>
        <v>0</v>
      </c>
      <c r="BH30">
        <f t="shared" si="8"/>
        <v>-0.16436017650638463</v>
      </c>
      <c r="BI30">
        <f t="shared" si="9"/>
        <v>1</v>
      </c>
      <c r="BJ30">
        <f t="shared" si="10"/>
        <v>1</v>
      </c>
      <c r="BK30">
        <f t="shared" si="11"/>
        <v>1.1175190687418637</v>
      </c>
      <c r="BL30">
        <f t="shared" si="48"/>
        <v>0</v>
      </c>
      <c r="BM30">
        <f t="shared" si="12"/>
        <v>0.71653131057378927</v>
      </c>
      <c r="BN30">
        <f t="shared" si="13"/>
        <v>0</v>
      </c>
      <c r="BO30">
        <f t="shared" si="14"/>
        <v>1.25E-3</v>
      </c>
      <c r="BP30">
        <f t="shared" si="15"/>
        <v>0.50982997373525663</v>
      </c>
      <c r="BQ30">
        <f t="shared" si="16"/>
        <v>-0.16936005939125223</v>
      </c>
    </row>
    <row r="31" spans="1:69" x14ac:dyDescent="0.25">
      <c r="A31" s="1" t="s">
        <v>20</v>
      </c>
      <c r="B31">
        <f t="shared" ca="1" si="2"/>
        <v>191.63238129656071</v>
      </c>
      <c r="C31" t="s">
        <v>220</v>
      </c>
      <c r="D31">
        <f t="shared" si="17"/>
        <v>111</v>
      </c>
      <c r="E31">
        <f t="shared" si="18"/>
        <v>142.41</v>
      </c>
      <c r="F31">
        <f t="shared" si="19"/>
        <v>9.0399999999999991</v>
      </c>
      <c r="G31">
        <f t="shared" si="20"/>
        <v>23.97</v>
      </c>
      <c r="H31">
        <f t="shared" si="21"/>
        <v>9</v>
      </c>
      <c r="I31">
        <f t="shared" si="22"/>
        <v>6</v>
      </c>
      <c r="J31">
        <f t="shared" si="23"/>
        <v>-5.52</v>
      </c>
      <c r="K31">
        <f t="shared" si="24"/>
        <v>0.02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>
        <f t="shared" si="5"/>
        <v>45</v>
      </c>
      <c r="Q31">
        <f t="shared" ca="1" si="25"/>
        <v>140.97925400000003</v>
      </c>
      <c r="R31">
        <f t="shared" ca="1" si="26"/>
        <v>20.483077999999999</v>
      </c>
      <c r="S31" t="e">
        <f t="shared" si="27"/>
        <v>#VALUE!</v>
      </c>
      <c r="T31">
        <f t="shared" ca="1" si="28"/>
        <v>1000000</v>
      </c>
      <c r="U31">
        <f t="shared" ca="1" si="29"/>
        <v>100</v>
      </c>
      <c r="V31">
        <f t="shared" si="30"/>
        <v>45</v>
      </c>
      <c r="W31">
        <f t="shared" ca="1" si="31"/>
        <v>124.83925400000001</v>
      </c>
      <c r="X31">
        <f t="shared" ca="1" si="32"/>
        <v>20.483077999999999</v>
      </c>
      <c r="Y31" t="e">
        <f>GetFollowingCarRow($B$45:$E$54,L31,$E$15,E31)</f>
        <v>#VALUE!</v>
      </c>
      <c r="Z31">
        <f t="shared" ca="1" si="33"/>
        <v>1000000000</v>
      </c>
      <c r="AA31">
        <f t="shared" ca="1" si="34"/>
        <v>100</v>
      </c>
      <c r="AB31">
        <f t="shared" si="35"/>
        <v>-2.879999999999999</v>
      </c>
      <c r="AC31">
        <f t="shared" si="36"/>
        <v>16.14</v>
      </c>
      <c r="AD31">
        <f t="shared" si="37"/>
        <v>-16.371449814126386</v>
      </c>
      <c r="AE31">
        <f t="shared" si="38"/>
        <v>264.23519999999991</v>
      </c>
      <c r="AF31">
        <f t="shared" si="39"/>
        <v>16.394938243250568</v>
      </c>
      <c r="AG31">
        <f t="shared" si="40"/>
        <v>9.6067331015924928</v>
      </c>
      <c r="AH31">
        <f t="shared" si="41"/>
        <v>0.54412709885356747</v>
      </c>
      <c r="AI31">
        <f>IF(G31&lt;=0,1,0)</f>
        <v>0</v>
      </c>
      <c r="AJ31">
        <f>IF(G31&lt;0,1,0)</f>
        <v>0</v>
      </c>
      <c r="AK31">
        <f>MAX(($B$3-G31)/(G31 + 1),0) / $B$3</f>
        <v>0</v>
      </c>
      <c r="AL31">
        <f>IF(H31+ABS(K31)&lt;0,Logistic(SQRT(H31^2+K31^2)/$B$4),0)</f>
        <v>0</v>
      </c>
      <c r="AM31">
        <f>IF(G31&gt;$B$3,1,0)</f>
        <v>1</v>
      </c>
      <c r="AN31">
        <f>IF(H31&gt;$B$4,1,0)</f>
        <v>1</v>
      </c>
      <c r="AO31">
        <f>ABS(H31)/$B$4</f>
        <v>1.125</v>
      </c>
      <c r="AP31">
        <f>Logistic(I31/$B$5)</f>
        <v>0.35835739835078595</v>
      </c>
      <c r="AQ31">
        <f>IF(I31&gt;$B$5,1,0)</f>
        <v>0</v>
      </c>
      <c r="AR31">
        <f>Logistic(ABS(F31-O31)/($B$6/2))</f>
        <v>0.23549574953849814</v>
      </c>
      <c r="AS31">
        <f>IF(OR(F31&lt;M31,F31&gt;N31),1,0)</f>
        <v>0</v>
      </c>
      <c r="AT31">
        <f>ABS(K31)/$B$4</f>
        <v>2.5000000000000001E-3</v>
      </c>
      <c r="AU31">
        <f t="shared" ca="1" si="42"/>
        <v>0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</v>
      </c>
      <c r="BA31">
        <f t="shared" ca="1" si="43"/>
        <v>0</v>
      </c>
      <c r="BB31">
        <f t="shared" ca="1" si="44"/>
        <v>0</v>
      </c>
      <c r="BC31">
        <f t="shared" si="45"/>
        <v>0</v>
      </c>
      <c r="BE31">
        <f t="shared" si="7"/>
        <v>0.54412709885356747</v>
      </c>
      <c r="BF31">
        <f t="shared" si="46"/>
        <v>0</v>
      </c>
      <c r="BG31">
        <f t="shared" si="47"/>
        <v>0</v>
      </c>
      <c r="BH31">
        <f t="shared" si="8"/>
        <v>-5.5010488257610235E-2</v>
      </c>
      <c r="BI31">
        <f t="shared" si="9"/>
        <v>1</v>
      </c>
      <c r="BJ31">
        <f t="shared" si="10"/>
        <v>1</v>
      </c>
      <c r="BK31">
        <f t="shared" si="11"/>
        <v>1.1175190687418637</v>
      </c>
      <c r="BL31">
        <f t="shared" si="48"/>
        <v>0</v>
      </c>
      <c r="BM31">
        <f t="shared" si="12"/>
        <v>0.71653131057378927</v>
      </c>
      <c r="BN31">
        <f t="shared" si="13"/>
        <v>0</v>
      </c>
      <c r="BO31">
        <f t="shared" si="14"/>
        <v>2.5000000000000001E-3</v>
      </c>
      <c r="BP31">
        <f t="shared" si="15"/>
        <v>0.50982997373525663</v>
      </c>
      <c r="BQ31">
        <f t="shared" si="16"/>
        <v>-5.7300534451522778E-2</v>
      </c>
    </row>
    <row r="32" spans="1:69" x14ac:dyDescent="0.25">
      <c r="A32" s="1" t="s">
        <v>37</v>
      </c>
      <c r="B32">
        <f t="shared" ca="1" si="2"/>
        <v>192.58968682258259</v>
      </c>
      <c r="C32" t="s">
        <v>219</v>
      </c>
      <c r="D32">
        <f t="shared" ref="D32:D37" si="49">VALUE(MID(C32,FIND("#[",C32)+2,FIND("]",C32,FIND("#[",C32))-(FIND("#[",C32)+2)))</f>
        <v>109</v>
      </c>
      <c r="E32">
        <f t="shared" ref="E32:E37" si="50">VALUE(MID(C32,FIND("s[",C32)+2,FIND("]",C32,FIND("s[",C32))-(FIND("s[",C32)+2)))</f>
        <v>151.88</v>
      </c>
      <c r="F32">
        <f t="shared" ref="F32:F37" si="51">VALUE(MID(C32,FIND("d[",C32)+2,FIND("]",C32,FIND("d[",C32))-(FIND("d[",C32)+2)))</f>
        <v>2.92</v>
      </c>
      <c r="G32">
        <f t="shared" ref="G32:G37" si="52">VALUE(MID(C32,FIND("s_dot[",C32)+6,FIND("]",C32,FIND("s_dot[",C32))-(FIND("s_dot[",C32)+6)))</f>
        <v>40.19</v>
      </c>
      <c r="H32">
        <f t="shared" ref="H32:H37" si="53">VALUE(MID(C32,FIND("s_dot2[",C32)+7,FIND("]",C32,FIND("s_dot2[",C32))-(FIND("s_dot2[",C32)+7)))</f>
        <v>16</v>
      </c>
      <c r="I32">
        <f t="shared" ref="I32:I37" si="54">VALUE(MID(C32,FIND("s_dot3[",C32)+7,FIND("]",C32,FIND("s_dot3[",C32))-(FIND("s_dot3[",C32)+7)))</f>
        <v>13</v>
      </c>
      <c r="J32">
        <f t="shared" ref="J32:J37" si="55">VALUE(MID(C32,FIND("d_dot[",C32)+6,FIND("]",C32,FIND("d_dot[",C32))-(FIND("d_dot[",C32)+6)))</f>
        <v>8.09</v>
      </c>
      <c r="K32">
        <f t="shared" ref="K32:K37" si="56">VALUE(MID(C32,FIND("d_dot2[",C32)+7,FIND("]",C32,FIND("d_dot2[",C32))-(FIND("d_dot2[",C32)+7)))</f>
        <v>0.01</v>
      </c>
      <c r="L32">
        <f t="shared" ref="L32:L37" si="57">VALUE(MID(C32,FIND("-",C32)+1,FIND(")",C32,FIND("-",C32))-(FIND("-",C32)+1)))</f>
        <v>1</v>
      </c>
      <c r="M32">
        <f t="shared" ref="M32:M37" si="58">$B$6*(L32-1)</f>
        <v>0</v>
      </c>
      <c r="N32">
        <f t="shared" ref="N32:N37" si="59">$B$6*L32</f>
        <v>4</v>
      </c>
      <c r="O32">
        <f t="shared" ref="O32:O37" si="60">(N32+M32)/2</f>
        <v>2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 t="e">
        <f t="shared" si="27"/>
        <v>#VALUE!</v>
      </c>
      <c r="T32">
        <f t="shared" ca="1" si="28"/>
        <v>1000000</v>
      </c>
      <c r="U32">
        <f t="shared" ca="1" si="29"/>
        <v>100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 t="e">
        <f>GetFollowingCarRow($B$45:$E$54,L32,$E$15,E32)</f>
        <v>#VALUE!</v>
      </c>
      <c r="Z32">
        <f t="shared" ca="1" si="33"/>
        <v>1000000000</v>
      </c>
      <c r="AA32">
        <f t="shared" ca="1" si="34"/>
        <v>100</v>
      </c>
      <c r="AB32">
        <f t="shared" ref="AB32:AB37" si="61">$F$15-F32</f>
        <v>3.24</v>
      </c>
      <c r="AC32">
        <f t="shared" ref="AC32:AC37" si="62">E32-$E$15</f>
        <v>25.61</v>
      </c>
      <c r="AD32">
        <f t="shared" ref="AD32:AD37" si="63">$F$15-(-AB32/AC32)*$E$15</f>
        <v>22.134806716126516</v>
      </c>
      <c r="AE32">
        <f t="shared" ref="AE32:AE37" si="64">AD32*-AC32</f>
        <v>-566.87240000000008</v>
      </c>
      <c r="AF32">
        <f t="shared" ref="AF32:AF37" si="65">SQRT(AB32^2+AC32^2)</f>
        <v>25.81413759938534</v>
      </c>
      <c r="AG32">
        <f t="shared" ref="AG32:AG37" si="66">GetSmallestNormalDistance($B$45:$E$56,AB32,AC32,AF32,$L$15,L32)</f>
        <v>17.027529831190879</v>
      </c>
      <c r="AH32">
        <f t="shared" si="41"/>
        <v>0.5298956075275294</v>
      </c>
      <c r="AI32">
        <f>IF(G32&lt;=0,1,0)</f>
        <v>0</v>
      </c>
      <c r="AJ32">
        <f>IF(G32&lt;0,1,0)</f>
        <v>0</v>
      </c>
      <c r="AK32">
        <f>MAX(($B$3-G32)/(G32 + 1),0) / $B$3</f>
        <v>0</v>
      </c>
      <c r="AL32">
        <f>IF(H32+ABS(K32)&lt;0,Logistic(SQRT(H32^2+K32^2)/$B$4),0)</f>
        <v>0</v>
      </c>
      <c r="AM32">
        <f>IF(G32&gt;$B$3,1,0)</f>
        <v>1</v>
      </c>
      <c r="AN32">
        <f>IF(H32&gt;$B$4,1,0)</f>
        <v>1</v>
      </c>
      <c r="AO32">
        <f>ABS(H32)/$B$4</f>
        <v>2</v>
      </c>
      <c r="AP32">
        <f>Logistic(I32/$B$5)</f>
        <v>0.67096707420687363</v>
      </c>
      <c r="AQ32">
        <f>IF(I32&gt;$B$5,1,0)</f>
        <v>1</v>
      </c>
      <c r="AR32">
        <f>Logistic(ABS(F32-O32)/($B$6/2))</f>
        <v>0.22602835227867096</v>
      </c>
      <c r="AS32">
        <f>IF(OR(F32&lt;M32,F32&gt;N32),1,0)</f>
        <v>0</v>
      </c>
      <c r="AT32">
        <f>ABS(K32)/$B$4</f>
        <v>1.25E-3</v>
      </c>
      <c r="AU32">
        <f t="shared" ca="1" si="42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3"/>
        <v>0</v>
      </c>
      <c r="BB32">
        <f t="shared" ca="1" si="44"/>
        <v>0</v>
      </c>
      <c r="BC32">
        <f t="shared" si="45"/>
        <v>0</v>
      </c>
      <c r="BE32">
        <f t="shared" ref="BE32:BE37" si="67">Logistic((D32-$B$2)/$B$2)</f>
        <v>0.5298956075275294</v>
      </c>
      <c r="BF32">
        <f t="shared" ref="BF32:BF37" si="68">IF(G32&lt;=0,1,0)</f>
        <v>0</v>
      </c>
      <c r="BG32">
        <f t="shared" ref="BG32:BG37" si="69">IF(G32&lt;0,1,0)</f>
        <v>0</v>
      </c>
      <c r="BH32">
        <f t="shared" ref="BH32:BH37" si="70">Logistic(($B$3-G32)/(G32+1))</f>
        <v>-0.22628865893696889</v>
      </c>
      <c r="BI32">
        <f t="shared" ref="BI32:BI37" si="71">IF(G32&gt;$B$3,1,0)</f>
        <v>1</v>
      </c>
      <c r="BJ32">
        <f t="shared" ref="BJ32:BJ37" si="72">IF(H32&gt;$B$5,1,0)</f>
        <v>1</v>
      </c>
      <c r="BK32">
        <f t="shared" ref="BK32:BK37" si="73">EXP(-($B$4-ABS(H32))/MAX(ABS(H32),0.000000001))</f>
        <v>1.6487212707001282</v>
      </c>
      <c r="BL32">
        <f t="shared" ref="BL32:BL37" si="74">IF(G32&lt;ABS(H32),1,0)</f>
        <v>0</v>
      </c>
      <c r="BM32">
        <f t="shared" ref="BM32:BM37" si="75">EXP(-($B$5-I32)/MAX(I32,0.000000001))</f>
        <v>1.4690491938490167</v>
      </c>
      <c r="BN32">
        <f t="shared" ref="BN32:BN37" si="76">IF(F32&gt;N32,(F32-N32)/$B$6,0)+IF(F32&lt;M32,(M32-F32)/$B$6,0)</f>
        <v>0</v>
      </c>
      <c r="BO32">
        <f t="shared" ref="BO32:BO37" si="77">ABS(K32/$B$4)</f>
        <v>1.25E-3</v>
      </c>
      <c r="BP32">
        <f t="shared" ref="BP32:BP37" si="78">Logistic(ABS(H32)/$B$4)</f>
        <v>0.76159415595576485</v>
      </c>
      <c r="BQ32">
        <f t="shared" ref="BQ32:BQ37" si="79">Logistic(($B$3-G32)/G32)</f>
        <v>-0.23171780773015241</v>
      </c>
    </row>
    <row r="33" spans="1:69" x14ac:dyDescent="0.25">
      <c r="A33" s="1" t="s">
        <v>38</v>
      </c>
      <c r="B33">
        <f t="shared" ca="1" si="2"/>
        <v>192.47896390002597</v>
      </c>
      <c r="C33" t="s">
        <v>218</v>
      </c>
      <c r="D33">
        <f t="shared" si="49"/>
        <v>104</v>
      </c>
      <c r="E33">
        <f t="shared" si="50"/>
        <v>147.99</v>
      </c>
      <c r="F33">
        <f t="shared" si="51"/>
        <v>2.97</v>
      </c>
      <c r="G33">
        <f t="shared" si="52"/>
        <v>36.99</v>
      </c>
      <c r="H33">
        <f t="shared" si="53"/>
        <v>16</v>
      </c>
      <c r="I33">
        <f t="shared" si="54"/>
        <v>13</v>
      </c>
      <c r="J33">
        <f t="shared" si="55"/>
        <v>8.32</v>
      </c>
      <c r="K33">
        <f t="shared" si="56"/>
        <v>0.01</v>
      </c>
      <c r="L33">
        <f t="shared" si="57"/>
        <v>1</v>
      </c>
      <c r="M33">
        <f t="shared" si="58"/>
        <v>0</v>
      </c>
      <c r="N33">
        <f t="shared" si="59"/>
        <v>4</v>
      </c>
      <c r="O33">
        <f t="shared" si="60"/>
        <v>2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 t="e">
        <f t="shared" si="27"/>
        <v>#VALUE!</v>
      </c>
      <c r="T33">
        <f t="shared" ca="1" si="28"/>
        <v>1000000</v>
      </c>
      <c r="U33">
        <f t="shared" ca="1" si="29"/>
        <v>100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 t="e">
        <f>GetFollowingCarRow($B$45:$E$54,L33,$E$15,E33)</f>
        <v>#VALUE!</v>
      </c>
      <c r="Z33">
        <f t="shared" ca="1" si="33"/>
        <v>1000000000</v>
      </c>
      <c r="AA33">
        <f t="shared" ca="1" si="34"/>
        <v>100</v>
      </c>
      <c r="AB33">
        <f t="shared" si="61"/>
        <v>3.19</v>
      </c>
      <c r="AC33">
        <f t="shared" si="62"/>
        <v>21.720000000000013</v>
      </c>
      <c r="AD33">
        <f t="shared" si="63"/>
        <v>24.705179558011036</v>
      </c>
      <c r="AE33">
        <f t="shared" si="64"/>
        <v>-536.59649999999999</v>
      </c>
      <c r="AF33">
        <f t="shared" si="65"/>
        <v>21.953006627794757</v>
      </c>
      <c r="AG33">
        <f t="shared" si="66"/>
        <v>18.759095365943889</v>
      </c>
      <c r="AH33">
        <f t="shared" si="41"/>
        <v>0.49298796667532441</v>
      </c>
      <c r="AI33">
        <f>IF(G33&lt;=0,1,0)</f>
        <v>0</v>
      </c>
      <c r="AJ33">
        <f>IF(G33&lt;0,1,0)</f>
        <v>0</v>
      </c>
      <c r="AK33">
        <f>MAX(($B$3-G33)/(G33 + 1),0) / $B$3</f>
        <v>0</v>
      </c>
      <c r="AL33">
        <f>IF(H33+ABS(K33)&lt;0,Logistic(SQRT(H33^2+K33^2)/$B$4),0)</f>
        <v>0</v>
      </c>
      <c r="AM33">
        <f>IF(G33&gt;$B$3,1,0)</f>
        <v>1</v>
      </c>
      <c r="AN33">
        <f>IF(H33&gt;$B$4,1,0)</f>
        <v>1</v>
      </c>
      <c r="AO33">
        <f>ABS(H33)/$B$4</f>
        <v>2</v>
      </c>
      <c r="AP33">
        <f>Logistic(I33/$B$5)</f>
        <v>0.67096707420687363</v>
      </c>
      <c r="AQ33">
        <f>IF(I33&gt;$B$5,1,0)</f>
        <v>1</v>
      </c>
      <c r="AR33">
        <f>Logistic(ABS(F33-O33)/($B$6/2))</f>
        <v>0.23785570960038072</v>
      </c>
      <c r="AS33">
        <f>IF(OR(F33&lt;M33,F33&gt;N33),1,0)</f>
        <v>0</v>
      </c>
      <c r="AT33">
        <f>ABS(K33)/$B$4</f>
        <v>1.25E-3</v>
      </c>
      <c r="AU33">
        <f t="shared" ca="1" si="42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</v>
      </c>
      <c r="BA33">
        <f t="shared" ca="1" si="43"/>
        <v>0</v>
      </c>
      <c r="BB33">
        <f t="shared" ca="1" si="44"/>
        <v>0</v>
      </c>
      <c r="BC33">
        <f t="shared" si="45"/>
        <v>0</v>
      </c>
      <c r="BE33">
        <f t="shared" si="67"/>
        <v>0.49298796667532441</v>
      </c>
      <c r="BF33">
        <f t="shared" si="68"/>
        <v>0</v>
      </c>
      <c r="BG33">
        <f t="shared" si="69"/>
        <v>0</v>
      </c>
      <c r="BH33">
        <f t="shared" si="70"/>
        <v>-0.20462468700570988</v>
      </c>
      <c r="BI33">
        <f t="shared" si="71"/>
        <v>1</v>
      </c>
      <c r="BJ33">
        <f t="shared" si="72"/>
        <v>1</v>
      </c>
      <c r="BK33">
        <f t="shared" si="73"/>
        <v>1.6487212707001282</v>
      </c>
      <c r="BL33">
        <f t="shared" si="74"/>
        <v>0</v>
      </c>
      <c r="BM33">
        <f t="shared" si="75"/>
        <v>1.4690491938490167</v>
      </c>
      <c r="BN33">
        <f t="shared" si="76"/>
        <v>0</v>
      </c>
      <c r="BO33">
        <f t="shared" si="77"/>
        <v>1.25E-3</v>
      </c>
      <c r="BP33">
        <f t="shared" si="78"/>
        <v>0.76159415595576485</v>
      </c>
      <c r="BQ33">
        <f t="shared" si="79"/>
        <v>-0.20999462200478106</v>
      </c>
    </row>
    <row r="34" spans="1:69" x14ac:dyDescent="0.25">
      <c r="A34" s="1" t="s">
        <v>39</v>
      </c>
      <c r="B34">
        <f t="shared" ca="1" si="2"/>
        <v>192.29025263420596</v>
      </c>
      <c r="C34" t="s">
        <v>217</v>
      </c>
      <c r="D34">
        <f t="shared" si="49"/>
        <v>96</v>
      </c>
      <c r="E34">
        <f t="shared" si="50"/>
        <v>142.43</v>
      </c>
      <c r="F34">
        <f t="shared" si="51"/>
        <v>2.91</v>
      </c>
      <c r="G34">
        <f t="shared" si="52"/>
        <v>31.87</v>
      </c>
      <c r="H34">
        <f t="shared" si="53"/>
        <v>16</v>
      </c>
      <c r="I34">
        <f t="shared" si="54"/>
        <v>13</v>
      </c>
      <c r="J34">
        <f t="shared" si="55"/>
        <v>9.41</v>
      </c>
      <c r="K34">
        <f t="shared" si="56"/>
        <v>0.02</v>
      </c>
      <c r="L34">
        <f t="shared" si="57"/>
        <v>1</v>
      </c>
      <c r="M34">
        <f t="shared" si="58"/>
        <v>0</v>
      </c>
      <c r="N34">
        <f t="shared" si="59"/>
        <v>4</v>
      </c>
      <c r="O34">
        <f t="shared" si="60"/>
        <v>2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 t="e">
        <f t="shared" si="27"/>
        <v>#VALUE!</v>
      </c>
      <c r="T34">
        <f t="shared" ca="1" si="28"/>
        <v>1000000</v>
      </c>
      <c r="U34">
        <f t="shared" ca="1" si="29"/>
        <v>100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 t="e">
        <f>GetFollowingCarRow($B$45:$E$54,L34,$E$15,E34)</f>
        <v>#VALUE!</v>
      </c>
      <c r="Z34">
        <f t="shared" ca="1" si="33"/>
        <v>1000000000</v>
      </c>
      <c r="AA34">
        <f t="shared" ca="1" si="34"/>
        <v>100</v>
      </c>
      <c r="AB34">
        <f t="shared" si="61"/>
        <v>3.25</v>
      </c>
      <c r="AC34">
        <f t="shared" si="62"/>
        <v>16.160000000000011</v>
      </c>
      <c r="AD34">
        <f t="shared" si="63"/>
        <v>31.554647277227705</v>
      </c>
      <c r="AE34">
        <f t="shared" si="64"/>
        <v>-509.92310000000003</v>
      </c>
      <c r="AF34">
        <f t="shared" si="65"/>
        <v>16.483570608336059</v>
      </c>
      <c r="AG34">
        <f t="shared" si="66"/>
        <v>23.282964982472421</v>
      </c>
      <c r="AH34">
        <f t="shared" si="41"/>
        <v>0.4300842114019795</v>
      </c>
      <c r="AI34">
        <f>IF(G34&lt;=0,1,0)</f>
        <v>0</v>
      </c>
      <c r="AJ34">
        <f>IF(G34&lt;0,1,0)</f>
        <v>0</v>
      </c>
      <c r="AK34">
        <f>MAX(($B$3-G34)/(G34 + 1),0) / $B$3</f>
        <v>0</v>
      </c>
      <c r="AL34">
        <f>IF(H34+ABS(K34)&lt;0,Logistic(SQRT(H34^2+K34^2)/$B$4),0)</f>
        <v>0</v>
      </c>
      <c r="AM34">
        <f>IF(G34&gt;$B$3,1,0)</f>
        <v>1</v>
      </c>
      <c r="AN34">
        <f>IF(H34&gt;$B$4,1,0)</f>
        <v>1</v>
      </c>
      <c r="AO34">
        <f>ABS(H34)/$B$4</f>
        <v>2</v>
      </c>
      <c r="AP34">
        <f>Logistic(I34/$B$5)</f>
        <v>0.67096707420687363</v>
      </c>
      <c r="AQ34">
        <f>IF(I34&gt;$B$5,1,0)</f>
        <v>1</v>
      </c>
      <c r="AR34">
        <f>Logistic(ABS(F34-O34)/($B$6/2))</f>
        <v>0.2236547380034743</v>
      </c>
      <c r="AS34">
        <f>IF(OR(F34&lt;M34,F34&gt;N34),1,0)</f>
        <v>0</v>
      </c>
      <c r="AT34">
        <f>ABS(K34)/$B$4</f>
        <v>2.5000000000000001E-3</v>
      </c>
      <c r="AU34">
        <f t="shared" ca="1" si="42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</v>
      </c>
      <c r="BA34">
        <f t="shared" ca="1" si="43"/>
        <v>0</v>
      </c>
      <c r="BB34">
        <f t="shared" ca="1" si="44"/>
        <v>0</v>
      </c>
      <c r="BC34">
        <f t="shared" si="45"/>
        <v>0</v>
      </c>
      <c r="BE34">
        <f t="shared" si="67"/>
        <v>0.4300842114019795</v>
      </c>
      <c r="BF34">
        <f t="shared" si="68"/>
        <v>0</v>
      </c>
      <c r="BG34">
        <f t="shared" si="69"/>
        <v>0</v>
      </c>
      <c r="BH34">
        <f t="shared" si="70"/>
        <v>-0.16059932287122611</v>
      </c>
      <c r="BI34">
        <f t="shared" si="71"/>
        <v>1</v>
      </c>
      <c r="BJ34">
        <f t="shared" si="72"/>
        <v>1</v>
      </c>
      <c r="BK34">
        <f t="shared" si="73"/>
        <v>1.6487212707001282</v>
      </c>
      <c r="BL34">
        <f t="shared" si="74"/>
        <v>0</v>
      </c>
      <c r="BM34">
        <f t="shared" si="75"/>
        <v>1.4690491938490167</v>
      </c>
      <c r="BN34">
        <f t="shared" si="76"/>
        <v>0</v>
      </c>
      <c r="BO34">
        <f t="shared" si="77"/>
        <v>2.5000000000000001E-3</v>
      </c>
      <c r="BP34">
        <f t="shared" si="78"/>
        <v>0.76159415595576485</v>
      </c>
      <c r="BQ34">
        <f t="shared" si="79"/>
        <v>-0.16554734165045007</v>
      </c>
    </row>
    <row r="35" spans="1:69" x14ac:dyDescent="0.25">
      <c r="A35" s="1" t="s">
        <v>82</v>
      </c>
      <c r="B35">
        <f t="shared" ca="1" si="2"/>
        <v>239.46220686875628</v>
      </c>
      <c r="C35" t="s">
        <v>216</v>
      </c>
      <c r="D35">
        <f t="shared" si="49"/>
        <v>148</v>
      </c>
      <c r="E35">
        <f t="shared" si="50"/>
        <v>129.21</v>
      </c>
      <c r="F35">
        <f t="shared" si="51"/>
        <v>6.12</v>
      </c>
      <c r="G35">
        <f t="shared" si="52"/>
        <v>1.47</v>
      </c>
      <c r="H35">
        <f t="shared" si="53"/>
        <v>0</v>
      </c>
      <c r="I35">
        <f t="shared" si="54"/>
        <v>3</v>
      </c>
      <c r="J35">
        <f t="shared" si="55"/>
        <v>0.06</v>
      </c>
      <c r="K35">
        <f t="shared" si="56"/>
        <v>0.01</v>
      </c>
      <c r="L35">
        <f t="shared" si="57"/>
        <v>1</v>
      </c>
      <c r="M35">
        <f t="shared" si="58"/>
        <v>0</v>
      </c>
      <c r="N35">
        <f t="shared" si="59"/>
        <v>4</v>
      </c>
      <c r="O35">
        <f t="shared" si="60"/>
        <v>2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 t="e">
        <f t="shared" si="27"/>
        <v>#VALUE!</v>
      </c>
      <c r="T35">
        <f t="shared" ca="1" si="28"/>
        <v>1000000</v>
      </c>
      <c r="U35">
        <f t="shared" ca="1" si="29"/>
        <v>100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 t="e">
        <f>GetFollowingCarRow($B$45:$E$54,L35,$E$15,E35)</f>
        <v>#VALUE!</v>
      </c>
      <c r="Z35">
        <f t="shared" ca="1" si="33"/>
        <v>1000000000</v>
      </c>
      <c r="AA35">
        <f t="shared" ca="1" si="34"/>
        <v>100</v>
      </c>
      <c r="AB35">
        <f t="shared" si="61"/>
        <v>4.0000000000000036E-2</v>
      </c>
      <c r="AC35">
        <f t="shared" si="62"/>
        <v>2.9400000000000119</v>
      </c>
      <c r="AD35">
        <f t="shared" si="63"/>
        <v>7.8779591836734637</v>
      </c>
      <c r="AE35">
        <f t="shared" si="64"/>
        <v>-23.161200000000079</v>
      </c>
      <c r="AF35">
        <f t="shared" si="65"/>
        <v>2.9402720962523299</v>
      </c>
      <c r="AG35">
        <f t="shared" si="66"/>
        <v>7.1948849723684178</v>
      </c>
      <c r="AH35">
        <f t="shared" si="41"/>
        <v>0.75306590486955205</v>
      </c>
      <c r="AI35">
        <f>IF(G35&lt;=0,1,0)</f>
        <v>0</v>
      </c>
      <c r="AJ35">
        <f>IF(G35&lt;0,1,0)</f>
        <v>0</v>
      </c>
      <c r="AK35">
        <f>MAX(($B$3-G35)/(G35 + 1),0) / $B$3</f>
        <v>0.37681203661659046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</v>
      </c>
      <c r="AP35">
        <f>Logistic(I35/$B$5)</f>
        <v>0.18533319990813948</v>
      </c>
      <c r="AQ35">
        <f>IF(I35&gt;$B$5,1,0)</f>
        <v>0</v>
      </c>
      <c r="AR35">
        <f>Logistic(ABS(F35-O35)/($B$6/2))</f>
        <v>0.77390833985584206</v>
      </c>
      <c r="AS35">
        <f>IF(OR(F35&lt;M35,F35&gt;N35),1,0)</f>
        <v>1</v>
      </c>
      <c r="AT35">
        <f>ABS(K35)/$B$4</f>
        <v>1.25E-3</v>
      </c>
      <c r="AU35">
        <f t="shared" ca="1" si="42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43"/>
        <v>0</v>
      </c>
      <c r="BB35">
        <f t="shared" ca="1" si="44"/>
        <v>0</v>
      </c>
      <c r="BC35">
        <f t="shared" si="45"/>
        <v>0</v>
      </c>
      <c r="BE35">
        <f t="shared" si="67"/>
        <v>0.75306590486955205</v>
      </c>
      <c r="BF35">
        <f t="shared" si="68"/>
        <v>0</v>
      </c>
      <c r="BG35">
        <f t="shared" si="69"/>
        <v>0</v>
      </c>
      <c r="BH35">
        <f t="shared" si="70"/>
        <v>0.99932657976538875</v>
      </c>
      <c r="BI35">
        <f t="shared" si="71"/>
        <v>0</v>
      </c>
      <c r="BJ35">
        <f t="shared" si="72"/>
        <v>0</v>
      </c>
      <c r="BK35">
        <f t="shared" si="73"/>
        <v>0</v>
      </c>
      <c r="BL35">
        <f t="shared" si="74"/>
        <v>0</v>
      </c>
      <c r="BM35">
        <f t="shared" si="75"/>
        <v>0.18887560283756183</v>
      </c>
      <c r="BN35">
        <f t="shared" si="76"/>
        <v>0.53</v>
      </c>
      <c r="BO35">
        <f t="shared" si="77"/>
        <v>1.25E-3</v>
      </c>
      <c r="BP35">
        <f t="shared" si="78"/>
        <v>0</v>
      </c>
      <c r="BQ35">
        <f t="shared" si="79"/>
        <v>0.99999707503613611</v>
      </c>
    </row>
    <row r="36" spans="1:69" x14ac:dyDescent="0.25">
      <c r="A36" s="1" t="s">
        <v>83</v>
      </c>
      <c r="B36">
        <f t="shared" ca="1" si="2"/>
        <v>239.46220686875628</v>
      </c>
      <c r="C36" t="s">
        <v>215</v>
      </c>
      <c r="D36">
        <f t="shared" si="49"/>
        <v>148</v>
      </c>
      <c r="E36">
        <f t="shared" si="50"/>
        <v>129.21</v>
      </c>
      <c r="F36">
        <f t="shared" si="51"/>
        <v>6.09</v>
      </c>
      <c r="G36">
        <f t="shared" si="52"/>
        <v>1.47</v>
      </c>
      <c r="H36">
        <f t="shared" si="53"/>
        <v>0</v>
      </c>
      <c r="I36">
        <f t="shared" si="54"/>
        <v>3</v>
      </c>
      <c r="J36">
        <f t="shared" si="55"/>
        <v>0.08</v>
      </c>
      <c r="K36">
        <f t="shared" si="56"/>
        <v>0.01</v>
      </c>
      <c r="L36">
        <f t="shared" si="57"/>
        <v>1</v>
      </c>
      <c r="M36">
        <f t="shared" si="58"/>
        <v>0</v>
      </c>
      <c r="N36">
        <f t="shared" si="59"/>
        <v>4</v>
      </c>
      <c r="O36">
        <f t="shared" si="60"/>
        <v>2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 t="e">
        <f t="shared" si="27"/>
        <v>#VALUE!</v>
      </c>
      <c r="T36">
        <f t="shared" ca="1" si="28"/>
        <v>1000000</v>
      </c>
      <c r="U36">
        <f t="shared" ca="1" si="29"/>
        <v>100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 t="e">
        <f>GetFollowingCarRow($B$45:$E$54,L36,$E$15,E36)</f>
        <v>#VALUE!</v>
      </c>
      <c r="Z36">
        <f t="shared" ca="1" si="33"/>
        <v>1000000000</v>
      </c>
      <c r="AA36">
        <f t="shared" ca="1" si="34"/>
        <v>100</v>
      </c>
      <c r="AB36">
        <f t="shared" si="61"/>
        <v>7.0000000000000284E-2</v>
      </c>
      <c r="AC36">
        <f t="shared" si="62"/>
        <v>2.9400000000000119</v>
      </c>
      <c r="AD36">
        <f t="shared" si="63"/>
        <v>9.1664285714285718</v>
      </c>
      <c r="AE36">
        <f t="shared" si="64"/>
        <v>-26.949300000000111</v>
      </c>
      <c r="AF36">
        <f t="shared" si="65"/>
        <v>2.9408332152640124</v>
      </c>
      <c r="AG36">
        <f t="shared" si="66"/>
        <v>8.0940930809852656</v>
      </c>
      <c r="AH36">
        <f t="shared" si="41"/>
        <v>0.75306590486955205</v>
      </c>
      <c r="AI36">
        <f>IF(G36&lt;=0,1,0)</f>
        <v>0</v>
      </c>
      <c r="AJ36">
        <f>IF(G36&lt;0,1,0)</f>
        <v>0</v>
      </c>
      <c r="AK36">
        <f>MAX(($B$3-G36)/(G36 + 1),0) / $B$3</f>
        <v>0.37681203661659046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0</v>
      </c>
      <c r="AP36">
        <f>Logistic(I36/$B$5)</f>
        <v>0.18533319990813948</v>
      </c>
      <c r="AQ36">
        <f>IF(I36&gt;$B$5,1,0)</f>
        <v>0</v>
      </c>
      <c r="AR36">
        <f>Logistic(ABS(F36-O36)/($B$6/2))</f>
        <v>0.7708828415345883</v>
      </c>
      <c r="AS36">
        <f>IF(OR(F36&lt;M36,F36&gt;N36),1,0)</f>
        <v>1</v>
      </c>
      <c r="AT36">
        <f>ABS(K36)/$B$4</f>
        <v>1.25E-3</v>
      </c>
      <c r="AU36">
        <f t="shared" ca="1" si="42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</v>
      </c>
      <c r="BA36">
        <f t="shared" ca="1" si="43"/>
        <v>0</v>
      </c>
      <c r="BB36">
        <f t="shared" ca="1" si="44"/>
        <v>0</v>
      </c>
      <c r="BC36">
        <f t="shared" si="45"/>
        <v>0</v>
      </c>
      <c r="BE36">
        <f t="shared" si="67"/>
        <v>0.75306590486955205</v>
      </c>
      <c r="BF36">
        <f t="shared" si="68"/>
        <v>0</v>
      </c>
      <c r="BG36">
        <f t="shared" si="69"/>
        <v>0</v>
      </c>
      <c r="BH36">
        <f t="shared" si="70"/>
        <v>0.99932657976538875</v>
      </c>
      <c r="BI36">
        <f t="shared" si="71"/>
        <v>0</v>
      </c>
      <c r="BJ36">
        <f t="shared" si="72"/>
        <v>0</v>
      </c>
      <c r="BK36">
        <f t="shared" si="73"/>
        <v>0</v>
      </c>
      <c r="BL36">
        <f t="shared" si="74"/>
        <v>0</v>
      </c>
      <c r="BM36">
        <f t="shared" si="75"/>
        <v>0.18887560283756183</v>
      </c>
      <c r="BN36">
        <f t="shared" si="76"/>
        <v>0.52249999999999996</v>
      </c>
      <c r="BO36">
        <f t="shared" si="77"/>
        <v>1.25E-3</v>
      </c>
      <c r="BP36">
        <f t="shared" si="78"/>
        <v>0</v>
      </c>
      <c r="BQ36">
        <f t="shared" si="79"/>
        <v>0.99999707503613611</v>
      </c>
    </row>
    <row r="37" spans="1:69" x14ac:dyDescent="0.25">
      <c r="A37" s="1" t="s">
        <v>84</v>
      </c>
      <c r="B37">
        <f t="shared" ca="1" si="2"/>
        <v>239.46220686875628</v>
      </c>
      <c r="C37" t="s">
        <v>214</v>
      </c>
      <c r="D37">
        <f t="shared" si="49"/>
        <v>148</v>
      </c>
      <c r="E37">
        <f t="shared" si="50"/>
        <v>129.21</v>
      </c>
      <c r="F37">
        <f t="shared" si="51"/>
        <v>6.02</v>
      </c>
      <c r="G37">
        <f t="shared" si="52"/>
        <v>1.47</v>
      </c>
      <c r="H37">
        <f t="shared" si="53"/>
        <v>0</v>
      </c>
      <c r="I37">
        <f t="shared" si="54"/>
        <v>3</v>
      </c>
      <c r="J37">
        <f t="shared" si="55"/>
        <v>0.15</v>
      </c>
      <c r="K37">
        <f t="shared" si="56"/>
        <v>0.02</v>
      </c>
      <c r="L37">
        <f t="shared" si="57"/>
        <v>1</v>
      </c>
      <c r="M37">
        <f t="shared" si="58"/>
        <v>0</v>
      </c>
      <c r="N37">
        <f t="shared" si="59"/>
        <v>4</v>
      </c>
      <c r="O37">
        <f t="shared" si="60"/>
        <v>2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 t="e">
        <f t="shared" si="27"/>
        <v>#VALUE!</v>
      </c>
      <c r="T37">
        <f t="shared" ca="1" si="28"/>
        <v>1000000</v>
      </c>
      <c r="U37">
        <f t="shared" ca="1" si="29"/>
        <v>100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 t="e">
        <f>GetFollowingCarRow($B$45:$E$54,L37,$E$15,E37)</f>
        <v>#VALUE!</v>
      </c>
      <c r="Z37">
        <f t="shared" ca="1" si="33"/>
        <v>1000000000</v>
      </c>
      <c r="AA37">
        <f t="shared" ca="1" si="34"/>
        <v>100</v>
      </c>
      <c r="AB37">
        <f t="shared" si="61"/>
        <v>0.14000000000000057</v>
      </c>
      <c r="AC37">
        <f t="shared" si="62"/>
        <v>2.9400000000000119</v>
      </c>
      <c r="AD37">
        <f t="shared" si="63"/>
        <v>12.172857142857143</v>
      </c>
      <c r="AE37">
        <f t="shared" si="64"/>
        <v>-35.788200000000145</v>
      </c>
      <c r="AF37">
        <f t="shared" si="65"/>
        <v>2.9433314458280213</v>
      </c>
      <c r="AG37">
        <f t="shared" si="66"/>
        <v>10.186794885944366</v>
      </c>
      <c r="AH37">
        <f t="shared" si="41"/>
        <v>0.75306590486955205</v>
      </c>
      <c r="AI37">
        <f>IF(G37&lt;=0,1,0)</f>
        <v>0</v>
      </c>
      <c r="AJ37">
        <f>IF(G37&lt;0,1,0)</f>
        <v>0</v>
      </c>
      <c r="AK37">
        <f>MAX(($B$3-G37)/(G37 + 1),0) / $B$3</f>
        <v>0.37681203661659046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0</v>
      </c>
      <c r="AP37">
        <f>Logistic(I37/$B$5)</f>
        <v>0.18533319990813948</v>
      </c>
      <c r="AQ37">
        <f>IF(I37&gt;$B$5,1,0)</f>
        <v>0</v>
      </c>
      <c r="AR37">
        <f>Logistic(ABS(F37-O37)/($B$6/2))</f>
        <v>0.76368604438146093</v>
      </c>
      <c r="AS37">
        <f>IF(OR(F37&lt;M37,F37&gt;N37),1,0)</f>
        <v>1</v>
      </c>
      <c r="AT37">
        <f>ABS(K37)/$B$4</f>
        <v>2.5000000000000001E-3</v>
      </c>
      <c r="AU37">
        <f t="shared" ca="1" si="42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</v>
      </c>
      <c r="BA37">
        <f t="shared" ca="1" si="43"/>
        <v>0</v>
      </c>
      <c r="BB37">
        <f t="shared" ca="1" si="44"/>
        <v>0</v>
      </c>
      <c r="BC37">
        <f t="shared" si="45"/>
        <v>0</v>
      </c>
      <c r="BE37">
        <f t="shared" si="67"/>
        <v>0.75306590486955205</v>
      </c>
      <c r="BF37">
        <f t="shared" si="68"/>
        <v>0</v>
      </c>
      <c r="BG37">
        <f t="shared" si="69"/>
        <v>0</v>
      </c>
      <c r="BH37">
        <f t="shared" si="70"/>
        <v>0.99932657976538875</v>
      </c>
      <c r="BI37">
        <f t="shared" si="71"/>
        <v>0</v>
      </c>
      <c r="BJ37">
        <f t="shared" si="72"/>
        <v>0</v>
      </c>
      <c r="BK37">
        <f t="shared" si="73"/>
        <v>0</v>
      </c>
      <c r="BL37">
        <f t="shared" si="74"/>
        <v>0</v>
      </c>
      <c r="BM37">
        <f t="shared" si="75"/>
        <v>0.18887560283756183</v>
      </c>
      <c r="BN37">
        <f t="shared" si="76"/>
        <v>0.50499999999999989</v>
      </c>
      <c r="BO37">
        <f t="shared" si="77"/>
        <v>2.5000000000000001E-3</v>
      </c>
      <c r="BP37">
        <f t="shared" si="78"/>
        <v>0</v>
      </c>
      <c r="BQ37">
        <f t="shared" si="79"/>
        <v>0.99999707503613611</v>
      </c>
    </row>
    <row r="38" spans="1:69" x14ac:dyDescent="0.25">
      <c r="A38" s="1" t="s">
        <v>19</v>
      </c>
      <c r="B38">
        <f t="shared" ca="1" si="2"/>
        <v>191.95812011788598</v>
      </c>
      <c r="C38" t="s">
        <v>213</v>
      </c>
      <c r="D38">
        <f t="shared" si="17"/>
        <v>128</v>
      </c>
      <c r="E38">
        <f t="shared" si="18"/>
        <v>151.66999999999999</v>
      </c>
      <c r="F38">
        <f t="shared" si="19"/>
        <v>2.97</v>
      </c>
      <c r="G38">
        <f t="shared" si="20"/>
        <v>30.09</v>
      </c>
      <c r="H38">
        <f t="shared" si="21"/>
        <v>9</v>
      </c>
      <c r="I38">
        <f t="shared" si="22"/>
        <v>6</v>
      </c>
      <c r="J38">
        <f t="shared" si="23"/>
        <v>6.05</v>
      </c>
      <c r="K38">
        <f t="shared" si="24"/>
        <v>0.01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 t="e">
        <f t="shared" si="27"/>
        <v>#VALUE!</v>
      </c>
      <c r="T38">
        <f t="shared" ca="1" si="28"/>
        <v>1000000</v>
      </c>
      <c r="U38">
        <f t="shared" ca="1" si="29"/>
        <v>100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 t="e">
        <f>GetFollowingCarRow($B$45:$E$54,L38,$E$15,E38)</f>
        <v>#VALUE!</v>
      </c>
      <c r="Z38">
        <f t="shared" ca="1" si="33"/>
        <v>1000000000</v>
      </c>
      <c r="AA38">
        <f t="shared" ca="1" si="34"/>
        <v>100</v>
      </c>
      <c r="AB38">
        <f t="shared" si="35"/>
        <v>3.19</v>
      </c>
      <c r="AC38">
        <f t="shared" si="36"/>
        <v>25.399999999999991</v>
      </c>
      <c r="AD38">
        <f t="shared" si="37"/>
        <v>22.018318897637801</v>
      </c>
      <c r="AE38">
        <f t="shared" si="38"/>
        <v>-559.26529999999991</v>
      </c>
      <c r="AF38">
        <f t="shared" si="39"/>
        <v>25.599533198869068</v>
      </c>
      <c r="AG38">
        <f t="shared" si="40"/>
        <v>16.948671134330205</v>
      </c>
      <c r="AH38">
        <f t="shared" si="41"/>
        <v>0.65270670596198999</v>
      </c>
      <c r="AI38">
        <f>IF(G38&lt;=0,1,0)</f>
        <v>0</v>
      </c>
      <c r="AJ38">
        <f>IF(G38&lt;0,1,0)</f>
        <v>0</v>
      </c>
      <c r="AK38">
        <f>MAX(($B$3-G38)/(G38 + 1),0) / $B$3</f>
        <v>0</v>
      </c>
      <c r="AL38">
        <f>IF(H38+ABS(K38)&lt;0,Logistic(SQRT(H38^2+K38^2)/$B$4),0)</f>
        <v>0</v>
      </c>
      <c r="AM38">
        <f>IF(G38&gt;$B$3,1,0)</f>
        <v>1</v>
      </c>
      <c r="AN38">
        <f>IF(H38&gt;$B$4,1,0)</f>
        <v>1</v>
      </c>
      <c r="AO38">
        <f>ABS(H38)/$B$4</f>
        <v>1.125</v>
      </c>
      <c r="AP38">
        <f>Logistic(I38/$B$5)</f>
        <v>0.35835739835078595</v>
      </c>
      <c r="AQ38">
        <f>IF(I38&gt;$B$5,1,0)</f>
        <v>0</v>
      </c>
      <c r="AR38">
        <f>Logistic(ABS(F38-O38)/($B$6/2))</f>
        <v>0.23785570960038072</v>
      </c>
      <c r="AS38">
        <f>IF(OR(F38&lt;M38,F38&gt;N38),1,0)</f>
        <v>0</v>
      </c>
      <c r="AT38">
        <f>ABS(K38)/$B$4</f>
        <v>1.25E-3</v>
      </c>
      <c r="AU38">
        <f t="shared" ca="1" si="42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3"/>
        <v>0</v>
      </c>
      <c r="BB38">
        <f t="shared" ca="1" si="44"/>
        <v>0</v>
      </c>
      <c r="BC38">
        <f t="shared" si="45"/>
        <v>0</v>
      </c>
      <c r="BE38">
        <f>Logistic((D38-$B$2)/$B$2)</f>
        <v>0.65270670596198999</v>
      </c>
      <c r="BF38">
        <f t="shared" si="46"/>
        <v>0</v>
      </c>
      <c r="BG38">
        <f t="shared" si="47"/>
        <v>0</v>
      </c>
      <c r="BH38">
        <f>Logistic(($B$3-G38)/(G38+1))</f>
        <v>-0.14169057796220416</v>
      </c>
      <c r="BI38">
        <f>IF(G38&gt;$B$3,1,0)</f>
        <v>1</v>
      </c>
      <c r="BJ38">
        <f>IF(H38&gt;$B$5,1,0)</f>
        <v>1</v>
      </c>
      <c r="BK38">
        <f>EXP(-($B$4-ABS(H38))/MAX(ABS(H38),0.000000001))</f>
        <v>1.1175190687418637</v>
      </c>
      <c r="BL38">
        <f t="shared" si="48"/>
        <v>0</v>
      </c>
      <c r="BM38">
        <f>EXP(-($B$5-I38)/MAX(I38,0.000000001))</f>
        <v>0.71653131057378927</v>
      </c>
      <c r="BN38">
        <f>IF(F38&gt;N38,(F38-N38)/$B$6,0)+IF(F38&lt;M38,(M38-F38)/$B$6,0)</f>
        <v>0</v>
      </c>
      <c r="BO38">
        <f>ABS(K38/$B$4)</f>
        <v>1.25E-3</v>
      </c>
      <c r="BP38">
        <f>Logistic(ABS(H38)/$B$4)</f>
        <v>0.50982997373525663</v>
      </c>
      <c r="BQ38">
        <f>Logistic(($B$3-G38)/G38)</f>
        <v>-0.14633303754320515</v>
      </c>
    </row>
    <row r="39" spans="1:69" x14ac:dyDescent="0.25">
      <c r="A39" s="1" t="s">
        <v>18</v>
      </c>
      <c r="B39">
        <f t="shared" ca="1" si="2"/>
        <v>191.8507279086312</v>
      </c>
      <c r="C39" t="s">
        <v>212</v>
      </c>
      <c r="D39">
        <f t="shared" si="17"/>
        <v>122</v>
      </c>
      <c r="E39">
        <f t="shared" si="18"/>
        <v>148.16</v>
      </c>
      <c r="F39">
        <f t="shared" si="19"/>
        <v>2.93</v>
      </c>
      <c r="G39">
        <f t="shared" si="20"/>
        <v>27.93</v>
      </c>
      <c r="H39">
        <f t="shared" si="21"/>
        <v>9</v>
      </c>
      <c r="I39">
        <f t="shared" si="22"/>
        <v>6</v>
      </c>
      <c r="J39">
        <f t="shared" si="23"/>
        <v>6.29</v>
      </c>
      <c r="K39">
        <f t="shared" si="24"/>
        <v>0.01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 t="e">
        <f t="shared" si="27"/>
        <v>#VALUE!</v>
      </c>
      <c r="T39">
        <f t="shared" ca="1" si="28"/>
        <v>1000000</v>
      </c>
      <c r="U39">
        <f t="shared" ca="1" si="29"/>
        <v>100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 t="e">
        <f>GetFollowingCarRow($B$45:$E$54,L39,$E$15,E39)</f>
        <v>#VALUE!</v>
      </c>
      <c r="Z39">
        <f t="shared" ca="1" si="33"/>
        <v>1000000000</v>
      </c>
      <c r="AA39">
        <f t="shared" ca="1" si="34"/>
        <v>100</v>
      </c>
      <c r="AB39">
        <f t="shared" si="35"/>
        <v>3.23</v>
      </c>
      <c r="AC39">
        <f t="shared" si="36"/>
        <v>21.89</v>
      </c>
      <c r="AD39">
        <f t="shared" si="37"/>
        <v>24.79189127455459</v>
      </c>
      <c r="AE39">
        <f t="shared" si="38"/>
        <v>-542.69449999999995</v>
      </c>
      <c r="AF39">
        <f t="shared" si="39"/>
        <v>22.127019681827917</v>
      </c>
      <c r="AG39">
        <f t="shared" si="40"/>
        <v>18.817214549772736</v>
      </c>
      <c r="AH39">
        <f t="shared" si="41"/>
        <v>0.61690930287706502</v>
      </c>
      <c r="AI39">
        <f>IF(G39&lt;=0,1,0)</f>
        <v>0</v>
      </c>
      <c r="AJ39">
        <f>IF(G39&lt;0,1,0)</f>
        <v>0</v>
      </c>
      <c r="AK39">
        <f>MAX(($B$3-G39)/(G39 + 1),0) / $B$3</f>
        <v>0</v>
      </c>
      <c r="AL39">
        <f>IF(H39+ABS(K39)&lt;0,Logistic(SQRT(H39^2+K39^2)/$B$4),0)</f>
        <v>0</v>
      </c>
      <c r="AM39">
        <f>IF(G39&gt;$B$3,1,0)</f>
        <v>1</v>
      </c>
      <c r="AN39">
        <f>IF(H39&gt;$B$4,1,0)</f>
        <v>1</v>
      </c>
      <c r="AO39">
        <f>ABS(H39)/$B$4</f>
        <v>1.125</v>
      </c>
      <c r="AP39">
        <f>Logistic(I39/$B$5)</f>
        <v>0.35835739835078595</v>
      </c>
      <c r="AQ39">
        <f>IF(I39&gt;$B$5,1,0)</f>
        <v>0</v>
      </c>
      <c r="AR39">
        <f>Logistic(ABS(F39-O39)/($B$6/2))</f>
        <v>0.22839928555379033</v>
      </c>
      <c r="AS39">
        <f>IF(OR(F39&lt;M39,F39&gt;N39),1,0)</f>
        <v>0</v>
      </c>
      <c r="AT39">
        <f>ABS(K39)/$B$4</f>
        <v>1.25E-3</v>
      </c>
      <c r="AU39">
        <f t="shared" ca="1" si="42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</v>
      </c>
      <c r="BA39">
        <f t="shared" ca="1" si="43"/>
        <v>0</v>
      </c>
      <c r="BB39">
        <f t="shared" ca="1" si="44"/>
        <v>0</v>
      </c>
      <c r="BC39">
        <f t="shared" si="45"/>
        <v>0</v>
      </c>
      <c r="BE39">
        <f>Logistic((D39-$B$2)/$B$2)</f>
        <v>0.61690930287706502</v>
      </c>
      <c r="BF39">
        <f t="shared" si="46"/>
        <v>0</v>
      </c>
      <c r="BG39">
        <f t="shared" si="47"/>
        <v>0</v>
      </c>
      <c r="BH39">
        <f>Logistic(($B$3-G39)/(G39+1))</f>
        <v>-0.1154524739266327</v>
      </c>
      <c r="BI39">
        <f>IF(G39&gt;$B$3,1,0)</f>
        <v>1</v>
      </c>
      <c r="BJ39">
        <f>IF(H39&gt;$B$5,1,0)</f>
        <v>1</v>
      </c>
      <c r="BK39">
        <f>EXP(-($B$4-ABS(H39))/MAX(ABS(H39),0.000000001))</f>
        <v>1.1175190687418637</v>
      </c>
      <c r="BL39">
        <f t="shared" si="48"/>
        <v>0</v>
      </c>
      <c r="BM39">
        <f>EXP(-($B$5-I39)/MAX(I39,0.000000001))</f>
        <v>0.71653131057378927</v>
      </c>
      <c r="BN39">
        <f>IF(F39&gt;N39,(F39-N39)/$B$6,0)+IF(F39&lt;M39,(M39-F39)/$B$6,0)</f>
        <v>0</v>
      </c>
      <c r="BO39">
        <f>ABS(K39/$B$4)</f>
        <v>1.25E-3</v>
      </c>
      <c r="BP39">
        <f>Logistic(ABS(H39)/$B$4)</f>
        <v>0.50982997373525663</v>
      </c>
      <c r="BQ39">
        <f>Logistic(($B$3-G39)/G39)</f>
        <v>-0.11954729343121437</v>
      </c>
    </row>
    <row r="40" spans="1:69" x14ac:dyDescent="0.25">
      <c r="A40" s="1" t="s">
        <v>17</v>
      </c>
      <c r="B40">
        <f t="shared" ca="1" si="2"/>
        <v>191.63238129656071</v>
      </c>
      <c r="C40" t="s">
        <v>211</v>
      </c>
      <c r="D40">
        <f t="shared" si="17"/>
        <v>111</v>
      </c>
      <c r="E40">
        <f t="shared" si="18"/>
        <v>142.41</v>
      </c>
      <c r="F40">
        <f t="shared" si="19"/>
        <v>2.92</v>
      </c>
      <c r="G40">
        <f t="shared" si="20"/>
        <v>23.97</v>
      </c>
      <c r="H40">
        <f t="shared" si="21"/>
        <v>9</v>
      </c>
      <c r="I40">
        <f t="shared" si="22"/>
        <v>6</v>
      </c>
      <c r="J40">
        <f t="shared" si="23"/>
        <v>7.07</v>
      </c>
      <c r="K40">
        <f t="shared" si="24"/>
        <v>0.02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 t="e">
        <f t="shared" si="27"/>
        <v>#VALUE!</v>
      </c>
      <c r="T40">
        <f t="shared" ca="1" si="28"/>
        <v>1000000</v>
      </c>
      <c r="U40">
        <f t="shared" ca="1" si="29"/>
        <v>100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 t="e">
        <f>GetFollowingCarRow($B$45:$E$54,L40,$E$15,E40)</f>
        <v>#VALUE!</v>
      </c>
      <c r="Z40">
        <f t="shared" ca="1" si="33"/>
        <v>1000000000</v>
      </c>
      <c r="AA40">
        <f t="shared" ca="1" si="34"/>
        <v>100</v>
      </c>
      <c r="AB40">
        <f t="shared" si="35"/>
        <v>3.24</v>
      </c>
      <c r="AC40">
        <f t="shared" si="36"/>
        <v>16.14</v>
      </c>
      <c r="AD40">
        <f t="shared" si="37"/>
        <v>31.507881040892194</v>
      </c>
      <c r="AE40">
        <f t="shared" si="38"/>
        <v>-508.53720000000004</v>
      </c>
      <c r="AF40">
        <f t="shared" si="39"/>
        <v>16.461992588991166</v>
      </c>
      <c r="AG40">
        <f t="shared" si="40"/>
        <v>23.252573286661772</v>
      </c>
      <c r="AH40">
        <f t="shared" si="41"/>
        <v>0.54412709885356747</v>
      </c>
      <c r="AI40">
        <f>IF(G40&lt;=0,1,0)</f>
        <v>0</v>
      </c>
      <c r="AJ40">
        <f>IF(G40&lt;0,1,0)</f>
        <v>0</v>
      </c>
      <c r="AK40">
        <f>MAX(($B$3-G40)/(G40 + 1),0) / $B$3</f>
        <v>0</v>
      </c>
      <c r="AL40">
        <f>IF(H40+ABS(K40)&lt;0,Logistic(SQRT(H40^2+K40^2)/$B$4),0)</f>
        <v>0</v>
      </c>
      <c r="AM40">
        <f>IF(G40&gt;$B$3,1,0)</f>
        <v>1</v>
      </c>
      <c r="AN40">
        <f>IF(H40&gt;$B$4,1,0)</f>
        <v>1</v>
      </c>
      <c r="AO40">
        <f>ABS(H40)/$B$4</f>
        <v>1.125</v>
      </c>
      <c r="AP40">
        <f>Logistic(I40/$B$5)</f>
        <v>0.35835739835078595</v>
      </c>
      <c r="AQ40">
        <f>IF(I40&gt;$B$5,1,0)</f>
        <v>0</v>
      </c>
      <c r="AR40">
        <f>Logistic(ABS(F40-O40)/($B$6/2))</f>
        <v>0.22602835227867096</v>
      </c>
      <c r="AS40">
        <f>IF(OR(F40&lt;M40,F40&gt;N40),1,0)</f>
        <v>0</v>
      </c>
      <c r="AT40">
        <f>ABS(K40)/$B$4</f>
        <v>2.5000000000000001E-3</v>
      </c>
      <c r="AU40">
        <f t="shared" ca="1" si="42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</v>
      </c>
      <c r="BA40">
        <f t="shared" ca="1" si="43"/>
        <v>0</v>
      </c>
      <c r="BB40">
        <f t="shared" ca="1" si="44"/>
        <v>0</v>
      </c>
      <c r="BC40">
        <f t="shared" si="45"/>
        <v>0</v>
      </c>
      <c r="BE40">
        <f>Logistic((D40-$B$2)/$B$2)</f>
        <v>0.54412709885356747</v>
      </c>
      <c r="BF40">
        <f t="shared" si="46"/>
        <v>0</v>
      </c>
      <c r="BG40">
        <f t="shared" si="47"/>
        <v>0</v>
      </c>
      <c r="BH40">
        <f>Logistic(($B$3-G40)/(G40+1))</f>
        <v>-5.5010488257610235E-2</v>
      </c>
      <c r="BI40">
        <f>IF(G40&gt;$B$3,1,0)</f>
        <v>1</v>
      </c>
      <c r="BJ40">
        <f>IF(H40&gt;$B$5,1,0)</f>
        <v>1</v>
      </c>
      <c r="BK40">
        <f>EXP(-($B$4-ABS(H40))/MAX(ABS(H40),0.000000001))</f>
        <v>1.1175190687418637</v>
      </c>
      <c r="BL40">
        <f t="shared" si="48"/>
        <v>0</v>
      </c>
      <c r="BM40">
        <f>EXP(-($B$5-I40)/MAX(I40,0.000000001))</f>
        <v>0.71653131057378927</v>
      </c>
      <c r="BN40">
        <f>IF(F40&gt;N40,(F40-N40)/$B$6,0)+IF(F40&lt;M40,(M40-F40)/$B$6,0)</f>
        <v>0</v>
      </c>
      <c r="BO40">
        <f>ABS(K40/$B$4)</f>
        <v>2.5000000000000001E-3</v>
      </c>
      <c r="BP40">
        <f>Logistic(ABS(H40)/$B$4)</f>
        <v>0.50982997373525663</v>
      </c>
      <c r="BQ40">
        <f>Logistic(($B$3-G40)/G40)</f>
        <v>-5.7300534451522778E-2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267.24925400000001</v>
      </c>
      <c r="C45">
        <v>9.9825029999999995</v>
      </c>
      <c r="D45">
        <v>20.483077999999999</v>
      </c>
      <c r="E45">
        <v>3</v>
      </c>
    </row>
    <row r="46" spans="1:69" x14ac:dyDescent="0.25">
      <c r="B46">
        <v>88.281942000000001</v>
      </c>
      <c r="C46">
        <v>5.9944360000000003</v>
      </c>
      <c r="D46">
        <v>24.651617000000002</v>
      </c>
      <c r="E46">
        <v>2</v>
      </c>
    </row>
  </sheetData>
  <mergeCells count="4">
    <mergeCell ref="A1:B1"/>
    <mergeCell ref="BE12:BO12"/>
    <mergeCell ref="B43:E43"/>
    <mergeCell ref="AH12:BB12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2D050"/>
  </sheetPr>
  <dimension ref="A1:BQ45"/>
  <sheetViews>
    <sheetView topLeftCell="A11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1406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3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236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126.31</v>
      </c>
      <c r="F15">
        <f>VALUE(MID(C15,FIND("d[",C15)+2,FIND("]",C15,FIND("d[",C15))-(FIND("d[",C15)+2)))</f>
        <v>6.18</v>
      </c>
      <c r="G15">
        <f>VALUE(MID(C15,FIND("s_dot[",C15)+6,FIND("]",C15,FIND("s_dot[",C15))-(FIND("s_dot[",C15)+6)))</f>
        <v>1.56</v>
      </c>
      <c r="H15">
        <f>VALUE(MID(C15,FIND("s_dot2[",C15)+7,FIND("]",C15,FIND("s_dot2[",C15))-(FIND("s_dot2[",C15)+7)))</f>
        <v>4.5</v>
      </c>
      <c r="I15">
        <f>VALUE(MID(C15,FIND("s_dot3[",C15)+7,FIND("]",C15,FIND("s_dot3[",C15))-(FIND("s_dot3[",C15)+7)))</f>
        <v>1.5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1" si="0">$B$6*(L15-1)</f>
        <v>4</v>
      </c>
      <c r="N15">
        <f t="shared" ref="N15:N31" si="1">$B$6*L15</f>
        <v>8</v>
      </c>
      <c r="O15">
        <f>(N15+M15)/2</f>
        <v>6</v>
      </c>
      <c r="P15" t="e">
        <f>GetLeadingCarRow($B$45:$E$56,L15,$E$15, $E$15)</f>
        <v>#VALUE!</v>
      </c>
      <c r="Q15">
        <f ca="1">IFERROR(INDIRECT(CONCATENATE("B", P15))-$E$15,1000000)</f>
        <v>1000000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136.95805843543826</v>
      </c>
      <c r="C16" t="s">
        <v>261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126.64</v>
      </c>
      <c r="F16">
        <f>VALUE(MID(C16,FIND("d[",C16)+2,FIND("]",C16,FIND("d[",C16))-(FIND("d[",C16)+2)))</f>
        <v>6.18</v>
      </c>
      <c r="G16">
        <f>VALUE(MID(C16,FIND("s_dot[",C16)+6,FIND("]",C16,FIND("s_dot[",C16))-(FIND("s_dot[",C16)+6)))</f>
        <v>0.76</v>
      </c>
      <c r="H16">
        <f>VALUE(MID(C16,FIND("s_dot2[",C16)+7,FIND("]",C16,FIND("s_dot2[",C16))-(FIND("s_dot2[",C16)+7)))</f>
        <v>-1.82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 t="e">
        <f t="shared" ref="P16:P40" si="5">GetLeadingCarRow($B$45:$E$56,L16,$E$15, $E$15)</f>
        <v>#VALUE!</v>
      </c>
      <c r="Q16">
        <f ca="1">IFERROR(INDIRECT(CONCATENATE("B", P16))-$E$15,1000000)</f>
        <v>1000000</v>
      </c>
      <c r="R16">
        <f ca="1">IFERROR(INDIRECT(CONCATENATE("D", P16)),100)</f>
        <v>100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 t="e">
        <f>GetLeadingCarRow($B$45:$E$56,L16,$E$15,E16)</f>
        <v>#VALUE!</v>
      </c>
      <c r="W16">
        <f ca="1">IFERROR(INDIRECT(CONCATENATE("B", V16))-E16,1000000000)</f>
        <v>1000000000</v>
      </c>
      <c r="X16">
        <f ca="1">IFERROR(INDIRECT(CONCATENATE("D", V16)),100)</f>
        <v>100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0</v>
      </c>
      <c r="AC16">
        <f>E16-$E$15</f>
        <v>0.32999999999999829</v>
      </c>
      <c r="AD16">
        <f>$F$15-(-AB16/AC16)*$E$15</f>
        <v>6.18</v>
      </c>
      <c r="AE16">
        <f>AD16*-AC16</f>
        <v>-2.0393999999999894</v>
      </c>
      <c r="AF16">
        <f>SQRT(AB16^2+AC16^2)</f>
        <v>0.32999999999999829</v>
      </c>
      <c r="AG16">
        <f>GetSmallestNormalDistance($B$45:$E$56,AB16,AC16,AF16,$L$15,L16)</f>
        <v>1000000000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0.54783223374175305</v>
      </c>
      <c r="AL16">
        <f>IF(H16+ABS(K16)&lt;0,Logistic(SQRT(H16^2+K16^2)/$B$4),0)</f>
        <v>0.11326191984450677</v>
      </c>
      <c r="AM16">
        <f>IF(G16&gt;$B$3,1,0)</f>
        <v>0</v>
      </c>
      <c r="AN16">
        <f>IF(H16&gt;$B$4,1,0)</f>
        <v>0</v>
      </c>
      <c r="AO16">
        <f>ABS(H16)/$B$4</f>
        <v>0.22750000000000001</v>
      </c>
      <c r="AP16">
        <f>Logistic(I16/$B$5)</f>
        <v>0.12435300177159621</v>
      </c>
      <c r="AQ16">
        <f>IF(I16&gt;$B$5,1,0)</f>
        <v>0</v>
      </c>
      <c r="AR16">
        <f>Logistic(ABS(F16-O16)/($B$6/2))</f>
        <v>4.4969649583600189E-2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1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1" si="8">Logistic(($B$3-G16)/(G16+1))</f>
        <v>0.99998212060739045</v>
      </c>
      <c r="BI16">
        <f t="shared" ref="BI16:BI31" si="9">IF(G16&gt;$B$3,1,0)</f>
        <v>0</v>
      </c>
      <c r="BJ16">
        <f t="shared" ref="BJ16:BJ31" si="10">IF(H16&gt;$B$5,1,0)</f>
        <v>0</v>
      </c>
      <c r="BK16">
        <f t="shared" ref="BK16:BK31" si="11">EXP(-($B$4-ABS(H16))/MAX(ABS(H16),0.000000001))</f>
        <v>3.3520288533486375E-2</v>
      </c>
      <c r="BL16">
        <f>IF(G16&lt;ABS(H16),1,0)</f>
        <v>1</v>
      </c>
      <c r="BM16">
        <f t="shared" ref="BM16:BM31" si="12">EXP(-($B$5-I16)/MAX(I16,0.000000001))</f>
        <v>4.9787068367863944E-2</v>
      </c>
      <c r="BN16">
        <f t="shared" ref="BN16:BN31" si="13">IF(F16&gt;N16,(F16-N16)/$B$6,0)+IF(F16&lt;M16,(M16-F16)/$B$6,0)</f>
        <v>0</v>
      </c>
      <c r="BO16">
        <f t="shared" ref="BO16:BO31" si="14">ABS(K16/$B$4)</f>
        <v>0</v>
      </c>
      <c r="BP16">
        <f t="shared" ref="BP16:BP31" si="15">Logistic(ABS(H16)/$B$4)</f>
        <v>0.11326191984450677</v>
      </c>
      <c r="BQ16">
        <f t="shared" ref="BQ16:BQ31" si="16">Logistic(($B$3-G16)/G16)</f>
        <v>0.99999999999593214</v>
      </c>
    </row>
    <row r="17" spans="1:69" x14ac:dyDescent="0.25">
      <c r="A17" s="1" t="s">
        <v>15</v>
      </c>
      <c r="B17">
        <f t="shared" ca="1" si="2"/>
        <v>107.21017907634307</v>
      </c>
      <c r="C17" t="s">
        <v>260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126.83</v>
      </c>
      <c r="F17">
        <f t="shared" ref="F17:F40" si="19">VALUE(MID(C17,FIND("d[",C17)+2,FIND("]",C17,FIND("d[",C17))-(FIND("d[",C17)+2)))</f>
        <v>6.18</v>
      </c>
      <c r="G17">
        <f t="shared" ref="G17:G40" si="20">VALUE(MID(C17,FIND("s_dot[",C17)+6,FIND("]",C17,FIND("s_dot[",C17))-(FIND("s_dot[",C17)+6)))</f>
        <v>1.2</v>
      </c>
      <c r="H17">
        <f t="shared" ref="H17:H40" si="21">VALUE(MID(C17,FIND("s_dot2[",C17)+7,FIND("]",C17,FIND("s_dot2[",C17))-(FIND("s_dot2[",C17)+7)))</f>
        <v>-0.82</v>
      </c>
      <c r="I17">
        <f t="shared" ref="I17:I40" si="22">VALUE(MID(C17,FIND("s_dot3[",C17)+7,FIND("]",C17,FIND("s_dot3[",C17))-(FIND("s_dot3[",C17)+7)))</f>
        <v>1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 t="e">
        <f t="shared" si="5"/>
        <v>#VALUE!</v>
      </c>
      <c r="Q17">
        <f t="shared" ref="Q17:Q40" ca="1" si="25">IFERROR(INDIRECT(CONCATENATE("B", P17))-$E$15,1000000)</f>
        <v>1000000</v>
      </c>
      <c r="R17">
        <f t="shared" ref="R17:R40" ca="1" si="26">IFERROR(INDIRECT(CONCATENATE("D", P17)),100)</f>
        <v>100</v>
      </c>
      <c r="S17" t="e">
        <f t="shared" ref="S17:S40" si="27">GetFollowingCarRow($B$45:$E$56,L17,$E$15, $E$15)</f>
        <v>#VALUE!</v>
      </c>
      <c r="T17">
        <f t="shared" ref="T17:T40" ca="1" si="28">IFERROR(INDIRECT(CONCATENATE("B", S17))-$E$15,1000000)</f>
        <v>1000000</v>
      </c>
      <c r="U17">
        <f t="shared" ref="U17:U40" ca="1" si="29">IFERROR(INDIRECT(CONCATENATE("D", S17)),100)</f>
        <v>100</v>
      </c>
      <c r="V17" t="e">
        <f t="shared" ref="V17:V40" si="30">GetLeadingCarRow($B$45:$E$56,L17,$E$15,E17)</f>
        <v>#VALUE!</v>
      </c>
      <c r="W17">
        <f t="shared" ref="W17:W40" ca="1" si="31">IFERROR(INDIRECT(CONCATENATE("B", V17))-E17,1000000000)</f>
        <v>1000000000</v>
      </c>
      <c r="X17">
        <f t="shared" ref="X17:X40" ca="1" si="32">IFERROR(INDIRECT(CONCATENATE("D", V17)),100)</f>
        <v>100</v>
      </c>
      <c r="Y17" t="e">
        <f>GetFollowingCarRow($B$45:$E$54,L17,$E$15,E17)</f>
        <v>#VALUE!</v>
      </c>
      <c r="Z17">
        <f t="shared" ref="Z17:Z40" ca="1" si="33">IFERROR(INDIRECT(CONCATENATE("B", Y17))-E17,1000000000)</f>
        <v>1000000000</v>
      </c>
      <c r="AA17">
        <f t="shared" ref="AA17:AA40" ca="1" si="34">IFERROR(INDIRECT(CONCATENATE("D", Y17)),100)</f>
        <v>100</v>
      </c>
      <c r="AB17">
        <f t="shared" ref="AB17:AB40" si="35">$F$15-F17</f>
        <v>0</v>
      </c>
      <c r="AC17">
        <f t="shared" ref="AC17:AC40" si="36">E17-$E$15</f>
        <v>0.51999999999999602</v>
      </c>
      <c r="AD17">
        <f t="shared" ref="AD17:AD40" si="37">$F$15-(-AB17/AC17)*$E$15</f>
        <v>6.18</v>
      </c>
      <c r="AE17">
        <f t="shared" ref="AE17:AE40" si="38">AD17*-AC17</f>
        <v>-3.2135999999999751</v>
      </c>
      <c r="AF17">
        <f t="shared" ref="AF17:AF40" si="39">SQRT(AB17^2+AC17^2)</f>
        <v>0.51999999999999602</v>
      </c>
      <c r="AG17">
        <f t="shared" ref="AG17:AG40" si="40">GetSmallestNormalDistance($B$45:$E$56,AB17,AC17,AF17,$L$15,L17)</f>
        <v>1000000000</v>
      </c>
      <c r="AH17">
        <f t="shared" ref="AH17:AH40" si="41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0.42884071630537229</v>
      </c>
      <c r="AL17">
        <f>IF(H17+ABS(K17)&lt;0,Logistic(SQRT(H17^2+K17^2)/$B$4),0)</f>
        <v>5.1205176649235608E-2</v>
      </c>
      <c r="AM17">
        <f>IF(G17&gt;$B$3,1,0)</f>
        <v>0</v>
      </c>
      <c r="AN17">
        <f>IF(H17&gt;$B$4,1,0)</f>
        <v>0</v>
      </c>
      <c r="AO17">
        <f>ABS(H17)/$B$4</f>
        <v>0.10249999999999999</v>
      </c>
      <c r="AP17">
        <f>Logistic(I17/$B$5)</f>
        <v>6.2418746747512487E-2</v>
      </c>
      <c r="AQ17">
        <f>IF(I17&gt;$B$5,1,0)</f>
        <v>0</v>
      </c>
      <c r="AR17">
        <f>Logistic(ABS(F17-O17)/($B$6/2))</f>
        <v>4.4969649583600189E-2</v>
      </c>
      <c r="AS17">
        <f>IF(OR(F17&lt;M17,F17&gt;N17),1,0)</f>
        <v>0</v>
      </c>
      <c r="AT17">
        <f>ABS(K17)/$B$4</f>
        <v>0</v>
      </c>
      <c r="AU17">
        <f t="shared" ref="AU17:AU40" ca="1" si="42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3">IF(OR(ABS(Q17)&lt;$B$8,ABS(W17)&lt;$B$8),1,0)</f>
        <v>0</v>
      </c>
      <c r="BB17">
        <f t="shared" ref="BB17:BB40" ca="1" si="44">IF(OR(ABS(T17)&lt;$B$8,ABS(Z17)&lt;$B$8),1,0)</f>
        <v>0</v>
      </c>
      <c r="BC17">
        <f t="shared" ref="BC17:BC40" si="45">IFERROR(IF(P17=Y17,1,0),0)</f>
        <v>0</v>
      </c>
      <c r="BE17">
        <f t="shared" si="7"/>
        <v>0</v>
      </c>
      <c r="BF17">
        <f t="shared" ref="BF17:BF40" si="46">IF(G17&lt;=0,1,0)</f>
        <v>0</v>
      </c>
      <c r="BG17">
        <f t="shared" ref="BG17:BG40" si="47">IF(G17&lt;0,1,0)</f>
        <v>0</v>
      </c>
      <c r="BH17">
        <f t="shared" si="8"/>
        <v>0.99977669331874086</v>
      </c>
      <c r="BI17">
        <f t="shared" si="9"/>
        <v>0</v>
      </c>
      <c r="BJ17">
        <f t="shared" si="10"/>
        <v>0</v>
      </c>
      <c r="BK17">
        <f t="shared" si="11"/>
        <v>1.5749803736109737E-4</v>
      </c>
      <c r="BL17">
        <f t="shared" ref="BL17:BL40" si="48">IF(G17&lt;ABS(H17),1,0)</f>
        <v>0</v>
      </c>
      <c r="BM17">
        <f t="shared" si="12"/>
        <v>9.1188196555451624E-4</v>
      </c>
      <c r="BN17">
        <f t="shared" si="13"/>
        <v>0</v>
      </c>
      <c r="BO17">
        <f t="shared" si="14"/>
        <v>0</v>
      </c>
      <c r="BP17">
        <f t="shared" si="15"/>
        <v>5.1205176649235608E-2</v>
      </c>
      <c r="BQ17">
        <f t="shared" si="16"/>
        <v>0.99999988635499171</v>
      </c>
    </row>
    <row r="18" spans="1:69" x14ac:dyDescent="0.25">
      <c r="A18" s="1" t="s">
        <v>14</v>
      </c>
      <c r="B18">
        <f t="shared" ca="1" si="2"/>
        <v>79.750598129485965</v>
      </c>
      <c r="C18" t="s">
        <v>259</v>
      </c>
      <c r="D18">
        <f t="shared" si="17"/>
        <v>50</v>
      </c>
      <c r="E18">
        <f t="shared" si="18"/>
        <v>127.12</v>
      </c>
      <c r="F18">
        <f t="shared" si="19"/>
        <v>6.18</v>
      </c>
      <c r="G18">
        <f t="shared" si="20"/>
        <v>1.86</v>
      </c>
      <c r="H18">
        <f t="shared" si="21"/>
        <v>0.68</v>
      </c>
      <c r="I18">
        <f t="shared" si="22"/>
        <v>0.5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 t="e">
        <f t="shared" si="5"/>
        <v>#VALUE!</v>
      </c>
      <c r="Q18">
        <f t="shared" ca="1" si="25"/>
        <v>1000000</v>
      </c>
      <c r="R18">
        <f t="shared" ca="1" si="26"/>
        <v>100</v>
      </c>
      <c r="S18" t="e">
        <f t="shared" si="27"/>
        <v>#VALUE!</v>
      </c>
      <c r="T18">
        <f t="shared" ca="1" si="28"/>
        <v>1000000</v>
      </c>
      <c r="U18">
        <f t="shared" ca="1" si="29"/>
        <v>100</v>
      </c>
      <c r="V18" t="e">
        <f t="shared" si="30"/>
        <v>#VALUE!</v>
      </c>
      <c r="W18">
        <f t="shared" ca="1" si="31"/>
        <v>1000000000</v>
      </c>
      <c r="X18">
        <f t="shared" ca="1" si="32"/>
        <v>100</v>
      </c>
      <c r="Y18" t="e">
        <f>GetFollowingCarRow($B$45:$E$54,L18,$E$15,E18)</f>
        <v>#VALUE!</v>
      </c>
      <c r="Z18">
        <f t="shared" ca="1" si="33"/>
        <v>1000000000</v>
      </c>
      <c r="AA18">
        <f t="shared" ca="1" si="34"/>
        <v>100</v>
      </c>
      <c r="AB18">
        <f t="shared" si="35"/>
        <v>0</v>
      </c>
      <c r="AC18">
        <f t="shared" si="36"/>
        <v>0.81000000000000227</v>
      </c>
      <c r="AD18">
        <f t="shared" si="37"/>
        <v>6.18</v>
      </c>
      <c r="AE18">
        <f t="shared" si="38"/>
        <v>-5.005800000000014</v>
      </c>
      <c r="AF18">
        <f t="shared" si="39"/>
        <v>0.81000000000000227</v>
      </c>
      <c r="AG18">
        <f t="shared" si="40"/>
        <v>1000000000</v>
      </c>
      <c r="AH18">
        <f t="shared" si="41"/>
        <v>0</v>
      </c>
      <c r="AI18">
        <f>IF(G18&lt;=0,1,0)</f>
        <v>0</v>
      </c>
      <c r="AJ18">
        <f>IF(G18&lt;0,1,0)</f>
        <v>0</v>
      </c>
      <c r="AK18">
        <f>MAX(($B$3-G18)/(G18 + 1),0) / $B$3</f>
        <v>0.31900239251794388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8.5000000000000006E-2</v>
      </c>
      <c r="AP18">
        <f>Logistic(I18/$B$5)</f>
        <v>3.1239831446031246E-2</v>
      </c>
      <c r="AQ18">
        <f>IF(I18&gt;$B$5,1,0)</f>
        <v>0</v>
      </c>
      <c r="AR18">
        <f>Logistic(ABS(F18-O18)/($B$6/2))</f>
        <v>4.4969649583600189E-2</v>
      </c>
      <c r="AS18">
        <f>IF(OR(F18&lt;M18,F18&gt;N18),1,0)</f>
        <v>0</v>
      </c>
      <c r="AT18">
        <f>ABS(K18)/$B$4</f>
        <v>0</v>
      </c>
      <c r="AU18">
        <f t="shared" ca="1" si="42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43"/>
        <v>0</v>
      </c>
      <c r="BB18">
        <f t="shared" ca="1" si="44"/>
        <v>0</v>
      </c>
      <c r="BC18">
        <f t="shared" si="45"/>
        <v>0</v>
      </c>
      <c r="BE18">
        <f t="shared" si="7"/>
        <v>0</v>
      </c>
      <c r="BF18">
        <f t="shared" si="46"/>
        <v>0</v>
      </c>
      <c r="BG18">
        <f t="shared" si="47"/>
        <v>0</v>
      </c>
      <c r="BH18">
        <f t="shared" si="8"/>
        <v>0.99770547976990809</v>
      </c>
      <c r="BI18">
        <f t="shared" si="9"/>
        <v>0</v>
      </c>
      <c r="BJ18">
        <f t="shared" si="10"/>
        <v>0</v>
      </c>
      <c r="BK18">
        <f t="shared" si="11"/>
        <v>2.1132342263179068E-5</v>
      </c>
      <c r="BL18">
        <f t="shared" si="48"/>
        <v>0</v>
      </c>
      <c r="BM18">
        <f t="shared" si="12"/>
        <v>3.0590232050182579E-7</v>
      </c>
      <c r="BN18">
        <f t="shared" si="13"/>
        <v>0</v>
      </c>
      <c r="BO18">
        <f t="shared" si="14"/>
        <v>0</v>
      </c>
      <c r="BP18">
        <f t="shared" si="15"/>
        <v>4.2474429932548165E-2</v>
      </c>
      <c r="BQ18">
        <f t="shared" si="16"/>
        <v>0.99993965817873698</v>
      </c>
    </row>
    <row r="19" spans="1:69" x14ac:dyDescent="0.25">
      <c r="A19" s="1" t="s">
        <v>13</v>
      </c>
      <c r="B19">
        <f t="shared" ca="1" si="2"/>
        <v>73.21260266594858</v>
      </c>
      <c r="C19" t="s">
        <v>258</v>
      </c>
      <c r="D19">
        <f t="shared" si="17"/>
        <v>50</v>
      </c>
      <c r="E19">
        <f t="shared" si="18"/>
        <v>127.22</v>
      </c>
      <c r="F19">
        <f t="shared" si="19"/>
        <v>6.18</v>
      </c>
      <c r="G19">
        <f t="shared" si="20"/>
        <v>2.08</v>
      </c>
      <c r="H19">
        <f t="shared" si="21"/>
        <v>1.18</v>
      </c>
      <c r="I19">
        <f t="shared" si="22"/>
        <v>1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 t="e">
        <f t="shared" si="5"/>
        <v>#VALUE!</v>
      </c>
      <c r="Q19">
        <f t="shared" ca="1" si="25"/>
        <v>1000000</v>
      </c>
      <c r="R19">
        <f t="shared" ca="1" si="26"/>
        <v>100</v>
      </c>
      <c r="S19" t="e">
        <f t="shared" si="27"/>
        <v>#VALUE!</v>
      </c>
      <c r="T19">
        <f t="shared" ca="1" si="28"/>
        <v>1000000</v>
      </c>
      <c r="U19">
        <f t="shared" ca="1" si="29"/>
        <v>100</v>
      </c>
      <c r="V19" t="e">
        <f t="shared" si="30"/>
        <v>#VALUE!</v>
      </c>
      <c r="W19">
        <f t="shared" ca="1" si="31"/>
        <v>1000000000</v>
      </c>
      <c r="X19">
        <f t="shared" ca="1" si="32"/>
        <v>100</v>
      </c>
      <c r="Y19" t="e">
        <f>GetFollowingCarRow($B$45:$E$54,L19,$E$15,E19)</f>
        <v>#VALUE!</v>
      </c>
      <c r="Z19">
        <f t="shared" ca="1" si="33"/>
        <v>1000000000</v>
      </c>
      <c r="AA19">
        <f t="shared" ca="1" si="34"/>
        <v>100</v>
      </c>
      <c r="AB19">
        <f t="shared" si="35"/>
        <v>0</v>
      </c>
      <c r="AC19">
        <f t="shared" si="36"/>
        <v>0.90999999999999659</v>
      </c>
      <c r="AD19">
        <f t="shared" si="37"/>
        <v>6.18</v>
      </c>
      <c r="AE19">
        <f t="shared" si="38"/>
        <v>-5.6237999999999788</v>
      </c>
      <c r="AF19">
        <f t="shared" si="39"/>
        <v>0.90999999999999659</v>
      </c>
      <c r="AG19">
        <f t="shared" si="40"/>
        <v>1000000000</v>
      </c>
      <c r="AH19">
        <f t="shared" si="41"/>
        <v>0</v>
      </c>
      <c r="AI19">
        <f>IF(G19&lt;=0,1,0)</f>
        <v>0</v>
      </c>
      <c r="AJ19">
        <f>IF(G19&lt;0,1,0)</f>
        <v>0</v>
      </c>
      <c r="AK19">
        <f>MAX(($B$3-G19)/(G19 + 1),0) / $B$3</f>
        <v>0.2928504106637943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0.14749999999999999</v>
      </c>
      <c r="AP19">
        <f>Logistic(I19/$B$5)</f>
        <v>6.2418746747512487E-2</v>
      </c>
      <c r="AQ19">
        <f>IF(I19&gt;$B$5,1,0)</f>
        <v>0</v>
      </c>
      <c r="AR19">
        <f>Logistic(ABS(F19-O19)/($B$6/2))</f>
        <v>4.4969649583600189E-2</v>
      </c>
      <c r="AS19">
        <f>IF(OR(F19&lt;M19,F19&gt;N19),1,0)</f>
        <v>0</v>
      </c>
      <c r="AT19">
        <f>ABS(K19)/$B$4</f>
        <v>0</v>
      </c>
      <c r="AU19">
        <f t="shared" ca="1" si="42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43"/>
        <v>0</v>
      </c>
      <c r="BB19">
        <f t="shared" ca="1" si="44"/>
        <v>0</v>
      </c>
      <c r="BC19">
        <f t="shared" si="45"/>
        <v>0</v>
      </c>
      <c r="BE19">
        <f t="shared" si="7"/>
        <v>0</v>
      </c>
      <c r="BF19">
        <f t="shared" si="46"/>
        <v>0</v>
      </c>
      <c r="BG19">
        <f t="shared" si="47"/>
        <v>0</v>
      </c>
      <c r="BH19">
        <f t="shared" si="8"/>
        <v>0.99600669943187348</v>
      </c>
      <c r="BI19">
        <f t="shared" si="9"/>
        <v>0</v>
      </c>
      <c r="BJ19">
        <f t="shared" si="10"/>
        <v>0</v>
      </c>
      <c r="BK19">
        <f t="shared" si="11"/>
        <v>3.0897626078904904E-3</v>
      </c>
      <c r="BL19">
        <f t="shared" si="48"/>
        <v>0</v>
      </c>
      <c r="BM19">
        <f t="shared" si="12"/>
        <v>9.1188196555451624E-4</v>
      </c>
      <c r="BN19">
        <f t="shared" si="13"/>
        <v>0</v>
      </c>
      <c r="BO19">
        <f t="shared" si="14"/>
        <v>0</v>
      </c>
      <c r="BP19">
        <f t="shared" si="15"/>
        <v>7.3616579977960783E-2</v>
      </c>
      <c r="BQ19">
        <f t="shared" si="16"/>
        <v>0.9997983297734736</v>
      </c>
    </row>
    <row r="20" spans="1:69" x14ac:dyDescent="0.25">
      <c r="A20" s="1" t="s">
        <v>12</v>
      </c>
      <c r="B20">
        <f t="shared" ca="1" si="2"/>
        <v>67.546339930882823</v>
      </c>
      <c r="C20" t="s">
        <v>257</v>
      </c>
      <c r="D20">
        <f t="shared" si="17"/>
        <v>50</v>
      </c>
      <c r="E20">
        <f t="shared" si="18"/>
        <v>127.32</v>
      </c>
      <c r="F20">
        <f t="shared" si="19"/>
        <v>6.18</v>
      </c>
      <c r="G20">
        <f t="shared" si="20"/>
        <v>2.2999999999999998</v>
      </c>
      <c r="H20">
        <f t="shared" si="21"/>
        <v>1.68</v>
      </c>
      <c r="I20">
        <f t="shared" si="22"/>
        <v>1.5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 t="e">
        <f t="shared" si="5"/>
        <v>#VALUE!</v>
      </c>
      <c r="Q20">
        <f t="shared" ca="1" si="25"/>
        <v>1000000</v>
      </c>
      <c r="R20">
        <f t="shared" ca="1" si="26"/>
        <v>100</v>
      </c>
      <c r="S20" t="e">
        <f t="shared" si="27"/>
        <v>#VALUE!</v>
      </c>
      <c r="T20">
        <f t="shared" ca="1" si="28"/>
        <v>1000000</v>
      </c>
      <c r="U20">
        <f t="shared" ca="1" si="29"/>
        <v>100</v>
      </c>
      <c r="V20" t="e">
        <f t="shared" si="30"/>
        <v>#VALUE!</v>
      </c>
      <c r="W20">
        <f t="shared" ca="1" si="31"/>
        <v>1000000000</v>
      </c>
      <c r="X20">
        <f t="shared" ca="1" si="32"/>
        <v>100</v>
      </c>
      <c r="Y20" t="e">
        <f>GetFollowingCarRow($B$45:$E$54,L20,$E$15,E20)</f>
        <v>#VALUE!</v>
      </c>
      <c r="Z20">
        <f t="shared" ca="1" si="33"/>
        <v>1000000000</v>
      </c>
      <c r="AA20">
        <f t="shared" ca="1" si="34"/>
        <v>100</v>
      </c>
      <c r="AB20">
        <f t="shared" si="35"/>
        <v>0</v>
      </c>
      <c r="AC20">
        <f t="shared" si="36"/>
        <v>1.0099999999999909</v>
      </c>
      <c r="AD20">
        <f t="shared" si="37"/>
        <v>6.18</v>
      </c>
      <c r="AE20">
        <f t="shared" si="38"/>
        <v>-6.2417999999999436</v>
      </c>
      <c r="AF20">
        <f t="shared" si="39"/>
        <v>1.0099999999999909</v>
      </c>
      <c r="AG20">
        <f t="shared" si="40"/>
        <v>1000000000</v>
      </c>
      <c r="AH20">
        <f t="shared" si="41"/>
        <v>0</v>
      </c>
      <c r="AI20">
        <f>IF(G20&lt;=0,1,0)</f>
        <v>0</v>
      </c>
      <c r="AJ20">
        <f>IF(G20&lt;0,1,0)</f>
        <v>0</v>
      </c>
      <c r="AK20">
        <f>MAX(($B$3-G20)/(G20 + 1),0) / $B$3</f>
        <v>0.2701853597235313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0.21</v>
      </c>
      <c r="AP20">
        <f>Logistic(I20/$B$5)</f>
        <v>9.3476303969227723E-2</v>
      </c>
      <c r="AQ20">
        <f>IF(I20&gt;$B$5,1,0)</f>
        <v>0</v>
      </c>
      <c r="AR20">
        <f>Logistic(ABS(F20-O20)/($B$6/2))</f>
        <v>4.4969649583600189E-2</v>
      </c>
      <c r="AS20">
        <f>IF(OR(F20&lt;M20,F20&gt;N20),1,0)</f>
        <v>0</v>
      </c>
      <c r="AT20">
        <f>ABS(K20)/$B$4</f>
        <v>0</v>
      </c>
      <c r="AU20">
        <f t="shared" ca="1" si="42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43"/>
        <v>0</v>
      </c>
      <c r="BB20">
        <f t="shared" ca="1" si="44"/>
        <v>0</v>
      </c>
      <c r="BC20">
        <f t="shared" si="45"/>
        <v>0</v>
      </c>
      <c r="BE20">
        <f t="shared" si="7"/>
        <v>0</v>
      </c>
      <c r="BF20">
        <f t="shared" si="46"/>
        <v>0</v>
      </c>
      <c r="BG20">
        <f t="shared" si="47"/>
        <v>0</v>
      </c>
      <c r="BH20">
        <f t="shared" si="8"/>
        <v>0.99354833601308867</v>
      </c>
      <c r="BI20">
        <f t="shared" si="9"/>
        <v>0</v>
      </c>
      <c r="BJ20">
        <f t="shared" si="10"/>
        <v>0</v>
      </c>
      <c r="BK20">
        <f t="shared" si="11"/>
        <v>2.323943260450324E-2</v>
      </c>
      <c r="BL20">
        <f t="shared" si="48"/>
        <v>0</v>
      </c>
      <c r="BM20">
        <f t="shared" si="12"/>
        <v>1.3123728736940968E-2</v>
      </c>
      <c r="BN20">
        <f t="shared" si="13"/>
        <v>0</v>
      </c>
      <c r="BO20">
        <f t="shared" si="14"/>
        <v>0</v>
      </c>
      <c r="BP20">
        <f t="shared" si="15"/>
        <v>0.10461581914865055</v>
      </c>
      <c r="BQ20">
        <f t="shared" si="16"/>
        <v>0.99946498047773014</v>
      </c>
    </row>
    <row r="21" spans="1:69" x14ac:dyDescent="0.25">
      <c r="A21" s="1" t="s">
        <v>33</v>
      </c>
      <c r="B21">
        <f t="shared" ca="1" si="2"/>
        <v>87.378259503612952</v>
      </c>
      <c r="C21" t="s">
        <v>256</v>
      </c>
      <c r="D21">
        <f t="shared" si="17"/>
        <v>50</v>
      </c>
      <c r="E21">
        <f t="shared" si="18"/>
        <v>127.03</v>
      </c>
      <c r="F21">
        <f t="shared" si="19"/>
        <v>6.18</v>
      </c>
      <c r="G21">
        <f t="shared" si="20"/>
        <v>1.64</v>
      </c>
      <c r="H21">
        <f t="shared" si="21"/>
        <v>0.18</v>
      </c>
      <c r="I21">
        <f t="shared" si="22"/>
        <v>0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 t="e">
        <f t="shared" si="5"/>
        <v>#VALUE!</v>
      </c>
      <c r="Q21">
        <f t="shared" ca="1" si="25"/>
        <v>1000000</v>
      </c>
      <c r="R21">
        <f t="shared" ca="1" si="26"/>
        <v>100</v>
      </c>
      <c r="S21" t="e">
        <f t="shared" si="27"/>
        <v>#VALUE!</v>
      </c>
      <c r="T21">
        <f t="shared" ca="1" si="28"/>
        <v>1000000</v>
      </c>
      <c r="U21">
        <f t="shared" ca="1" si="29"/>
        <v>100</v>
      </c>
      <c r="V21" t="e">
        <f t="shared" si="30"/>
        <v>#VALUE!</v>
      </c>
      <c r="W21">
        <f t="shared" ca="1" si="31"/>
        <v>1000000000</v>
      </c>
      <c r="X21">
        <f t="shared" ca="1" si="32"/>
        <v>100</v>
      </c>
      <c r="Y21" t="e">
        <f>GetFollowingCarRow($B$45:$E$54,L21,$E$15,E21)</f>
        <v>#VALUE!</v>
      </c>
      <c r="Z21">
        <f t="shared" ca="1" si="33"/>
        <v>1000000000</v>
      </c>
      <c r="AA21">
        <f t="shared" ca="1" si="34"/>
        <v>100</v>
      </c>
      <c r="AB21">
        <f t="shared" si="35"/>
        <v>0</v>
      </c>
      <c r="AC21">
        <f t="shared" si="36"/>
        <v>0.71999999999999886</v>
      </c>
      <c r="AD21">
        <f t="shared" si="37"/>
        <v>6.18</v>
      </c>
      <c r="AE21">
        <f t="shared" si="38"/>
        <v>-4.4495999999999931</v>
      </c>
      <c r="AF21">
        <f t="shared" si="39"/>
        <v>0.71999999999999886</v>
      </c>
      <c r="AG21">
        <f t="shared" si="40"/>
        <v>1000000000</v>
      </c>
      <c r="AH21">
        <f t="shared" si="41"/>
        <v>0</v>
      </c>
      <c r="AI21">
        <f>IF(G21&lt;=0,1,0)</f>
        <v>0</v>
      </c>
      <c r="AJ21">
        <f>IF(G21&lt;0,1,0)</f>
        <v>0</v>
      </c>
      <c r="AK21">
        <f>MAX(($B$3-G21)/(G21 + 1),0) / $B$3</f>
        <v>0.34951303801445183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2.2499999999999999E-2</v>
      </c>
      <c r="AP21">
        <f>Logistic(I21/$B$5)</f>
        <v>0</v>
      </c>
      <c r="AQ21">
        <f>IF(I21&gt;$B$5,1,0)</f>
        <v>0</v>
      </c>
      <c r="AR21">
        <f>Logistic(ABS(F21-O21)/($B$6/2))</f>
        <v>4.4969649583600189E-2</v>
      </c>
      <c r="AS21">
        <f>IF(OR(F21&lt;M21,F21&gt;N21),1,0)</f>
        <v>0</v>
      </c>
      <c r="AT21">
        <f>ABS(K21)/$B$4</f>
        <v>0</v>
      </c>
      <c r="AU21">
        <f t="shared" ca="1" si="42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3"/>
        <v>0</v>
      </c>
      <c r="BB21">
        <f t="shared" ca="1" si="44"/>
        <v>0</v>
      </c>
      <c r="BC21">
        <f t="shared" si="45"/>
        <v>0</v>
      </c>
      <c r="BE21">
        <f t="shared" si="7"/>
        <v>0</v>
      </c>
      <c r="BF21">
        <f t="shared" si="46"/>
        <v>0</v>
      </c>
      <c r="BG21">
        <f t="shared" si="47"/>
        <v>0</v>
      </c>
      <c r="BH21">
        <f t="shared" si="8"/>
        <v>0.99879842304427513</v>
      </c>
      <c r="BI21">
        <f t="shared" si="9"/>
        <v>0</v>
      </c>
      <c r="BJ21">
        <f t="shared" si="10"/>
        <v>0</v>
      </c>
      <c r="BK21">
        <f t="shared" si="11"/>
        <v>1.3561805402628943E-19</v>
      </c>
      <c r="BL21">
        <f t="shared" si="48"/>
        <v>0</v>
      </c>
      <c r="BM21">
        <f t="shared" si="12"/>
        <v>0</v>
      </c>
      <c r="BN21">
        <f t="shared" si="13"/>
        <v>0</v>
      </c>
      <c r="BO21">
        <f t="shared" si="14"/>
        <v>0</v>
      </c>
      <c r="BP21">
        <f t="shared" si="15"/>
        <v>1.1249525414650879E-2</v>
      </c>
      <c r="BQ21">
        <f t="shared" si="16"/>
        <v>0.99998693905058267</v>
      </c>
    </row>
    <row r="22" spans="1:69" x14ac:dyDescent="0.25">
      <c r="A22" s="1" t="s">
        <v>11</v>
      </c>
      <c r="B22">
        <f t="shared" ca="1" si="2"/>
        <v>90.476996936852032</v>
      </c>
      <c r="C22" t="s">
        <v>255</v>
      </c>
      <c r="D22">
        <f t="shared" si="17"/>
        <v>50</v>
      </c>
      <c r="E22">
        <f t="shared" si="18"/>
        <v>126.99</v>
      </c>
      <c r="F22">
        <f t="shared" si="19"/>
        <v>6.18</v>
      </c>
      <c r="G22">
        <f t="shared" si="20"/>
        <v>1.56</v>
      </c>
      <c r="H22">
        <f t="shared" si="21"/>
        <v>0</v>
      </c>
      <c r="I22">
        <f t="shared" si="22"/>
        <v>0.18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 t="e">
        <f t="shared" si="5"/>
        <v>#VALUE!</v>
      </c>
      <c r="Q22">
        <f t="shared" ca="1" si="25"/>
        <v>1000000</v>
      </c>
      <c r="R22">
        <f t="shared" ca="1" si="26"/>
        <v>100</v>
      </c>
      <c r="S22" t="e">
        <f t="shared" si="27"/>
        <v>#VALUE!</v>
      </c>
      <c r="T22">
        <f t="shared" ca="1" si="28"/>
        <v>1000000</v>
      </c>
      <c r="U22">
        <f t="shared" ca="1" si="29"/>
        <v>100</v>
      </c>
      <c r="V22" t="e">
        <f t="shared" si="30"/>
        <v>#VALUE!</v>
      </c>
      <c r="W22">
        <f t="shared" ca="1" si="31"/>
        <v>1000000000</v>
      </c>
      <c r="X22">
        <f t="shared" ca="1" si="32"/>
        <v>100</v>
      </c>
      <c r="Y22" t="e">
        <f>GetFollowingCarRow($B$45:$E$54,L22,$E$15,E22)</f>
        <v>#VALUE!</v>
      </c>
      <c r="Z22">
        <f t="shared" ca="1" si="33"/>
        <v>1000000000</v>
      </c>
      <c r="AA22">
        <f t="shared" ca="1" si="34"/>
        <v>100</v>
      </c>
      <c r="AB22">
        <f t="shared" si="35"/>
        <v>0</v>
      </c>
      <c r="AC22">
        <f t="shared" si="36"/>
        <v>0.67999999999999261</v>
      </c>
      <c r="AD22">
        <f t="shared" si="37"/>
        <v>6.18</v>
      </c>
      <c r="AE22">
        <f t="shared" si="38"/>
        <v>-4.2023999999999537</v>
      </c>
      <c r="AF22">
        <f t="shared" si="39"/>
        <v>0.67999999999999261</v>
      </c>
      <c r="AG22">
        <f t="shared" si="40"/>
        <v>1000000000</v>
      </c>
      <c r="AH22">
        <f t="shared" si="41"/>
        <v>0</v>
      </c>
      <c r="AI22">
        <f>IF(G22&lt;=0,1,0)</f>
        <v>0</v>
      </c>
      <c r="AJ22">
        <f>IF(G22&lt;0,1,0)</f>
        <v>0</v>
      </c>
      <c r="AK22">
        <f>MAX(($B$3-G22)/(G22 + 1),0) / $B$3</f>
        <v>0.36190798774740812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1.1249525414650879E-2</v>
      </c>
      <c r="AQ22">
        <f>IF(I22&gt;$B$5,1,0)</f>
        <v>0</v>
      </c>
      <c r="AR22">
        <f>Logistic(ABS(F22-O22)/($B$6/2))</f>
        <v>4.4969649583600189E-2</v>
      </c>
      <c r="AS22">
        <f>IF(OR(F22&lt;M22,F22&gt;N22),1,0)</f>
        <v>0</v>
      </c>
      <c r="AT22">
        <f>ABS(K22)/$B$4</f>
        <v>0</v>
      </c>
      <c r="AU22">
        <f t="shared" ca="1" si="42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3"/>
        <v>0</v>
      </c>
      <c r="BB22">
        <f t="shared" ca="1" si="44"/>
        <v>0</v>
      </c>
      <c r="BC22">
        <f t="shared" si="45"/>
        <v>0</v>
      </c>
      <c r="BE22">
        <f t="shared" si="7"/>
        <v>0</v>
      </c>
      <c r="BF22">
        <f t="shared" si="46"/>
        <v>0</v>
      </c>
      <c r="BG22">
        <f t="shared" si="47"/>
        <v>0</v>
      </c>
      <c r="BH22">
        <f t="shared" si="8"/>
        <v>0.9990761883341952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8"/>
        <v>0</v>
      </c>
      <c r="BM22">
        <f t="shared" si="12"/>
        <v>1.3561805402628943E-19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0.99999327326239129</v>
      </c>
    </row>
    <row r="23" spans="1:69" x14ac:dyDescent="0.25">
      <c r="A23" s="1" t="s">
        <v>34</v>
      </c>
      <c r="B23">
        <f t="shared" ca="1" si="2"/>
        <v>170.72031651799173</v>
      </c>
      <c r="C23" t="s">
        <v>254</v>
      </c>
      <c r="D23">
        <f t="shared" si="17"/>
        <v>127</v>
      </c>
      <c r="E23">
        <f t="shared" si="18"/>
        <v>134.99</v>
      </c>
      <c r="F23">
        <f t="shared" si="19"/>
        <v>6.48</v>
      </c>
      <c r="G23">
        <f t="shared" si="20"/>
        <v>7.1</v>
      </c>
      <c r="H23">
        <f t="shared" si="21"/>
        <v>1.39</v>
      </c>
      <c r="I23">
        <f t="shared" si="22"/>
        <v>1.21</v>
      </c>
      <c r="J23">
        <f t="shared" si="23"/>
        <v>-0.44</v>
      </c>
      <c r="K23">
        <f t="shared" si="24"/>
        <v>0.01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 t="e">
        <f t="shared" si="5"/>
        <v>#VALUE!</v>
      </c>
      <c r="Q23">
        <f t="shared" ca="1" si="25"/>
        <v>1000000</v>
      </c>
      <c r="R23">
        <f t="shared" ca="1" si="26"/>
        <v>100</v>
      </c>
      <c r="S23">
        <f t="shared" si="27"/>
        <v>45</v>
      </c>
      <c r="T23">
        <f t="shared" ca="1" si="28"/>
        <v>-73.271017999999998</v>
      </c>
      <c r="U23">
        <f t="shared" ca="1" si="29"/>
        <v>22.500133000000002</v>
      </c>
      <c r="V23" t="e">
        <f t="shared" si="30"/>
        <v>#VALUE!</v>
      </c>
      <c r="W23">
        <f t="shared" ca="1" si="31"/>
        <v>1000000000</v>
      </c>
      <c r="X23">
        <f t="shared" ca="1" si="32"/>
        <v>100</v>
      </c>
      <c r="Y23">
        <f>GetFollowingCarRow($B$45:$E$54,L23,$E$15,E23)</f>
        <v>45</v>
      </c>
      <c r="Z23">
        <f t="shared" ca="1" si="33"/>
        <v>-81.951018000000005</v>
      </c>
      <c r="AA23">
        <f t="shared" ca="1" si="34"/>
        <v>22.500133000000002</v>
      </c>
      <c r="AB23">
        <f t="shared" si="35"/>
        <v>-0.30000000000000071</v>
      </c>
      <c r="AC23">
        <f t="shared" si="36"/>
        <v>8.6800000000000068</v>
      </c>
      <c r="AD23">
        <f t="shared" si="37"/>
        <v>1.8144470046082883</v>
      </c>
      <c r="AE23">
        <f t="shared" si="38"/>
        <v>-15.749399999999955</v>
      </c>
      <c r="AF23">
        <f t="shared" si="39"/>
        <v>8.6851827844899212</v>
      </c>
      <c r="AG23">
        <f t="shared" si="40"/>
        <v>8.2471011580681086</v>
      </c>
      <c r="AH23">
        <f t="shared" si="41"/>
        <v>0.64692945044176664</v>
      </c>
      <c r="AI23">
        <f>IF(G23&lt;=0,1,0)</f>
        <v>0</v>
      </c>
      <c r="AJ23">
        <f>IF(G23&lt;0,1,0)</f>
        <v>0</v>
      </c>
      <c r="AK23">
        <f>MAX(($B$3-G23)/(G23 + 1),0) / $B$3</f>
        <v>8.2149381552460404E-2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0.17374999999999999</v>
      </c>
      <c r="AP23">
        <f>Logistic(I23/$B$5)</f>
        <v>7.548115904644187E-2</v>
      </c>
      <c r="AQ23">
        <f>IF(I23&gt;$B$5,1,0)</f>
        <v>0</v>
      </c>
      <c r="AR23">
        <f>Logistic(ABS(F23-O23)/($B$6/2))</f>
        <v>0.70641932039723521</v>
      </c>
      <c r="AS23">
        <f>IF(OR(F23&lt;M23,F23&gt;N23),1,0)</f>
        <v>1</v>
      </c>
      <c r="AT23">
        <f>ABS(K23)/$B$4</f>
        <v>1.25E-3</v>
      </c>
      <c r="AU23">
        <f t="shared" ca="1" si="42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0.52421827785513286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0.4678551282641521</v>
      </c>
      <c r="BA23">
        <f t="shared" ca="1" si="43"/>
        <v>0</v>
      </c>
      <c r="BB23">
        <f t="shared" ca="1" si="44"/>
        <v>0</v>
      </c>
      <c r="BC23">
        <f t="shared" si="45"/>
        <v>0</v>
      </c>
      <c r="BE23">
        <f t="shared" si="7"/>
        <v>0.64692945044176664</v>
      </c>
      <c r="BF23">
        <f t="shared" si="46"/>
        <v>0</v>
      </c>
      <c r="BG23">
        <f t="shared" si="47"/>
        <v>0</v>
      </c>
      <c r="BH23">
        <f t="shared" si="8"/>
        <v>0.70218864130999192</v>
      </c>
      <c r="BI23">
        <f t="shared" si="9"/>
        <v>0</v>
      </c>
      <c r="BJ23">
        <f t="shared" si="10"/>
        <v>0</v>
      </c>
      <c r="BK23">
        <f t="shared" si="11"/>
        <v>8.6051391083961353E-3</v>
      </c>
      <c r="BL23">
        <f t="shared" si="48"/>
        <v>0</v>
      </c>
      <c r="BM23">
        <f t="shared" si="12"/>
        <v>3.6553250822848418E-3</v>
      </c>
      <c r="BN23">
        <f t="shared" si="13"/>
        <v>0.37999999999999989</v>
      </c>
      <c r="BO23">
        <f t="shared" si="14"/>
        <v>1.25E-3</v>
      </c>
      <c r="BP23">
        <f t="shared" si="15"/>
        <v>8.665710155761211E-2</v>
      </c>
      <c r="BQ23">
        <f t="shared" si="16"/>
        <v>0.75921793287495187</v>
      </c>
    </row>
    <row r="24" spans="1:69" x14ac:dyDescent="0.25">
      <c r="A24" s="1" t="s">
        <v>35</v>
      </c>
      <c r="B24">
        <f t="shared" ca="1" si="2"/>
        <v>170.72031651799173</v>
      </c>
      <c r="C24" t="s">
        <v>253</v>
      </c>
      <c r="D24">
        <f t="shared" si="17"/>
        <v>127</v>
      </c>
      <c r="E24">
        <f t="shared" si="18"/>
        <v>134.99</v>
      </c>
      <c r="F24">
        <f t="shared" si="19"/>
        <v>6.7</v>
      </c>
      <c r="G24">
        <f t="shared" si="20"/>
        <v>7.1</v>
      </c>
      <c r="H24">
        <f t="shared" si="21"/>
        <v>1.39</v>
      </c>
      <c r="I24">
        <f t="shared" si="22"/>
        <v>1.21</v>
      </c>
      <c r="J24">
        <f t="shared" si="23"/>
        <v>-0.75</v>
      </c>
      <c r="K24">
        <f t="shared" si="24"/>
        <v>0.01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 t="e">
        <f t="shared" si="5"/>
        <v>#VALUE!</v>
      </c>
      <c r="Q24">
        <f t="shared" ca="1" si="25"/>
        <v>1000000</v>
      </c>
      <c r="R24">
        <f t="shared" ca="1" si="26"/>
        <v>100</v>
      </c>
      <c r="S24">
        <f t="shared" si="27"/>
        <v>45</v>
      </c>
      <c r="T24">
        <f t="shared" ca="1" si="28"/>
        <v>-73.271017999999998</v>
      </c>
      <c r="U24">
        <f t="shared" ca="1" si="29"/>
        <v>22.500133000000002</v>
      </c>
      <c r="V24" t="e">
        <f t="shared" si="30"/>
        <v>#VALUE!</v>
      </c>
      <c r="W24">
        <f t="shared" ca="1" si="31"/>
        <v>1000000000</v>
      </c>
      <c r="X24">
        <f t="shared" ca="1" si="32"/>
        <v>100</v>
      </c>
      <c r="Y24">
        <f>GetFollowingCarRow($B$45:$E$54,L24,$E$15,E24)</f>
        <v>45</v>
      </c>
      <c r="Z24">
        <f t="shared" ca="1" si="33"/>
        <v>-81.951018000000005</v>
      </c>
      <c r="AA24">
        <f t="shared" ca="1" si="34"/>
        <v>22.500133000000002</v>
      </c>
      <c r="AB24">
        <f t="shared" si="35"/>
        <v>-0.52000000000000046</v>
      </c>
      <c r="AC24">
        <f t="shared" si="36"/>
        <v>8.6800000000000068</v>
      </c>
      <c r="AD24">
        <f t="shared" si="37"/>
        <v>-1.3869585253456229</v>
      </c>
      <c r="AE24">
        <f t="shared" si="38"/>
        <v>12.038800000000016</v>
      </c>
      <c r="AF24">
        <f t="shared" si="39"/>
        <v>8.6955620864898719</v>
      </c>
      <c r="AG24">
        <f t="shared" si="40"/>
        <v>6.8953570066686316</v>
      </c>
      <c r="AH24">
        <f t="shared" si="41"/>
        <v>0.64692945044176664</v>
      </c>
      <c r="AI24">
        <f>IF(G24&lt;=0,1,0)</f>
        <v>0</v>
      </c>
      <c r="AJ24">
        <f>IF(G24&lt;0,1,0)</f>
        <v>0</v>
      </c>
      <c r="AK24">
        <f>MAX(($B$3-G24)/(G24 + 1),0) / $B$3</f>
        <v>8.2149381552460404E-2</v>
      </c>
      <c r="AL24">
        <f>IF(H24+ABS(K24)&lt;0,Logistic(SQRT(H24^2+K24^2)/$B$4),0)</f>
        <v>0</v>
      </c>
      <c r="AM24">
        <f>IF(G24&gt;$B$3,1,0)</f>
        <v>0</v>
      </c>
      <c r="AN24">
        <f>IF(H24&gt;$B$4,1,0)</f>
        <v>0</v>
      </c>
      <c r="AO24">
        <f>ABS(H24)/$B$4</f>
        <v>0.17374999999999999</v>
      </c>
      <c r="AP24">
        <f>Logistic(I24/$B$5)</f>
        <v>7.548115904644187E-2</v>
      </c>
      <c r="AQ24">
        <f>IF(I24&gt;$B$5,1,0)</f>
        <v>0</v>
      </c>
      <c r="AR24">
        <f>Logistic(ABS(F24-O24)/($B$6/2))</f>
        <v>0.67778210084682955</v>
      </c>
      <c r="AS24">
        <f>IF(OR(F24&lt;M24,F24&gt;N24),1,0)</f>
        <v>1</v>
      </c>
      <c r="AT24">
        <f>ABS(K24)/$B$4</f>
        <v>1.25E-3</v>
      </c>
      <c r="AU24">
        <f t="shared" ca="1" si="42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0.52421827785513286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0.4678551282641521</v>
      </c>
      <c r="BA24">
        <f t="shared" ca="1" si="43"/>
        <v>0</v>
      </c>
      <c r="BB24">
        <f t="shared" ca="1" si="44"/>
        <v>0</v>
      </c>
      <c r="BC24">
        <f t="shared" si="45"/>
        <v>0</v>
      </c>
      <c r="BE24">
        <f t="shared" si="7"/>
        <v>0.64692945044176664</v>
      </c>
      <c r="BF24">
        <f t="shared" si="46"/>
        <v>0</v>
      </c>
      <c r="BG24">
        <f t="shared" si="47"/>
        <v>0</v>
      </c>
      <c r="BH24">
        <f t="shared" si="8"/>
        <v>0.70218864130999192</v>
      </c>
      <c r="BI24">
        <f t="shared" si="9"/>
        <v>0</v>
      </c>
      <c r="BJ24">
        <f t="shared" si="10"/>
        <v>0</v>
      </c>
      <c r="BK24">
        <f t="shared" si="11"/>
        <v>8.6051391083961353E-3</v>
      </c>
      <c r="BL24">
        <f t="shared" si="48"/>
        <v>0</v>
      </c>
      <c r="BM24">
        <f t="shared" si="12"/>
        <v>3.6553250822848418E-3</v>
      </c>
      <c r="BN24">
        <f t="shared" si="13"/>
        <v>0.32499999999999996</v>
      </c>
      <c r="BO24">
        <f t="shared" si="14"/>
        <v>1.25E-3</v>
      </c>
      <c r="BP24">
        <f t="shared" si="15"/>
        <v>8.665710155761211E-2</v>
      </c>
      <c r="BQ24">
        <f t="shared" si="16"/>
        <v>0.75921793287495187</v>
      </c>
    </row>
    <row r="25" spans="1:69" x14ac:dyDescent="0.25">
      <c r="A25" s="1" t="s">
        <v>36</v>
      </c>
      <c r="B25">
        <f t="shared" ca="1" si="2"/>
        <v>170.72031651799173</v>
      </c>
      <c r="C25" t="s">
        <v>252</v>
      </c>
      <c r="D25">
        <f t="shared" si="17"/>
        <v>127</v>
      </c>
      <c r="E25">
        <f t="shared" si="18"/>
        <v>134.99</v>
      </c>
      <c r="F25">
        <f t="shared" si="19"/>
        <v>7.28</v>
      </c>
      <c r="G25">
        <f t="shared" si="20"/>
        <v>7.1</v>
      </c>
      <c r="H25">
        <f t="shared" si="21"/>
        <v>1.39</v>
      </c>
      <c r="I25">
        <f t="shared" si="22"/>
        <v>1.21</v>
      </c>
      <c r="J25">
        <f t="shared" si="23"/>
        <v>-1.53</v>
      </c>
      <c r="K25">
        <f t="shared" si="24"/>
        <v>0.02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 t="e">
        <f t="shared" si="5"/>
        <v>#VALUE!</v>
      </c>
      <c r="Q25">
        <f t="shared" ca="1" si="25"/>
        <v>1000000</v>
      </c>
      <c r="R25">
        <f t="shared" ca="1" si="26"/>
        <v>100</v>
      </c>
      <c r="S25">
        <f t="shared" si="27"/>
        <v>45</v>
      </c>
      <c r="T25">
        <f t="shared" ca="1" si="28"/>
        <v>-73.271017999999998</v>
      </c>
      <c r="U25">
        <f t="shared" ca="1" si="29"/>
        <v>22.500133000000002</v>
      </c>
      <c r="V25" t="e">
        <f t="shared" si="30"/>
        <v>#VALUE!</v>
      </c>
      <c r="W25">
        <f t="shared" ca="1" si="31"/>
        <v>1000000000</v>
      </c>
      <c r="X25">
        <f t="shared" ca="1" si="32"/>
        <v>100</v>
      </c>
      <c r="Y25">
        <f>GetFollowingCarRow($B$45:$E$54,L25,$E$15,E25)</f>
        <v>45</v>
      </c>
      <c r="Z25">
        <f t="shared" ca="1" si="33"/>
        <v>-81.951018000000005</v>
      </c>
      <c r="AA25">
        <f t="shared" ca="1" si="34"/>
        <v>22.500133000000002</v>
      </c>
      <c r="AB25">
        <f t="shared" si="35"/>
        <v>-1.1000000000000005</v>
      </c>
      <c r="AC25">
        <f t="shared" si="36"/>
        <v>8.6800000000000068</v>
      </c>
      <c r="AD25">
        <f t="shared" si="37"/>
        <v>-9.8270276497695797</v>
      </c>
      <c r="AE25">
        <f t="shared" si="38"/>
        <v>85.298600000000022</v>
      </c>
      <c r="AF25">
        <f t="shared" si="39"/>
        <v>8.7494228381076731</v>
      </c>
      <c r="AG25">
        <f t="shared" si="40"/>
        <v>3.3369510126812711</v>
      </c>
      <c r="AH25">
        <f t="shared" si="41"/>
        <v>0.64692945044176664</v>
      </c>
      <c r="AI25">
        <f>IF(G25&lt;=0,1,0)</f>
        <v>0</v>
      </c>
      <c r="AJ25">
        <f>IF(G25&lt;0,1,0)</f>
        <v>0</v>
      </c>
      <c r="AK25">
        <f>MAX(($B$3-G25)/(G25 + 1),0) / $B$3</f>
        <v>8.2149381552460404E-2</v>
      </c>
      <c r="AL25">
        <f>IF(H25+ABS(K25)&lt;0,Logistic(SQRT(H25^2+K25^2)/$B$4),0)</f>
        <v>0</v>
      </c>
      <c r="AM25">
        <f>IF(G25&gt;$B$3,1,0)</f>
        <v>0</v>
      </c>
      <c r="AN25">
        <f>IF(H25&gt;$B$4,1,0)</f>
        <v>0</v>
      </c>
      <c r="AO25">
        <f>ABS(H25)/$B$4</f>
        <v>0.17374999999999999</v>
      </c>
      <c r="AP25">
        <f>Logistic(I25/$B$5)</f>
        <v>7.548115904644187E-2</v>
      </c>
      <c r="AQ25">
        <f>IF(I25&gt;$B$5,1,0)</f>
        <v>0</v>
      </c>
      <c r="AR25">
        <f>Logistic(ABS(F25-O25)/($B$6/2))</f>
        <v>0.59151939543181642</v>
      </c>
      <c r="AS25">
        <f>IF(OR(F25&lt;M25,F25&gt;N25),1,0)</f>
        <v>1</v>
      </c>
      <c r="AT25">
        <f>ABS(K25)/$B$4</f>
        <v>2.5000000000000001E-3</v>
      </c>
      <c r="AU25">
        <f t="shared" ca="1" si="42"/>
        <v>0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0.52421827785513286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0.4678551282641521</v>
      </c>
      <c r="BA25">
        <f t="shared" ca="1" si="43"/>
        <v>0</v>
      </c>
      <c r="BB25">
        <f t="shared" ca="1" si="44"/>
        <v>0</v>
      </c>
      <c r="BC25">
        <f t="shared" si="45"/>
        <v>0</v>
      </c>
      <c r="BE25">
        <f t="shared" si="7"/>
        <v>0.64692945044176664</v>
      </c>
      <c r="BF25">
        <f t="shared" si="46"/>
        <v>0</v>
      </c>
      <c r="BG25">
        <f t="shared" si="47"/>
        <v>0</v>
      </c>
      <c r="BH25">
        <f t="shared" si="8"/>
        <v>0.70218864130999192</v>
      </c>
      <c r="BI25">
        <f t="shared" si="9"/>
        <v>0</v>
      </c>
      <c r="BJ25">
        <f t="shared" si="10"/>
        <v>0</v>
      </c>
      <c r="BK25">
        <f t="shared" si="11"/>
        <v>8.6051391083961353E-3</v>
      </c>
      <c r="BL25">
        <f t="shared" si="48"/>
        <v>0</v>
      </c>
      <c r="BM25">
        <f t="shared" si="12"/>
        <v>3.6553250822848418E-3</v>
      </c>
      <c r="BN25">
        <f t="shared" si="13"/>
        <v>0.17999999999999994</v>
      </c>
      <c r="BO25">
        <f t="shared" si="14"/>
        <v>2.5000000000000001E-3</v>
      </c>
      <c r="BP25">
        <f t="shared" si="15"/>
        <v>8.665710155761211E-2</v>
      </c>
      <c r="BQ25">
        <f t="shared" si="16"/>
        <v>0.75921793287495187</v>
      </c>
    </row>
    <row r="26" spans="1:69" x14ac:dyDescent="0.25">
      <c r="A26" s="1" t="s">
        <v>79</v>
      </c>
      <c r="B26">
        <f t="shared" ca="1" si="2"/>
        <v>241.91871400720694</v>
      </c>
      <c r="C26" t="s">
        <v>251</v>
      </c>
      <c r="D26">
        <f t="shared" si="17"/>
        <v>127</v>
      </c>
      <c r="E26">
        <f t="shared" si="18"/>
        <v>129.43</v>
      </c>
      <c r="F26">
        <f t="shared" si="19"/>
        <v>6.22</v>
      </c>
      <c r="G26">
        <f t="shared" si="20"/>
        <v>1.56</v>
      </c>
      <c r="H26">
        <f t="shared" si="21"/>
        <v>0</v>
      </c>
      <c r="I26">
        <f t="shared" si="22"/>
        <v>0.18</v>
      </c>
      <c r="J26">
        <f t="shared" si="23"/>
        <v>-0.04</v>
      </c>
      <c r="K26">
        <f t="shared" si="24"/>
        <v>0.01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 t="e">
        <f t="shared" si="5"/>
        <v>#VALUE!</v>
      </c>
      <c r="Q26">
        <f t="shared" ca="1" si="25"/>
        <v>1000000</v>
      </c>
      <c r="R26">
        <f t="shared" ca="1" si="26"/>
        <v>100</v>
      </c>
      <c r="S26">
        <f t="shared" si="27"/>
        <v>45</v>
      </c>
      <c r="T26">
        <f t="shared" ca="1" si="28"/>
        <v>-73.271017999999998</v>
      </c>
      <c r="U26">
        <f t="shared" ca="1" si="29"/>
        <v>22.500133000000002</v>
      </c>
      <c r="V26" t="e">
        <f t="shared" si="30"/>
        <v>#VALUE!</v>
      </c>
      <c r="W26">
        <f t="shared" ca="1" si="31"/>
        <v>1000000000</v>
      </c>
      <c r="X26">
        <f t="shared" ca="1" si="32"/>
        <v>100</v>
      </c>
      <c r="Y26">
        <f>GetFollowingCarRow($B$45:$E$54,L26,$E$15,E26)</f>
        <v>45</v>
      </c>
      <c r="Z26">
        <f t="shared" ca="1" si="33"/>
        <v>-76.391018000000003</v>
      </c>
      <c r="AA26">
        <f t="shared" ca="1" si="34"/>
        <v>22.500133000000002</v>
      </c>
      <c r="AB26">
        <f t="shared" si="35"/>
        <v>-4.0000000000000036E-2</v>
      </c>
      <c r="AC26">
        <f t="shared" si="36"/>
        <v>3.1200000000000045</v>
      </c>
      <c r="AD26">
        <f t="shared" si="37"/>
        <v>4.5606410256410266</v>
      </c>
      <c r="AE26">
        <f t="shared" si="38"/>
        <v>-14.229200000000024</v>
      </c>
      <c r="AF26">
        <f t="shared" si="39"/>
        <v>3.1202563997210278</v>
      </c>
      <c r="AG26">
        <f t="shared" si="40"/>
        <v>9.4044102025152849</v>
      </c>
      <c r="AH26">
        <f t="shared" si="41"/>
        <v>0.64692945044176664</v>
      </c>
      <c r="AI26">
        <f>IF(G26&lt;=0,1,0)</f>
        <v>0</v>
      </c>
      <c r="AJ26">
        <f>IF(G26&lt;0,1,0)</f>
        <v>0</v>
      </c>
      <c r="AK26">
        <f>MAX(($B$3-G26)/(G26 + 1),0) / $B$3</f>
        <v>0.36190798774740812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1.1249525414650879E-2</v>
      </c>
      <c r="AQ26">
        <f>IF(I26&gt;$B$5,1,0)</f>
        <v>0</v>
      </c>
      <c r="AR26">
        <f>Logistic(ABS(F26-O26)/($B$6/2))</f>
        <v>0.73751106112295339</v>
      </c>
      <c r="AS26">
        <f>IF(OR(F26&lt;M26,F26&gt;N26),1,0)</f>
        <v>1</v>
      </c>
      <c r="AT26">
        <f>ABS(K26)/$B$4</f>
        <v>1.25E-3</v>
      </c>
      <c r="AU26">
        <f t="shared" ca="1" si="42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0.65009287190296261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0.63519325307055119</v>
      </c>
      <c r="BA26">
        <f t="shared" ca="1" si="43"/>
        <v>0</v>
      </c>
      <c r="BB26">
        <f t="shared" ca="1" si="44"/>
        <v>0</v>
      </c>
      <c r="BC26">
        <f t="shared" si="45"/>
        <v>0</v>
      </c>
      <c r="BE26">
        <f t="shared" si="7"/>
        <v>0.64692945044176664</v>
      </c>
      <c r="BF26">
        <f t="shared" si="46"/>
        <v>0</v>
      </c>
      <c r="BG26">
        <f t="shared" si="47"/>
        <v>0</v>
      </c>
      <c r="BH26">
        <f t="shared" si="8"/>
        <v>0.9990761883341952</v>
      </c>
      <c r="BI26">
        <f t="shared" si="9"/>
        <v>0</v>
      </c>
      <c r="BJ26">
        <f t="shared" si="10"/>
        <v>0</v>
      </c>
      <c r="BK26">
        <f t="shared" si="11"/>
        <v>0</v>
      </c>
      <c r="BL26">
        <f t="shared" si="48"/>
        <v>0</v>
      </c>
      <c r="BM26">
        <f t="shared" si="12"/>
        <v>1.3561805402628943E-19</v>
      </c>
      <c r="BN26">
        <f t="shared" si="13"/>
        <v>0.44500000000000006</v>
      </c>
      <c r="BO26">
        <f t="shared" si="14"/>
        <v>1.25E-3</v>
      </c>
      <c r="BP26">
        <f t="shared" si="15"/>
        <v>0</v>
      </c>
      <c r="BQ26">
        <f t="shared" si="16"/>
        <v>0.99999327326239129</v>
      </c>
    </row>
    <row r="27" spans="1:69" x14ac:dyDescent="0.25">
      <c r="A27" s="1" t="s">
        <v>80</v>
      </c>
      <c r="B27">
        <f t="shared" ca="1" si="2"/>
        <v>241.91871400720694</v>
      </c>
      <c r="C27" t="s">
        <v>250</v>
      </c>
      <c r="D27">
        <f t="shared" si="17"/>
        <v>127</v>
      </c>
      <c r="E27">
        <f t="shared" si="18"/>
        <v>129.41999999999999</v>
      </c>
      <c r="F27">
        <f t="shared" si="19"/>
        <v>6.25</v>
      </c>
      <c r="G27">
        <f t="shared" si="20"/>
        <v>1.56</v>
      </c>
      <c r="H27">
        <f t="shared" si="21"/>
        <v>0</v>
      </c>
      <c r="I27">
        <f t="shared" si="22"/>
        <v>0.18</v>
      </c>
      <c r="J27">
        <f t="shared" si="23"/>
        <v>-7.0000000000000007E-2</v>
      </c>
      <c r="K27">
        <f t="shared" si="24"/>
        <v>0.01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 t="e">
        <f t="shared" si="5"/>
        <v>#VALUE!</v>
      </c>
      <c r="Q27">
        <f t="shared" ca="1" si="25"/>
        <v>1000000</v>
      </c>
      <c r="R27">
        <f t="shared" ca="1" si="26"/>
        <v>100</v>
      </c>
      <c r="S27">
        <f t="shared" si="27"/>
        <v>45</v>
      </c>
      <c r="T27">
        <f t="shared" ca="1" si="28"/>
        <v>-73.271017999999998</v>
      </c>
      <c r="U27">
        <f t="shared" ca="1" si="29"/>
        <v>22.500133000000002</v>
      </c>
      <c r="V27" t="e">
        <f t="shared" si="30"/>
        <v>#VALUE!</v>
      </c>
      <c r="W27">
        <f t="shared" ca="1" si="31"/>
        <v>1000000000</v>
      </c>
      <c r="X27">
        <f t="shared" ca="1" si="32"/>
        <v>100</v>
      </c>
      <c r="Y27">
        <f>GetFollowingCarRow($B$45:$E$54,L27,$E$15,E27)</f>
        <v>45</v>
      </c>
      <c r="Z27">
        <f t="shared" ca="1" si="33"/>
        <v>-76.381017999999983</v>
      </c>
      <c r="AA27">
        <f t="shared" ca="1" si="34"/>
        <v>22.500133000000002</v>
      </c>
      <c r="AB27">
        <f t="shared" si="35"/>
        <v>-7.0000000000000284E-2</v>
      </c>
      <c r="AC27">
        <f t="shared" si="36"/>
        <v>3.1099999999999852</v>
      </c>
      <c r="AD27">
        <f t="shared" si="37"/>
        <v>3.3370096463022256</v>
      </c>
      <c r="AE27">
        <f t="shared" si="38"/>
        <v>-10.378099999999872</v>
      </c>
      <c r="AF27">
        <f t="shared" si="39"/>
        <v>3.1107876816009008</v>
      </c>
      <c r="AG27">
        <f t="shared" si="40"/>
        <v>8.8891151664099564</v>
      </c>
      <c r="AH27">
        <f t="shared" si="41"/>
        <v>0.64692945044176664</v>
      </c>
      <c r="AI27">
        <f>IF(G27&lt;=0,1,0)</f>
        <v>0</v>
      </c>
      <c r="AJ27">
        <f>IF(G27&lt;0,1,0)</f>
        <v>0</v>
      </c>
      <c r="AK27">
        <f>MAX(($B$3-G27)/(G27 + 1),0) / $B$3</f>
        <v>0.36190798774740812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0</v>
      </c>
      <c r="AP27">
        <f>Logistic(I27/$B$5)</f>
        <v>1.1249525414650879E-2</v>
      </c>
      <c r="AQ27">
        <f>IF(I27&gt;$B$5,1,0)</f>
        <v>0</v>
      </c>
      <c r="AR27">
        <f>Logistic(ABS(F27-O27)/($B$6/2))</f>
        <v>0.73407151960434147</v>
      </c>
      <c r="AS27">
        <f>IF(OR(F27&lt;M27,F27&gt;N27),1,0)</f>
        <v>1</v>
      </c>
      <c r="AT27">
        <f>ABS(K27)/$B$4</f>
        <v>1.25E-3</v>
      </c>
      <c r="AU27">
        <f t="shared" ca="1" si="42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0.65009287190296261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0.63524100825911667</v>
      </c>
      <c r="BA27">
        <f t="shared" ca="1" si="43"/>
        <v>0</v>
      </c>
      <c r="BB27">
        <f t="shared" ca="1" si="44"/>
        <v>0</v>
      </c>
      <c r="BC27">
        <f t="shared" si="45"/>
        <v>0</v>
      </c>
      <c r="BE27">
        <f t="shared" si="7"/>
        <v>0.64692945044176664</v>
      </c>
      <c r="BF27">
        <f t="shared" si="46"/>
        <v>0</v>
      </c>
      <c r="BG27">
        <f t="shared" si="47"/>
        <v>0</v>
      </c>
      <c r="BH27">
        <f t="shared" si="8"/>
        <v>0.9990761883341952</v>
      </c>
      <c r="BI27">
        <f t="shared" si="9"/>
        <v>0</v>
      </c>
      <c r="BJ27">
        <f t="shared" si="10"/>
        <v>0</v>
      </c>
      <c r="BK27">
        <f t="shared" si="11"/>
        <v>0</v>
      </c>
      <c r="BL27">
        <f t="shared" si="48"/>
        <v>0</v>
      </c>
      <c r="BM27">
        <f t="shared" si="12"/>
        <v>1.3561805402628943E-19</v>
      </c>
      <c r="BN27">
        <f t="shared" si="13"/>
        <v>0.4375</v>
      </c>
      <c r="BO27">
        <f t="shared" si="14"/>
        <v>1.25E-3</v>
      </c>
      <c r="BP27">
        <f t="shared" si="15"/>
        <v>0</v>
      </c>
      <c r="BQ27">
        <f t="shared" si="16"/>
        <v>0.99999327326239129</v>
      </c>
    </row>
    <row r="28" spans="1:69" x14ac:dyDescent="0.25">
      <c r="A28" s="1" t="s">
        <v>81</v>
      </c>
      <c r="B28">
        <f t="shared" ca="1" si="2"/>
        <v>241.91871400720694</v>
      </c>
      <c r="C28" t="s">
        <v>249</v>
      </c>
      <c r="D28">
        <f t="shared" si="17"/>
        <v>127</v>
      </c>
      <c r="E28">
        <f t="shared" si="18"/>
        <v>129.41999999999999</v>
      </c>
      <c r="F28">
        <f t="shared" si="19"/>
        <v>6.35</v>
      </c>
      <c r="G28">
        <f t="shared" si="20"/>
        <v>1.56</v>
      </c>
      <c r="H28">
        <f t="shared" si="21"/>
        <v>0</v>
      </c>
      <c r="I28">
        <f t="shared" si="22"/>
        <v>0.18</v>
      </c>
      <c r="J28">
        <f t="shared" si="23"/>
        <v>-0.16</v>
      </c>
      <c r="K28">
        <f t="shared" si="24"/>
        <v>0.02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 t="e">
        <f t="shared" si="5"/>
        <v>#VALUE!</v>
      </c>
      <c r="Q28">
        <f t="shared" ca="1" si="25"/>
        <v>1000000</v>
      </c>
      <c r="R28">
        <f t="shared" ca="1" si="26"/>
        <v>100</v>
      </c>
      <c r="S28">
        <f t="shared" si="27"/>
        <v>45</v>
      </c>
      <c r="T28">
        <f t="shared" ca="1" si="28"/>
        <v>-73.271017999999998</v>
      </c>
      <c r="U28">
        <f t="shared" ca="1" si="29"/>
        <v>22.500133000000002</v>
      </c>
      <c r="V28" t="e">
        <f t="shared" si="30"/>
        <v>#VALUE!</v>
      </c>
      <c r="W28">
        <f t="shared" ca="1" si="31"/>
        <v>1000000000</v>
      </c>
      <c r="X28">
        <f t="shared" ca="1" si="32"/>
        <v>100</v>
      </c>
      <c r="Y28">
        <f>GetFollowingCarRow($B$45:$E$54,L28,$E$15,E28)</f>
        <v>45</v>
      </c>
      <c r="Z28">
        <f t="shared" ca="1" si="33"/>
        <v>-76.381017999999983</v>
      </c>
      <c r="AA28">
        <f t="shared" ca="1" si="34"/>
        <v>22.500133000000002</v>
      </c>
      <c r="AB28">
        <f t="shared" si="35"/>
        <v>-0.16999999999999993</v>
      </c>
      <c r="AC28">
        <f t="shared" si="36"/>
        <v>3.1099999999999852</v>
      </c>
      <c r="AD28">
        <f t="shared" si="37"/>
        <v>-0.72440514469456385</v>
      </c>
      <c r="AE28">
        <f t="shared" si="38"/>
        <v>2.2529000000000829</v>
      </c>
      <c r="AF28">
        <f t="shared" si="39"/>
        <v>3.1146428366668157</v>
      </c>
      <c r="AG28">
        <f t="shared" si="40"/>
        <v>7.1752213438110255</v>
      </c>
      <c r="AH28">
        <f t="shared" si="41"/>
        <v>0.64692945044176664</v>
      </c>
      <c r="AI28">
        <f>IF(G28&lt;=0,1,0)</f>
        <v>0</v>
      </c>
      <c r="AJ28">
        <f>IF(G28&lt;0,1,0)</f>
        <v>0</v>
      </c>
      <c r="AK28">
        <f>MAX(($B$3-G28)/(G28 + 1),0) / $B$3</f>
        <v>0.36190798774740812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0</v>
      </c>
      <c r="AP28">
        <f>Logistic(I28/$B$5)</f>
        <v>1.1249525414650879E-2</v>
      </c>
      <c r="AQ28">
        <f>IF(I28&gt;$B$5,1,0)</f>
        <v>0</v>
      </c>
      <c r="AR28">
        <f>Logistic(ABS(F28-O28)/($B$6/2))</f>
        <v>0.72233001290538579</v>
      </c>
      <c r="AS28">
        <f>IF(OR(F28&lt;M28,F28&gt;N28),1,0)</f>
        <v>1</v>
      </c>
      <c r="AT28">
        <f>ABS(K28)/$B$4</f>
        <v>2.5000000000000001E-3</v>
      </c>
      <c r="AU28">
        <f t="shared" ca="1" si="42"/>
        <v>0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0.65009287190296261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0.63524100825911667</v>
      </c>
      <c r="BA28">
        <f t="shared" ca="1" si="43"/>
        <v>0</v>
      </c>
      <c r="BB28">
        <f t="shared" ca="1" si="44"/>
        <v>0</v>
      </c>
      <c r="BC28">
        <f t="shared" si="45"/>
        <v>0</v>
      </c>
      <c r="BE28">
        <f t="shared" si="7"/>
        <v>0.64692945044176664</v>
      </c>
      <c r="BF28">
        <f t="shared" si="46"/>
        <v>0</v>
      </c>
      <c r="BG28">
        <f t="shared" si="47"/>
        <v>0</v>
      </c>
      <c r="BH28">
        <f t="shared" si="8"/>
        <v>0.9990761883341952</v>
      </c>
      <c r="BI28">
        <f t="shared" si="9"/>
        <v>0</v>
      </c>
      <c r="BJ28">
        <f t="shared" si="10"/>
        <v>0</v>
      </c>
      <c r="BK28">
        <f t="shared" si="11"/>
        <v>0</v>
      </c>
      <c r="BL28">
        <f t="shared" si="48"/>
        <v>0</v>
      </c>
      <c r="BM28">
        <f t="shared" si="12"/>
        <v>1.3561805402628943E-19</v>
      </c>
      <c r="BN28">
        <f t="shared" si="13"/>
        <v>0.41250000000000009</v>
      </c>
      <c r="BO28">
        <f t="shared" si="14"/>
        <v>2.5000000000000001E-3</v>
      </c>
      <c r="BP28">
        <f t="shared" si="15"/>
        <v>0</v>
      </c>
      <c r="BQ28">
        <f t="shared" si="16"/>
        <v>0.99999327326239129</v>
      </c>
    </row>
    <row r="29" spans="1:69" x14ac:dyDescent="0.25">
      <c r="A29" s="1" t="s">
        <v>22</v>
      </c>
      <c r="B29">
        <f t="shared" ca="1" si="2"/>
        <v>236.95500282522053</v>
      </c>
      <c r="C29" t="s">
        <v>248</v>
      </c>
      <c r="D29">
        <f t="shared" si="17"/>
        <v>127</v>
      </c>
      <c r="E29">
        <f t="shared" si="18"/>
        <v>129.55000000000001</v>
      </c>
      <c r="F29">
        <f t="shared" si="19"/>
        <v>6.22</v>
      </c>
      <c r="G29">
        <f t="shared" si="20"/>
        <v>1.69</v>
      </c>
      <c r="H29">
        <f t="shared" si="21"/>
        <v>0.03</v>
      </c>
      <c r="I29">
        <f t="shared" si="22"/>
        <v>0.15</v>
      </c>
      <c r="J29">
        <f t="shared" si="23"/>
        <v>-0.05</v>
      </c>
      <c r="K29">
        <f t="shared" si="24"/>
        <v>0.01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 t="e">
        <f t="shared" si="5"/>
        <v>#VALUE!</v>
      </c>
      <c r="Q29">
        <f t="shared" ca="1" si="25"/>
        <v>1000000</v>
      </c>
      <c r="R29">
        <f t="shared" ca="1" si="26"/>
        <v>100</v>
      </c>
      <c r="S29">
        <f t="shared" si="27"/>
        <v>45</v>
      </c>
      <c r="T29">
        <f t="shared" ca="1" si="28"/>
        <v>-73.271017999999998</v>
      </c>
      <c r="U29">
        <f t="shared" ca="1" si="29"/>
        <v>22.500133000000002</v>
      </c>
      <c r="V29" t="e">
        <f t="shared" si="30"/>
        <v>#VALUE!</v>
      </c>
      <c r="W29">
        <f t="shared" ca="1" si="31"/>
        <v>1000000000</v>
      </c>
      <c r="X29">
        <f t="shared" ca="1" si="32"/>
        <v>100</v>
      </c>
      <c r="Y29">
        <f>GetFollowingCarRow($B$45:$E$54,L29,$E$15,E29)</f>
        <v>45</v>
      </c>
      <c r="Z29">
        <f t="shared" ca="1" si="33"/>
        <v>-76.511018000000007</v>
      </c>
      <c r="AA29">
        <f t="shared" ca="1" si="34"/>
        <v>22.500133000000002</v>
      </c>
      <c r="AB29">
        <f t="shared" si="35"/>
        <v>-4.0000000000000036E-2</v>
      </c>
      <c r="AC29">
        <f t="shared" si="36"/>
        <v>3.2400000000000091</v>
      </c>
      <c r="AD29">
        <f t="shared" si="37"/>
        <v>4.6206172839506197</v>
      </c>
      <c r="AE29">
        <f t="shared" si="38"/>
        <v>-14.97080000000005</v>
      </c>
      <c r="AF29">
        <f t="shared" si="39"/>
        <v>3.240246904172591</v>
      </c>
      <c r="AG29">
        <f t="shared" si="40"/>
        <v>9.4296491667514655</v>
      </c>
      <c r="AH29">
        <f t="shared" si="41"/>
        <v>0.64692945044176664</v>
      </c>
      <c r="AI29">
        <f>IF(G29&lt;=0,1,0)</f>
        <v>0</v>
      </c>
      <c r="AJ29">
        <f>IF(G29&lt;0,1,0)</f>
        <v>0</v>
      </c>
      <c r="AK29">
        <f>MAX(($B$3-G29)/(G29 + 1),0) / $B$3</f>
        <v>0.3421405772067454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3.7499999999999999E-3</v>
      </c>
      <c r="AP29">
        <f>Logistic(I29/$B$5)</f>
        <v>9.3747253514524613E-3</v>
      </c>
      <c r="AQ29">
        <f>IF(I29&gt;$B$5,1,0)</f>
        <v>0</v>
      </c>
      <c r="AR29">
        <f>Logistic(ABS(F29-O29)/($B$6/2))</f>
        <v>0.73751106112295339</v>
      </c>
      <c r="AS29">
        <f>IF(OR(F29&lt;M29,F29&gt;N29),1,0)</f>
        <v>1</v>
      </c>
      <c r="AT29">
        <f>ABS(K29)/$B$4</f>
        <v>1.25E-3</v>
      </c>
      <c r="AU29">
        <f t="shared" ca="1" si="42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0.6479070172208895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0.63233767895668902</v>
      </c>
      <c r="BA29">
        <f t="shared" ca="1" si="43"/>
        <v>0</v>
      </c>
      <c r="BB29">
        <f t="shared" ca="1" si="44"/>
        <v>0</v>
      </c>
      <c r="BC29">
        <f t="shared" si="45"/>
        <v>0</v>
      </c>
      <c r="BE29">
        <f t="shared" si="7"/>
        <v>0.64692945044176664</v>
      </c>
      <c r="BF29">
        <f t="shared" si="46"/>
        <v>0</v>
      </c>
      <c r="BG29">
        <f t="shared" si="47"/>
        <v>0</v>
      </c>
      <c r="BH29">
        <f t="shared" si="8"/>
        <v>0.99859508513457895</v>
      </c>
      <c r="BI29">
        <f t="shared" si="9"/>
        <v>0</v>
      </c>
      <c r="BJ29">
        <f t="shared" si="10"/>
        <v>0</v>
      </c>
      <c r="BK29">
        <f t="shared" si="11"/>
        <v>4.1921097212671696E-116</v>
      </c>
      <c r="BL29">
        <f t="shared" si="48"/>
        <v>0</v>
      </c>
      <c r="BM29">
        <f t="shared" si="12"/>
        <v>1.8703466827523275E-23</v>
      </c>
      <c r="BN29">
        <f t="shared" si="13"/>
        <v>0.44500000000000006</v>
      </c>
      <c r="BO29">
        <f t="shared" si="14"/>
        <v>1.25E-3</v>
      </c>
      <c r="BP29">
        <f t="shared" si="15"/>
        <v>1.8749978027374863E-3</v>
      </c>
      <c r="BQ29">
        <f t="shared" si="16"/>
        <v>0.99998084746381999</v>
      </c>
    </row>
    <row r="30" spans="1:69" x14ac:dyDescent="0.25">
      <c r="A30" s="1" t="s">
        <v>21</v>
      </c>
      <c r="B30">
        <f t="shared" ca="1" si="2"/>
        <v>236.95500282522053</v>
      </c>
      <c r="C30" t="s">
        <v>247</v>
      </c>
      <c r="D30">
        <f t="shared" si="17"/>
        <v>127</v>
      </c>
      <c r="E30">
        <f t="shared" si="18"/>
        <v>129.55000000000001</v>
      </c>
      <c r="F30">
        <f t="shared" si="19"/>
        <v>6.26</v>
      </c>
      <c r="G30">
        <f t="shared" si="20"/>
        <v>1.69</v>
      </c>
      <c r="H30">
        <f t="shared" si="21"/>
        <v>0.03</v>
      </c>
      <c r="I30">
        <f t="shared" si="22"/>
        <v>0.15</v>
      </c>
      <c r="J30">
        <f t="shared" si="23"/>
        <v>-0.08</v>
      </c>
      <c r="K30">
        <f t="shared" si="24"/>
        <v>0.01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 t="e">
        <f t="shared" si="5"/>
        <v>#VALUE!</v>
      </c>
      <c r="Q30">
        <f t="shared" ca="1" si="25"/>
        <v>1000000</v>
      </c>
      <c r="R30">
        <f t="shared" ca="1" si="26"/>
        <v>100</v>
      </c>
      <c r="S30">
        <f t="shared" si="27"/>
        <v>45</v>
      </c>
      <c r="T30">
        <f t="shared" ca="1" si="28"/>
        <v>-73.271017999999998</v>
      </c>
      <c r="U30">
        <f t="shared" ca="1" si="29"/>
        <v>22.500133000000002</v>
      </c>
      <c r="V30" t="e">
        <f t="shared" si="30"/>
        <v>#VALUE!</v>
      </c>
      <c r="W30">
        <f t="shared" ca="1" si="31"/>
        <v>1000000000</v>
      </c>
      <c r="X30">
        <f t="shared" ca="1" si="32"/>
        <v>100</v>
      </c>
      <c r="Y30">
        <f>GetFollowingCarRow($B$45:$E$54,L30,$E$15,E30)</f>
        <v>45</v>
      </c>
      <c r="Z30">
        <f t="shared" ca="1" si="33"/>
        <v>-76.511018000000007</v>
      </c>
      <c r="AA30">
        <f t="shared" ca="1" si="34"/>
        <v>22.500133000000002</v>
      </c>
      <c r="AB30">
        <f t="shared" si="35"/>
        <v>-8.0000000000000071E-2</v>
      </c>
      <c r="AC30">
        <f t="shared" si="36"/>
        <v>3.2400000000000091</v>
      </c>
      <c r="AD30">
        <f t="shared" si="37"/>
        <v>3.06123456790124</v>
      </c>
      <c r="AE30">
        <f t="shared" si="38"/>
        <v>-9.9184000000000463</v>
      </c>
      <c r="AF30">
        <f t="shared" si="39"/>
        <v>3.2409875038327529</v>
      </c>
      <c r="AG30">
        <f t="shared" si="40"/>
        <v>8.7728916592167554</v>
      </c>
      <c r="AH30">
        <f t="shared" si="41"/>
        <v>0.64692945044176664</v>
      </c>
      <c r="AI30">
        <f>IF(G30&lt;=0,1,0)</f>
        <v>0</v>
      </c>
      <c r="AJ30">
        <f>IF(G30&lt;0,1,0)</f>
        <v>0</v>
      </c>
      <c r="AK30">
        <f>MAX(($B$3-G30)/(G30 + 1),0) / $B$3</f>
        <v>0.3421405772067454</v>
      </c>
      <c r="AL30">
        <f>IF(H30+ABS(K30)&lt;0,Logistic(SQRT(H30^2+K30^2)/$B$4),0)</f>
        <v>0</v>
      </c>
      <c r="AM30">
        <f>IF(G30&gt;$B$3,1,0)</f>
        <v>0</v>
      </c>
      <c r="AN30">
        <f>IF(H30&gt;$B$4,1,0)</f>
        <v>0</v>
      </c>
      <c r="AO30">
        <f>ABS(H30)/$B$4</f>
        <v>3.7499999999999999E-3</v>
      </c>
      <c r="AP30">
        <f>Logistic(I30/$B$5)</f>
        <v>9.3747253514524613E-3</v>
      </c>
      <c r="AQ30">
        <f>IF(I30&gt;$B$5,1,0)</f>
        <v>0</v>
      </c>
      <c r="AR30">
        <f>Logistic(ABS(F30-O30)/($B$6/2))</f>
        <v>0.7329165549335751</v>
      </c>
      <c r="AS30">
        <f>IF(OR(F30&lt;M30,F30&gt;N30),1,0)</f>
        <v>1</v>
      </c>
      <c r="AT30">
        <f>ABS(K30)/$B$4</f>
        <v>1.25E-3</v>
      </c>
      <c r="AU30">
        <f t="shared" ca="1" si="42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0.6479070172208895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0.63233767895668902</v>
      </c>
      <c r="BA30">
        <f t="shared" ca="1" si="43"/>
        <v>0</v>
      </c>
      <c r="BB30">
        <f t="shared" ca="1" si="44"/>
        <v>0</v>
      </c>
      <c r="BC30">
        <f t="shared" si="45"/>
        <v>0</v>
      </c>
      <c r="BE30">
        <f t="shared" si="7"/>
        <v>0.64692945044176664</v>
      </c>
      <c r="BF30">
        <f t="shared" si="46"/>
        <v>0</v>
      </c>
      <c r="BG30">
        <f t="shared" si="47"/>
        <v>0</v>
      </c>
      <c r="BH30">
        <f t="shared" si="8"/>
        <v>0.99859508513457895</v>
      </c>
      <c r="BI30">
        <f t="shared" si="9"/>
        <v>0</v>
      </c>
      <c r="BJ30">
        <f t="shared" si="10"/>
        <v>0</v>
      </c>
      <c r="BK30">
        <f t="shared" si="11"/>
        <v>4.1921097212671696E-116</v>
      </c>
      <c r="BL30">
        <f t="shared" si="48"/>
        <v>0</v>
      </c>
      <c r="BM30">
        <f t="shared" si="12"/>
        <v>1.8703466827523275E-23</v>
      </c>
      <c r="BN30">
        <f t="shared" si="13"/>
        <v>0.43500000000000005</v>
      </c>
      <c r="BO30">
        <f t="shared" si="14"/>
        <v>1.25E-3</v>
      </c>
      <c r="BP30">
        <f t="shared" si="15"/>
        <v>1.8749978027374863E-3</v>
      </c>
      <c r="BQ30">
        <f t="shared" si="16"/>
        <v>0.99998084746381999</v>
      </c>
    </row>
    <row r="31" spans="1:69" x14ac:dyDescent="0.25">
      <c r="A31" s="1" t="s">
        <v>20</v>
      </c>
      <c r="B31">
        <f t="shared" ca="1" si="2"/>
        <v>236.95500282522053</v>
      </c>
      <c r="C31" t="s">
        <v>246</v>
      </c>
      <c r="D31">
        <f t="shared" si="17"/>
        <v>127</v>
      </c>
      <c r="E31">
        <f t="shared" si="18"/>
        <v>129.55000000000001</v>
      </c>
      <c r="F31">
        <f t="shared" si="19"/>
        <v>6.36</v>
      </c>
      <c r="G31">
        <f t="shared" si="20"/>
        <v>1.69</v>
      </c>
      <c r="H31">
        <f t="shared" si="21"/>
        <v>0.03</v>
      </c>
      <c r="I31">
        <f t="shared" si="22"/>
        <v>0.15</v>
      </c>
      <c r="J31">
        <f t="shared" si="23"/>
        <v>-0.18</v>
      </c>
      <c r="K31">
        <f t="shared" si="24"/>
        <v>0.02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 t="e">
        <f t="shared" si="5"/>
        <v>#VALUE!</v>
      </c>
      <c r="Q31">
        <f t="shared" ca="1" si="25"/>
        <v>1000000</v>
      </c>
      <c r="R31">
        <f t="shared" ca="1" si="26"/>
        <v>100</v>
      </c>
      <c r="S31">
        <f t="shared" si="27"/>
        <v>45</v>
      </c>
      <c r="T31">
        <f t="shared" ca="1" si="28"/>
        <v>-73.271017999999998</v>
      </c>
      <c r="U31">
        <f t="shared" ca="1" si="29"/>
        <v>22.500133000000002</v>
      </c>
      <c r="V31" t="e">
        <f t="shared" si="30"/>
        <v>#VALUE!</v>
      </c>
      <c r="W31">
        <f t="shared" ca="1" si="31"/>
        <v>1000000000</v>
      </c>
      <c r="X31">
        <f t="shared" ca="1" si="32"/>
        <v>100</v>
      </c>
      <c r="Y31">
        <f>GetFollowingCarRow($B$45:$E$54,L31,$E$15,E31)</f>
        <v>45</v>
      </c>
      <c r="Z31">
        <f t="shared" ca="1" si="33"/>
        <v>-76.511018000000007</v>
      </c>
      <c r="AA31">
        <f t="shared" ca="1" si="34"/>
        <v>22.500133000000002</v>
      </c>
      <c r="AB31">
        <f t="shared" si="35"/>
        <v>-0.1800000000000006</v>
      </c>
      <c r="AC31">
        <f t="shared" si="36"/>
        <v>3.2400000000000091</v>
      </c>
      <c r="AD31">
        <f t="shared" si="37"/>
        <v>-0.83722222222222697</v>
      </c>
      <c r="AE31">
        <f t="shared" si="38"/>
        <v>2.7126000000000232</v>
      </c>
      <c r="AF31">
        <f t="shared" si="39"/>
        <v>3.2449961479175995</v>
      </c>
      <c r="AG31">
        <f t="shared" si="40"/>
        <v>7.1275690280379882</v>
      </c>
      <c r="AH31">
        <f t="shared" si="41"/>
        <v>0.64692945044176664</v>
      </c>
      <c r="AI31">
        <f>IF(G31&lt;=0,1,0)</f>
        <v>0</v>
      </c>
      <c r="AJ31">
        <f>IF(G31&lt;0,1,0)</f>
        <v>0</v>
      </c>
      <c r="AK31">
        <f>MAX(($B$3-G31)/(G31 + 1),0) / $B$3</f>
        <v>0.3421405772067454</v>
      </c>
      <c r="AL31">
        <f>IF(H31+ABS(K31)&lt;0,Logistic(SQRT(H31^2+K31^2)/$B$4),0)</f>
        <v>0</v>
      </c>
      <c r="AM31">
        <f>IF(G31&gt;$B$3,1,0)</f>
        <v>0</v>
      </c>
      <c r="AN31">
        <f>IF(H31&gt;$B$4,1,0)</f>
        <v>0</v>
      </c>
      <c r="AO31">
        <f>ABS(H31)/$B$4</f>
        <v>3.7499999999999999E-3</v>
      </c>
      <c r="AP31">
        <f>Logistic(I31/$B$5)</f>
        <v>9.3747253514524613E-3</v>
      </c>
      <c r="AQ31">
        <f>IF(I31&gt;$B$5,1,0)</f>
        <v>0</v>
      </c>
      <c r="AR31">
        <f>Logistic(ABS(F31-O31)/($B$6/2))</f>
        <v>0.72113225407669979</v>
      </c>
      <c r="AS31">
        <f>IF(OR(F31&lt;M31,F31&gt;N31),1,0)</f>
        <v>1</v>
      </c>
      <c r="AT31">
        <f>ABS(K31)/$B$4</f>
        <v>2.5000000000000001E-3</v>
      </c>
      <c r="AU31">
        <f t="shared" ca="1" si="42"/>
        <v>0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0.6479070172208895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0.63233767895668902</v>
      </c>
      <c r="BA31">
        <f t="shared" ca="1" si="43"/>
        <v>0</v>
      </c>
      <c r="BB31">
        <f t="shared" ca="1" si="44"/>
        <v>0</v>
      </c>
      <c r="BC31">
        <f t="shared" si="45"/>
        <v>0</v>
      </c>
      <c r="BE31">
        <f t="shared" si="7"/>
        <v>0.64692945044176664</v>
      </c>
      <c r="BF31">
        <f t="shared" si="46"/>
        <v>0</v>
      </c>
      <c r="BG31">
        <f t="shared" si="47"/>
        <v>0</v>
      </c>
      <c r="BH31">
        <f t="shared" si="8"/>
        <v>0.99859508513457895</v>
      </c>
      <c r="BI31">
        <f t="shared" si="9"/>
        <v>0</v>
      </c>
      <c r="BJ31">
        <f t="shared" si="10"/>
        <v>0</v>
      </c>
      <c r="BK31">
        <f t="shared" si="11"/>
        <v>4.1921097212671696E-116</v>
      </c>
      <c r="BL31">
        <f t="shared" si="48"/>
        <v>0</v>
      </c>
      <c r="BM31">
        <f t="shared" si="12"/>
        <v>1.8703466827523275E-23</v>
      </c>
      <c r="BN31">
        <f t="shared" si="13"/>
        <v>0.40999999999999992</v>
      </c>
      <c r="BO31">
        <f t="shared" si="14"/>
        <v>2.5000000000000001E-3</v>
      </c>
      <c r="BP31">
        <f t="shared" si="15"/>
        <v>1.8749978027374863E-3</v>
      </c>
      <c r="BQ31">
        <f t="shared" si="16"/>
        <v>0.99998084746381999</v>
      </c>
    </row>
    <row r="32" spans="1:69" x14ac:dyDescent="0.25">
      <c r="A32" s="1" t="s">
        <v>37</v>
      </c>
      <c r="B32">
        <f t="shared" ca="1" si="2"/>
        <v>165.47813373944041</v>
      </c>
      <c r="C32" t="s">
        <v>245</v>
      </c>
      <c r="D32">
        <f t="shared" si="17"/>
        <v>127</v>
      </c>
      <c r="E32">
        <f t="shared" si="18"/>
        <v>134.99</v>
      </c>
      <c r="F32">
        <f t="shared" si="19"/>
        <v>5.7</v>
      </c>
      <c r="G32">
        <f t="shared" si="20"/>
        <v>7.1</v>
      </c>
      <c r="H32">
        <f t="shared" si="21"/>
        <v>1.39</v>
      </c>
      <c r="I32">
        <f t="shared" si="22"/>
        <v>1.21</v>
      </c>
      <c r="J32">
        <f t="shared" si="23"/>
        <v>0.73</v>
      </c>
      <c r="K32">
        <f t="shared" si="24"/>
        <v>0.01</v>
      </c>
      <c r="L32">
        <f t="shared" si="3"/>
        <v>1</v>
      </c>
      <c r="M32">
        <f t="shared" ref="M32:M37" si="49">$B$6*(L32-1)</f>
        <v>0</v>
      </c>
      <c r="N32">
        <f t="shared" ref="N32:N37" si="50">$B$6*L32</f>
        <v>4</v>
      </c>
      <c r="O32">
        <f t="shared" si="4"/>
        <v>2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 t="e">
        <f t="shared" si="27"/>
        <v>#VALUE!</v>
      </c>
      <c r="T32">
        <f t="shared" ca="1" si="28"/>
        <v>1000000</v>
      </c>
      <c r="U32">
        <f t="shared" ca="1" si="29"/>
        <v>100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 t="e">
        <f>GetFollowingCarRow($B$45:$E$54,L32,$E$15,E32)</f>
        <v>#VALUE!</v>
      </c>
      <c r="Z32">
        <f t="shared" ca="1" si="33"/>
        <v>1000000000</v>
      </c>
      <c r="AA32">
        <f t="shared" ca="1" si="34"/>
        <v>100</v>
      </c>
      <c r="AB32">
        <f t="shared" si="35"/>
        <v>0.47999999999999954</v>
      </c>
      <c r="AC32">
        <f t="shared" si="36"/>
        <v>8.6800000000000068</v>
      </c>
      <c r="AD32">
        <f t="shared" si="37"/>
        <v>13.164884792626715</v>
      </c>
      <c r="AE32">
        <f t="shared" si="38"/>
        <v>-114.27119999999998</v>
      </c>
      <c r="AF32">
        <f t="shared" si="39"/>
        <v>8.693261758396563</v>
      </c>
      <c r="AG32">
        <f t="shared" si="40"/>
        <v>1000000000</v>
      </c>
      <c r="AH32">
        <f t="shared" si="41"/>
        <v>0.64692945044176664</v>
      </c>
      <c r="AI32">
        <f>IF(G32&lt;=0,1,0)</f>
        <v>0</v>
      </c>
      <c r="AJ32">
        <f>IF(G32&lt;0,1,0)</f>
        <v>0</v>
      </c>
      <c r="AK32">
        <f>MAX(($B$3-G32)/(G32 + 1),0) / $B$3</f>
        <v>8.2149381552460404E-2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0.17374999999999999</v>
      </c>
      <c r="AP32">
        <f>Logistic(I32/$B$5)</f>
        <v>7.548115904644187E-2</v>
      </c>
      <c r="AQ32">
        <f>IF(I32&gt;$B$5,1,0)</f>
        <v>0</v>
      </c>
      <c r="AR32">
        <f>Logistic(ABS(F32-O32)/($B$6/2))</f>
        <v>0.72825420598181145</v>
      </c>
      <c r="AS32">
        <f>IF(OR(F32&lt;M32,F32&gt;N32),1,0)</f>
        <v>1</v>
      </c>
      <c r="AT32">
        <f>ABS(K32)/$B$4</f>
        <v>1.25E-3</v>
      </c>
      <c r="AU32">
        <f t="shared" ca="1" si="42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3"/>
        <v>0</v>
      </c>
      <c r="BB32">
        <f t="shared" ca="1" si="44"/>
        <v>0</v>
      </c>
      <c r="BC32">
        <f t="shared" si="45"/>
        <v>0</v>
      </c>
      <c r="BE32">
        <f t="shared" ref="BE32:BE37" si="51">Logistic((D32-$B$2)/$B$2)</f>
        <v>0.64692945044176664</v>
      </c>
      <c r="BF32">
        <f t="shared" si="46"/>
        <v>0</v>
      </c>
      <c r="BG32">
        <f t="shared" si="47"/>
        <v>0</v>
      </c>
      <c r="BH32">
        <f t="shared" ref="BH32:BH37" si="52">Logistic(($B$3-G32)/(G32+1))</f>
        <v>0.70218864130999192</v>
      </c>
      <c r="BI32">
        <f t="shared" ref="BI32:BI37" si="53">IF(G32&gt;$B$3,1,0)</f>
        <v>0</v>
      </c>
      <c r="BJ32">
        <f t="shared" ref="BJ32:BJ37" si="54">IF(H32&gt;$B$5,1,0)</f>
        <v>0</v>
      </c>
      <c r="BK32">
        <f t="shared" ref="BK32:BK37" si="55">EXP(-($B$4-ABS(H32))/MAX(ABS(H32),0.000000001))</f>
        <v>8.6051391083961353E-3</v>
      </c>
      <c r="BL32">
        <f t="shared" si="48"/>
        <v>0</v>
      </c>
      <c r="BM32">
        <f t="shared" ref="BM32:BM37" si="56">EXP(-($B$5-I32)/MAX(I32,0.000000001))</f>
        <v>3.6553250822848418E-3</v>
      </c>
      <c r="BN32">
        <f t="shared" ref="BN32:BN37" si="57">IF(F32&gt;N32,(F32-N32)/$B$6,0)+IF(F32&lt;M32,(M32-F32)/$B$6,0)</f>
        <v>0.42500000000000004</v>
      </c>
      <c r="BO32">
        <f t="shared" ref="BO32:BO37" si="58">ABS(K32/$B$4)</f>
        <v>1.25E-3</v>
      </c>
      <c r="BP32">
        <f t="shared" ref="BP32:BP37" si="59">Logistic(ABS(H32)/$B$4)</f>
        <v>8.665710155761211E-2</v>
      </c>
      <c r="BQ32">
        <f t="shared" ref="BQ32:BQ37" si="60">Logistic(($B$3-G32)/G32)</f>
        <v>0.75921793287495187</v>
      </c>
    </row>
    <row r="33" spans="1:69" x14ac:dyDescent="0.25">
      <c r="A33" s="1" t="s">
        <v>38</v>
      </c>
      <c r="B33">
        <f t="shared" ca="1" si="2"/>
        <v>165.47813373944041</v>
      </c>
      <c r="C33" t="s">
        <v>244</v>
      </c>
      <c r="D33">
        <f t="shared" si="17"/>
        <v>127</v>
      </c>
      <c r="E33">
        <f t="shared" si="18"/>
        <v>134.99</v>
      </c>
      <c r="F33">
        <f t="shared" si="19"/>
        <v>5.52</v>
      </c>
      <c r="G33">
        <f t="shared" si="20"/>
        <v>7.1</v>
      </c>
      <c r="H33">
        <f t="shared" si="21"/>
        <v>1.39</v>
      </c>
      <c r="I33">
        <f t="shared" si="22"/>
        <v>1.21</v>
      </c>
      <c r="J33">
        <f t="shared" si="23"/>
        <v>0.99</v>
      </c>
      <c r="K33">
        <f t="shared" si="24"/>
        <v>0.01</v>
      </c>
      <c r="L33">
        <f t="shared" si="3"/>
        <v>1</v>
      </c>
      <c r="M33">
        <f t="shared" si="49"/>
        <v>0</v>
      </c>
      <c r="N33">
        <f t="shared" si="50"/>
        <v>4</v>
      </c>
      <c r="O33">
        <f t="shared" si="4"/>
        <v>2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 t="e">
        <f t="shared" si="27"/>
        <v>#VALUE!</v>
      </c>
      <c r="T33">
        <f t="shared" ca="1" si="28"/>
        <v>1000000</v>
      </c>
      <c r="U33">
        <f t="shared" ca="1" si="29"/>
        <v>100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 t="e">
        <f>GetFollowingCarRow($B$45:$E$54,L33,$E$15,E33)</f>
        <v>#VALUE!</v>
      </c>
      <c r="Z33">
        <f t="shared" ca="1" si="33"/>
        <v>1000000000</v>
      </c>
      <c r="AA33">
        <f t="shared" ca="1" si="34"/>
        <v>100</v>
      </c>
      <c r="AB33">
        <f t="shared" si="35"/>
        <v>0.66000000000000014</v>
      </c>
      <c r="AC33">
        <f t="shared" si="36"/>
        <v>8.6800000000000068</v>
      </c>
      <c r="AD33">
        <f t="shared" si="37"/>
        <v>15.784216589861746</v>
      </c>
      <c r="AE33">
        <f t="shared" si="38"/>
        <v>-137.00700000000006</v>
      </c>
      <c r="AF33">
        <f t="shared" si="39"/>
        <v>8.7050560021173968</v>
      </c>
      <c r="AG33">
        <f t="shared" si="40"/>
        <v>1000000000</v>
      </c>
      <c r="AH33">
        <f t="shared" si="41"/>
        <v>0.64692945044176664</v>
      </c>
      <c r="AI33">
        <f>IF(G33&lt;=0,1,0)</f>
        <v>0</v>
      </c>
      <c r="AJ33">
        <f>IF(G33&lt;0,1,0)</f>
        <v>0</v>
      </c>
      <c r="AK33">
        <f>MAX(($B$3-G33)/(G33 + 1),0) / $B$3</f>
        <v>8.2149381552460404E-2</v>
      </c>
      <c r="AL33">
        <f>IF(H33+ABS(K33)&lt;0,Logistic(SQRT(H33^2+K33^2)/$B$4),0)</f>
        <v>0</v>
      </c>
      <c r="AM33">
        <f>IF(G33&gt;$B$3,1,0)</f>
        <v>0</v>
      </c>
      <c r="AN33">
        <f>IF(H33&gt;$B$4,1,0)</f>
        <v>0</v>
      </c>
      <c r="AO33">
        <f>ABS(H33)/$B$4</f>
        <v>0.17374999999999999</v>
      </c>
      <c r="AP33">
        <f>Logistic(I33/$B$5)</f>
        <v>7.548115904644187E-2</v>
      </c>
      <c r="AQ33">
        <f>IF(I33&gt;$B$5,1,0)</f>
        <v>0</v>
      </c>
      <c r="AR33">
        <f>Logistic(ABS(F33-O33)/($B$6/2))</f>
        <v>0.70641932039723521</v>
      </c>
      <c r="AS33">
        <f>IF(OR(F33&lt;M33,F33&gt;N33),1,0)</f>
        <v>1</v>
      </c>
      <c r="AT33">
        <f>ABS(K33)/$B$4</f>
        <v>1.25E-3</v>
      </c>
      <c r="AU33">
        <f t="shared" ca="1" si="42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</v>
      </c>
      <c r="BA33">
        <f t="shared" ca="1" si="43"/>
        <v>0</v>
      </c>
      <c r="BB33">
        <f t="shared" ca="1" si="44"/>
        <v>0</v>
      </c>
      <c r="BC33">
        <f t="shared" si="45"/>
        <v>0</v>
      </c>
      <c r="BE33">
        <f t="shared" si="51"/>
        <v>0.64692945044176664</v>
      </c>
      <c r="BF33">
        <f t="shared" si="46"/>
        <v>0</v>
      </c>
      <c r="BG33">
        <f t="shared" si="47"/>
        <v>0</v>
      </c>
      <c r="BH33">
        <f t="shared" si="52"/>
        <v>0.70218864130999192</v>
      </c>
      <c r="BI33">
        <f t="shared" si="53"/>
        <v>0</v>
      </c>
      <c r="BJ33">
        <f t="shared" si="54"/>
        <v>0</v>
      </c>
      <c r="BK33">
        <f t="shared" si="55"/>
        <v>8.6051391083961353E-3</v>
      </c>
      <c r="BL33">
        <f t="shared" si="48"/>
        <v>0</v>
      </c>
      <c r="BM33">
        <f t="shared" si="56"/>
        <v>3.6553250822848418E-3</v>
      </c>
      <c r="BN33">
        <f t="shared" si="57"/>
        <v>0.37999999999999989</v>
      </c>
      <c r="BO33">
        <f t="shared" si="58"/>
        <v>1.25E-3</v>
      </c>
      <c r="BP33">
        <f t="shared" si="59"/>
        <v>8.665710155761211E-2</v>
      </c>
      <c r="BQ33">
        <f t="shared" si="60"/>
        <v>0.75921793287495187</v>
      </c>
    </row>
    <row r="34" spans="1:69" x14ac:dyDescent="0.25">
      <c r="A34" s="1" t="s">
        <v>39</v>
      </c>
      <c r="B34">
        <f t="shared" ca="1" si="2"/>
        <v>165.47813373944041</v>
      </c>
      <c r="C34" t="s">
        <v>243</v>
      </c>
      <c r="D34">
        <f t="shared" si="17"/>
        <v>127</v>
      </c>
      <c r="E34">
        <f t="shared" si="18"/>
        <v>134.99</v>
      </c>
      <c r="F34">
        <f t="shared" si="19"/>
        <v>5</v>
      </c>
      <c r="G34">
        <f t="shared" si="20"/>
        <v>7.1</v>
      </c>
      <c r="H34">
        <f t="shared" si="21"/>
        <v>1.39</v>
      </c>
      <c r="I34">
        <f t="shared" si="22"/>
        <v>1.21</v>
      </c>
      <c r="J34">
        <f t="shared" si="23"/>
        <v>1.69</v>
      </c>
      <c r="K34">
        <f t="shared" si="24"/>
        <v>0.03</v>
      </c>
      <c r="L34">
        <f t="shared" si="3"/>
        <v>1</v>
      </c>
      <c r="M34">
        <f t="shared" si="49"/>
        <v>0</v>
      </c>
      <c r="N34">
        <f t="shared" si="50"/>
        <v>4</v>
      </c>
      <c r="O34">
        <f t="shared" si="4"/>
        <v>2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 t="e">
        <f t="shared" si="27"/>
        <v>#VALUE!</v>
      </c>
      <c r="T34">
        <f t="shared" ca="1" si="28"/>
        <v>1000000</v>
      </c>
      <c r="U34">
        <f t="shared" ca="1" si="29"/>
        <v>100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 t="e">
        <f>GetFollowingCarRow($B$45:$E$54,L34,$E$15,E34)</f>
        <v>#VALUE!</v>
      </c>
      <c r="Z34">
        <f t="shared" ca="1" si="33"/>
        <v>1000000000</v>
      </c>
      <c r="AA34">
        <f t="shared" ca="1" si="34"/>
        <v>100</v>
      </c>
      <c r="AB34">
        <f t="shared" si="35"/>
        <v>1.1799999999999997</v>
      </c>
      <c r="AC34">
        <f t="shared" si="36"/>
        <v>8.6800000000000068</v>
      </c>
      <c r="AD34">
        <f t="shared" si="37"/>
        <v>23.351175115207354</v>
      </c>
      <c r="AE34">
        <f t="shared" si="38"/>
        <v>-202.68819999999999</v>
      </c>
      <c r="AF34">
        <f t="shared" si="39"/>
        <v>8.759840181190528</v>
      </c>
      <c r="AG34">
        <f t="shared" si="40"/>
        <v>1000000000</v>
      </c>
      <c r="AH34">
        <f t="shared" si="41"/>
        <v>0.64692945044176664</v>
      </c>
      <c r="AI34">
        <f>IF(G34&lt;=0,1,0)</f>
        <v>0</v>
      </c>
      <c r="AJ34">
        <f>IF(G34&lt;0,1,0)</f>
        <v>0</v>
      </c>
      <c r="AK34">
        <f>MAX(($B$3-G34)/(G34 + 1),0) / $B$3</f>
        <v>8.2149381552460404E-2</v>
      </c>
      <c r="AL34">
        <f>IF(H34+ABS(K34)&lt;0,Logistic(SQRT(H34^2+K34^2)/$B$4),0)</f>
        <v>0</v>
      </c>
      <c r="AM34">
        <f>IF(G34&gt;$B$3,1,0)</f>
        <v>0</v>
      </c>
      <c r="AN34">
        <f>IF(H34&gt;$B$4,1,0)</f>
        <v>0</v>
      </c>
      <c r="AO34">
        <f>ABS(H34)/$B$4</f>
        <v>0.17374999999999999</v>
      </c>
      <c r="AP34">
        <f>Logistic(I34/$B$5)</f>
        <v>7.548115904644187E-2</v>
      </c>
      <c r="AQ34">
        <f>IF(I34&gt;$B$5,1,0)</f>
        <v>0</v>
      </c>
      <c r="AR34">
        <f>Logistic(ABS(F34-O34)/($B$6/2))</f>
        <v>0.6351489523872873</v>
      </c>
      <c r="AS34">
        <f>IF(OR(F34&lt;M34,F34&gt;N34),1,0)</f>
        <v>1</v>
      </c>
      <c r="AT34">
        <f>ABS(K34)/$B$4</f>
        <v>3.7499999999999999E-3</v>
      </c>
      <c r="AU34">
        <f t="shared" ca="1" si="42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</v>
      </c>
      <c r="BA34">
        <f t="shared" ca="1" si="43"/>
        <v>0</v>
      </c>
      <c r="BB34">
        <f t="shared" ca="1" si="44"/>
        <v>0</v>
      </c>
      <c r="BC34">
        <f t="shared" si="45"/>
        <v>0</v>
      </c>
      <c r="BE34">
        <f t="shared" si="51"/>
        <v>0.64692945044176664</v>
      </c>
      <c r="BF34">
        <f t="shared" si="46"/>
        <v>0</v>
      </c>
      <c r="BG34">
        <f t="shared" si="47"/>
        <v>0</v>
      </c>
      <c r="BH34">
        <f t="shared" si="52"/>
        <v>0.70218864130999192</v>
      </c>
      <c r="BI34">
        <f t="shared" si="53"/>
        <v>0</v>
      </c>
      <c r="BJ34">
        <f t="shared" si="54"/>
        <v>0</v>
      </c>
      <c r="BK34">
        <f t="shared" si="55"/>
        <v>8.6051391083961353E-3</v>
      </c>
      <c r="BL34">
        <f t="shared" si="48"/>
        <v>0</v>
      </c>
      <c r="BM34">
        <f t="shared" si="56"/>
        <v>3.6553250822848418E-3</v>
      </c>
      <c r="BN34">
        <f t="shared" si="57"/>
        <v>0.25</v>
      </c>
      <c r="BO34">
        <f t="shared" si="58"/>
        <v>3.7499999999999999E-3</v>
      </c>
      <c r="BP34">
        <f t="shared" si="59"/>
        <v>8.665710155761211E-2</v>
      </c>
      <c r="BQ34">
        <f t="shared" si="60"/>
        <v>0.75921793287495187</v>
      </c>
    </row>
    <row r="35" spans="1:69" x14ac:dyDescent="0.25">
      <c r="A35" s="1" t="s">
        <v>82</v>
      </c>
      <c r="B35">
        <f t="shared" ca="1" si="2"/>
        <v>235.41778528817733</v>
      </c>
      <c r="C35" t="s">
        <v>242</v>
      </c>
      <c r="D35">
        <f t="shared" si="17"/>
        <v>127</v>
      </c>
      <c r="E35">
        <f t="shared" si="18"/>
        <v>129.43</v>
      </c>
      <c r="F35">
        <f t="shared" si="19"/>
        <v>6.11</v>
      </c>
      <c r="G35">
        <f t="shared" si="20"/>
        <v>1.56</v>
      </c>
      <c r="H35">
        <f t="shared" si="21"/>
        <v>0</v>
      </c>
      <c r="I35">
        <f t="shared" si="22"/>
        <v>0.18</v>
      </c>
      <c r="J35">
        <f t="shared" si="23"/>
        <v>0.06</v>
      </c>
      <c r="K35">
        <f t="shared" si="24"/>
        <v>0.01</v>
      </c>
      <c r="L35">
        <f t="shared" si="3"/>
        <v>1</v>
      </c>
      <c r="M35">
        <f t="shared" si="49"/>
        <v>0</v>
      </c>
      <c r="N35">
        <f t="shared" si="50"/>
        <v>4</v>
      </c>
      <c r="O35">
        <f t="shared" si="4"/>
        <v>2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 t="e">
        <f t="shared" si="27"/>
        <v>#VALUE!</v>
      </c>
      <c r="T35">
        <f t="shared" ca="1" si="28"/>
        <v>1000000</v>
      </c>
      <c r="U35">
        <f t="shared" ca="1" si="29"/>
        <v>100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 t="e">
        <f>GetFollowingCarRow($B$45:$E$54,L35,$E$15,E35)</f>
        <v>#VALUE!</v>
      </c>
      <c r="Z35">
        <f t="shared" ca="1" si="33"/>
        <v>1000000000</v>
      </c>
      <c r="AA35">
        <f t="shared" ca="1" si="34"/>
        <v>100</v>
      </c>
      <c r="AB35">
        <f t="shared" si="35"/>
        <v>6.9999999999999396E-2</v>
      </c>
      <c r="AC35">
        <f t="shared" si="36"/>
        <v>3.1200000000000045</v>
      </c>
      <c r="AD35">
        <f t="shared" si="37"/>
        <v>9.0138782051281758</v>
      </c>
      <c r="AE35">
        <f t="shared" si="38"/>
        <v>-28.123299999999951</v>
      </c>
      <c r="AF35">
        <f t="shared" si="39"/>
        <v>3.1207851576165937</v>
      </c>
      <c r="AG35">
        <f t="shared" si="40"/>
        <v>1000000000</v>
      </c>
      <c r="AH35">
        <f t="shared" si="41"/>
        <v>0.64692945044176664</v>
      </c>
      <c r="AI35">
        <f>IF(G35&lt;=0,1,0)</f>
        <v>0</v>
      </c>
      <c r="AJ35">
        <f>IF(G35&lt;0,1,0)</f>
        <v>0</v>
      </c>
      <c r="AK35">
        <f>MAX(($B$3-G35)/(G35 + 1),0) / $B$3</f>
        <v>0.36190798774740812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</v>
      </c>
      <c r="AP35">
        <f>Logistic(I35/$B$5)</f>
        <v>1.1249525414650879E-2</v>
      </c>
      <c r="AQ35">
        <f>IF(I35&gt;$B$5,1,0)</f>
        <v>0</v>
      </c>
      <c r="AR35">
        <f>Logistic(ABS(F35-O35)/($B$6/2))</f>
        <v>0.77290373356204445</v>
      </c>
      <c r="AS35">
        <f>IF(OR(F35&lt;M35,F35&gt;N35),1,0)</f>
        <v>1</v>
      </c>
      <c r="AT35">
        <f>ABS(K35)/$B$4</f>
        <v>1.25E-3</v>
      </c>
      <c r="AU35">
        <f t="shared" ca="1" si="42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43"/>
        <v>0</v>
      </c>
      <c r="BB35">
        <f t="shared" ca="1" si="44"/>
        <v>0</v>
      </c>
      <c r="BC35">
        <f t="shared" si="45"/>
        <v>0</v>
      </c>
      <c r="BE35">
        <f t="shared" si="51"/>
        <v>0.64692945044176664</v>
      </c>
      <c r="BF35">
        <f t="shared" si="46"/>
        <v>0</v>
      </c>
      <c r="BG35">
        <f t="shared" si="47"/>
        <v>0</v>
      </c>
      <c r="BH35">
        <f t="shared" si="52"/>
        <v>0.9990761883341952</v>
      </c>
      <c r="BI35">
        <f t="shared" si="53"/>
        <v>0</v>
      </c>
      <c r="BJ35">
        <f t="shared" si="54"/>
        <v>0</v>
      </c>
      <c r="BK35">
        <f t="shared" si="55"/>
        <v>0</v>
      </c>
      <c r="BL35">
        <f t="shared" si="48"/>
        <v>0</v>
      </c>
      <c r="BM35">
        <f t="shared" si="56"/>
        <v>1.3561805402628943E-19</v>
      </c>
      <c r="BN35">
        <f t="shared" si="57"/>
        <v>0.52750000000000008</v>
      </c>
      <c r="BO35">
        <f t="shared" si="58"/>
        <v>1.25E-3</v>
      </c>
      <c r="BP35">
        <f t="shared" si="59"/>
        <v>0</v>
      </c>
      <c r="BQ35">
        <f t="shared" si="60"/>
        <v>0.99999327326239129</v>
      </c>
    </row>
    <row r="36" spans="1:69" x14ac:dyDescent="0.25">
      <c r="A36" s="1" t="s">
        <v>83</v>
      </c>
      <c r="B36">
        <f t="shared" ca="1" si="2"/>
        <v>235.41778528817733</v>
      </c>
      <c r="C36" t="s">
        <v>241</v>
      </c>
      <c r="D36">
        <f t="shared" si="17"/>
        <v>127</v>
      </c>
      <c r="E36">
        <f t="shared" si="18"/>
        <v>129.41999999999999</v>
      </c>
      <c r="F36">
        <f t="shared" si="19"/>
        <v>6.08</v>
      </c>
      <c r="G36">
        <f t="shared" si="20"/>
        <v>1.56</v>
      </c>
      <c r="H36">
        <f t="shared" si="21"/>
        <v>0</v>
      </c>
      <c r="I36">
        <f t="shared" si="22"/>
        <v>0.18</v>
      </c>
      <c r="J36">
        <f t="shared" si="23"/>
        <v>0.09</v>
      </c>
      <c r="K36">
        <f t="shared" si="24"/>
        <v>0.01</v>
      </c>
      <c r="L36">
        <f t="shared" si="3"/>
        <v>1</v>
      </c>
      <c r="M36">
        <f t="shared" si="49"/>
        <v>0</v>
      </c>
      <c r="N36">
        <f t="shared" si="50"/>
        <v>4</v>
      </c>
      <c r="O36">
        <f t="shared" si="4"/>
        <v>2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 t="e">
        <f t="shared" si="27"/>
        <v>#VALUE!</v>
      </c>
      <c r="T36">
        <f t="shared" ca="1" si="28"/>
        <v>1000000</v>
      </c>
      <c r="U36">
        <f t="shared" ca="1" si="29"/>
        <v>100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 t="e">
        <f>GetFollowingCarRow($B$45:$E$54,L36,$E$15,E36)</f>
        <v>#VALUE!</v>
      </c>
      <c r="Z36">
        <f t="shared" ca="1" si="33"/>
        <v>1000000000</v>
      </c>
      <c r="AA36">
        <f t="shared" ca="1" si="34"/>
        <v>100</v>
      </c>
      <c r="AB36">
        <f t="shared" si="35"/>
        <v>9.9999999999999645E-2</v>
      </c>
      <c r="AC36">
        <f t="shared" si="36"/>
        <v>3.1099999999999852</v>
      </c>
      <c r="AD36">
        <f t="shared" si="37"/>
        <v>10.241414790996789</v>
      </c>
      <c r="AE36">
        <f t="shared" si="38"/>
        <v>-31.850799999999861</v>
      </c>
      <c r="AF36">
        <f t="shared" si="39"/>
        <v>3.1116073017011492</v>
      </c>
      <c r="AG36">
        <f t="shared" si="40"/>
        <v>1000000000</v>
      </c>
      <c r="AH36">
        <f t="shared" si="41"/>
        <v>0.64692945044176664</v>
      </c>
      <c r="AI36">
        <f>IF(G36&lt;=0,1,0)</f>
        <v>0</v>
      </c>
      <c r="AJ36">
        <f>IF(G36&lt;0,1,0)</f>
        <v>0</v>
      </c>
      <c r="AK36">
        <f>MAX(($B$3-G36)/(G36 + 1),0) / $B$3</f>
        <v>0.36190798774740812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0</v>
      </c>
      <c r="AP36">
        <f>Logistic(I36/$B$5)</f>
        <v>1.1249525414650879E-2</v>
      </c>
      <c r="AQ36">
        <f>IF(I36&gt;$B$5,1,0)</f>
        <v>0</v>
      </c>
      <c r="AR36">
        <f>Logistic(ABS(F36-O36)/($B$6/2))</f>
        <v>0.76986653590890042</v>
      </c>
      <c r="AS36">
        <f>IF(OR(F36&lt;M36,F36&gt;N36),1,0)</f>
        <v>1</v>
      </c>
      <c r="AT36">
        <f>ABS(K36)/$B$4</f>
        <v>1.25E-3</v>
      </c>
      <c r="AU36">
        <f t="shared" ca="1" si="42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</v>
      </c>
      <c r="BA36">
        <f t="shared" ca="1" si="43"/>
        <v>0</v>
      </c>
      <c r="BB36">
        <f t="shared" ca="1" si="44"/>
        <v>0</v>
      </c>
      <c r="BC36">
        <f t="shared" si="45"/>
        <v>0</v>
      </c>
      <c r="BE36">
        <f t="shared" si="51"/>
        <v>0.64692945044176664</v>
      </c>
      <c r="BF36">
        <f t="shared" si="46"/>
        <v>0</v>
      </c>
      <c r="BG36">
        <f t="shared" si="47"/>
        <v>0</v>
      </c>
      <c r="BH36">
        <f t="shared" si="52"/>
        <v>0.9990761883341952</v>
      </c>
      <c r="BI36">
        <f t="shared" si="53"/>
        <v>0</v>
      </c>
      <c r="BJ36">
        <f t="shared" si="54"/>
        <v>0</v>
      </c>
      <c r="BK36">
        <f t="shared" si="55"/>
        <v>0</v>
      </c>
      <c r="BL36">
        <f t="shared" si="48"/>
        <v>0</v>
      </c>
      <c r="BM36">
        <f t="shared" si="56"/>
        <v>1.3561805402628943E-19</v>
      </c>
      <c r="BN36">
        <f t="shared" si="57"/>
        <v>0.52</v>
      </c>
      <c r="BO36">
        <f t="shared" si="58"/>
        <v>1.25E-3</v>
      </c>
      <c r="BP36">
        <f t="shared" si="59"/>
        <v>0</v>
      </c>
      <c r="BQ36">
        <f t="shared" si="60"/>
        <v>0.99999327326239129</v>
      </c>
    </row>
    <row r="37" spans="1:69" x14ac:dyDescent="0.25">
      <c r="A37" s="1" t="s">
        <v>84</v>
      </c>
      <c r="B37">
        <f t="shared" ca="1" si="2"/>
        <v>235.41778528817733</v>
      </c>
      <c r="C37" t="s">
        <v>240</v>
      </c>
      <c r="D37">
        <f t="shared" si="17"/>
        <v>127</v>
      </c>
      <c r="E37">
        <f t="shared" si="18"/>
        <v>129.41999999999999</v>
      </c>
      <c r="F37">
        <f t="shared" si="19"/>
        <v>6</v>
      </c>
      <c r="G37">
        <f t="shared" si="20"/>
        <v>1.56</v>
      </c>
      <c r="H37">
        <f t="shared" si="21"/>
        <v>0</v>
      </c>
      <c r="I37">
        <f t="shared" si="22"/>
        <v>0.18</v>
      </c>
      <c r="J37">
        <f t="shared" si="23"/>
        <v>0.17</v>
      </c>
      <c r="K37">
        <f t="shared" si="24"/>
        <v>0.03</v>
      </c>
      <c r="L37">
        <f t="shared" si="3"/>
        <v>1</v>
      </c>
      <c r="M37">
        <f t="shared" si="49"/>
        <v>0</v>
      </c>
      <c r="N37">
        <f t="shared" si="50"/>
        <v>4</v>
      </c>
      <c r="O37">
        <f t="shared" si="4"/>
        <v>2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 t="e">
        <f t="shared" si="27"/>
        <v>#VALUE!</v>
      </c>
      <c r="T37">
        <f t="shared" ca="1" si="28"/>
        <v>1000000</v>
      </c>
      <c r="U37">
        <f t="shared" ca="1" si="29"/>
        <v>100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 t="e">
        <f>GetFollowingCarRow($B$45:$E$54,L37,$E$15,E37)</f>
        <v>#VALUE!</v>
      </c>
      <c r="Z37">
        <f t="shared" ca="1" si="33"/>
        <v>1000000000</v>
      </c>
      <c r="AA37">
        <f t="shared" ca="1" si="34"/>
        <v>100</v>
      </c>
      <c r="AB37">
        <f t="shared" si="35"/>
        <v>0.17999999999999972</v>
      </c>
      <c r="AC37">
        <f t="shared" si="36"/>
        <v>3.1099999999999852</v>
      </c>
      <c r="AD37">
        <f t="shared" si="37"/>
        <v>13.490546623794234</v>
      </c>
      <c r="AE37">
        <f t="shared" si="38"/>
        <v>-41.955599999999869</v>
      </c>
      <c r="AF37">
        <f t="shared" si="39"/>
        <v>3.1152046481731994</v>
      </c>
      <c r="AG37">
        <f t="shared" si="40"/>
        <v>1000000000</v>
      </c>
      <c r="AH37">
        <f t="shared" si="41"/>
        <v>0.64692945044176664</v>
      </c>
      <c r="AI37">
        <f>IF(G37&lt;=0,1,0)</f>
        <v>0</v>
      </c>
      <c r="AJ37">
        <f>IF(G37&lt;0,1,0)</f>
        <v>0</v>
      </c>
      <c r="AK37">
        <f>MAX(($B$3-G37)/(G37 + 1),0) / $B$3</f>
        <v>0.36190798774740812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0</v>
      </c>
      <c r="AP37">
        <f>Logistic(I37/$B$5)</f>
        <v>1.1249525414650879E-2</v>
      </c>
      <c r="AQ37">
        <f>IF(I37&gt;$B$5,1,0)</f>
        <v>0</v>
      </c>
      <c r="AR37">
        <f>Logistic(ABS(F37-O37)/($B$6/2))</f>
        <v>0.76159415595576485</v>
      </c>
      <c r="AS37">
        <f>IF(OR(F37&lt;M37,F37&gt;N37),1,0)</f>
        <v>1</v>
      </c>
      <c r="AT37">
        <f>ABS(K37)/$B$4</f>
        <v>3.7499999999999999E-3</v>
      </c>
      <c r="AU37">
        <f t="shared" ca="1" si="42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</v>
      </c>
      <c r="BA37">
        <f t="shared" ca="1" si="43"/>
        <v>0</v>
      </c>
      <c r="BB37">
        <f t="shared" ca="1" si="44"/>
        <v>0</v>
      </c>
      <c r="BC37">
        <f t="shared" si="45"/>
        <v>0</v>
      </c>
      <c r="BE37">
        <f t="shared" si="51"/>
        <v>0.64692945044176664</v>
      </c>
      <c r="BF37">
        <f t="shared" si="46"/>
        <v>0</v>
      </c>
      <c r="BG37">
        <f t="shared" si="47"/>
        <v>0</v>
      </c>
      <c r="BH37">
        <f t="shared" si="52"/>
        <v>0.9990761883341952</v>
      </c>
      <c r="BI37">
        <f t="shared" si="53"/>
        <v>0</v>
      </c>
      <c r="BJ37">
        <f t="shared" si="54"/>
        <v>0</v>
      </c>
      <c r="BK37">
        <f t="shared" si="55"/>
        <v>0</v>
      </c>
      <c r="BL37">
        <f t="shared" si="48"/>
        <v>0</v>
      </c>
      <c r="BM37">
        <f t="shared" si="56"/>
        <v>1.3561805402628943E-19</v>
      </c>
      <c r="BN37">
        <f t="shared" si="57"/>
        <v>0.5</v>
      </c>
      <c r="BO37">
        <f t="shared" si="58"/>
        <v>3.7499999999999999E-3</v>
      </c>
      <c r="BP37">
        <f t="shared" si="59"/>
        <v>0</v>
      </c>
      <c r="BQ37">
        <f t="shared" si="60"/>
        <v>0.99999327326239129</v>
      </c>
    </row>
    <row r="38" spans="1:69" x14ac:dyDescent="0.25">
      <c r="A38" s="1" t="s">
        <v>19</v>
      </c>
      <c r="B38">
        <f t="shared" ca="1" si="2"/>
        <v>230.47593265301163</v>
      </c>
      <c r="C38" t="s">
        <v>239</v>
      </c>
      <c r="D38">
        <f t="shared" si="17"/>
        <v>127</v>
      </c>
      <c r="E38">
        <f t="shared" si="18"/>
        <v>129.55000000000001</v>
      </c>
      <c r="F38">
        <f t="shared" si="19"/>
        <v>6.11</v>
      </c>
      <c r="G38">
        <f t="shared" si="20"/>
        <v>1.69</v>
      </c>
      <c r="H38">
        <f t="shared" si="21"/>
        <v>0.03</v>
      </c>
      <c r="I38">
        <f t="shared" si="22"/>
        <v>0.15</v>
      </c>
      <c r="J38">
        <f t="shared" si="23"/>
        <v>7.0000000000000007E-2</v>
      </c>
      <c r="K38">
        <f t="shared" si="24"/>
        <v>0.01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 t="e">
        <f t="shared" si="27"/>
        <v>#VALUE!</v>
      </c>
      <c r="T38">
        <f t="shared" ca="1" si="28"/>
        <v>1000000</v>
      </c>
      <c r="U38">
        <f t="shared" ca="1" si="29"/>
        <v>100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 t="e">
        <f>GetFollowingCarRow($B$45:$E$54,L38,$E$15,E38)</f>
        <v>#VALUE!</v>
      </c>
      <c r="Z38">
        <f t="shared" ca="1" si="33"/>
        <v>1000000000</v>
      </c>
      <c r="AA38">
        <f t="shared" ca="1" si="34"/>
        <v>100</v>
      </c>
      <c r="AB38">
        <f t="shared" si="35"/>
        <v>6.9999999999999396E-2</v>
      </c>
      <c r="AC38">
        <f t="shared" si="36"/>
        <v>3.2400000000000091</v>
      </c>
      <c r="AD38">
        <f t="shared" si="37"/>
        <v>8.9089197530863888</v>
      </c>
      <c r="AE38">
        <f t="shared" si="38"/>
        <v>-28.864899999999981</v>
      </c>
      <c r="AF38">
        <f t="shared" si="39"/>
        <v>3.2407560846197696</v>
      </c>
      <c r="AG38">
        <f t="shared" si="40"/>
        <v>1000000000</v>
      </c>
      <c r="AH38">
        <f t="shared" si="41"/>
        <v>0.64692945044176664</v>
      </c>
      <c r="AI38">
        <f>IF(G38&lt;=0,1,0)</f>
        <v>0</v>
      </c>
      <c r="AJ38">
        <f>IF(G38&lt;0,1,0)</f>
        <v>0</v>
      </c>
      <c r="AK38">
        <f>MAX(($B$3-G38)/(G38 + 1),0) / $B$3</f>
        <v>0.3421405772067454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3.7499999999999999E-3</v>
      </c>
      <c r="AP38">
        <f>Logistic(I38/$B$5)</f>
        <v>9.3747253514524613E-3</v>
      </c>
      <c r="AQ38">
        <f>IF(I38&gt;$B$5,1,0)</f>
        <v>0</v>
      </c>
      <c r="AR38">
        <f>Logistic(ABS(F38-O38)/($B$6/2))</f>
        <v>0.77290373356204445</v>
      </c>
      <c r="AS38">
        <f>IF(OR(F38&lt;M38,F38&gt;N38),1,0)</f>
        <v>1</v>
      </c>
      <c r="AT38">
        <f>ABS(K38)/$B$4</f>
        <v>1.25E-3</v>
      </c>
      <c r="AU38">
        <f t="shared" ca="1" si="42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3"/>
        <v>0</v>
      </c>
      <c r="BB38">
        <f t="shared" ca="1" si="44"/>
        <v>0</v>
      </c>
      <c r="BC38">
        <f t="shared" si="45"/>
        <v>0</v>
      </c>
      <c r="BE38">
        <f>Logistic((D38-$B$2)/$B$2)</f>
        <v>0.64692945044176664</v>
      </c>
      <c r="BF38">
        <f t="shared" si="46"/>
        <v>0</v>
      </c>
      <c r="BG38">
        <f t="shared" si="47"/>
        <v>0</v>
      </c>
      <c r="BH38">
        <f>Logistic(($B$3-G38)/(G38+1))</f>
        <v>0.99859508513457895</v>
      </c>
      <c r="BI38">
        <f>IF(G38&gt;$B$3,1,0)</f>
        <v>0</v>
      </c>
      <c r="BJ38">
        <f>IF(H38&gt;$B$5,1,0)</f>
        <v>0</v>
      </c>
      <c r="BK38">
        <f>EXP(-($B$4-ABS(H38))/MAX(ABS(H38),0.000000001))</f>
        <v>4.1921097212671696E-116</v>
      </c>
      <c r="BL38">
        <f t="shared" si="48"/>
        <v>0</v>
      </c>
      <c r="BM38">
        <f>EXP(-($B$5-I38)/MAX(I38,0.000000001))</f>
        <v>1.8703466827523275E-23</v>
      </c>
      <c r="BN38">
        <f>IF(F38&gt;N38,(F38-N38)/$B$6,0)+IF(F38&lt;M38,(M38-F38)/$B$6,0)</f>
        <v>0.52750000000000008</v>
      </c>
      <c r="BO38">
        <f>ABS(K38/$B$4)</f>
        <v>1.25E-3</v>
      </c>
      <c r="BP38">
        <f>Logistic(ABS(H38)/$B$4)</f>
        <v>1.8749978027374863E-3</v>
      </c>
      <c r="BQ38">
        <f>Logistic(($B$3-G38)/G38)</f>
        <v>0.99998084746381999</v>
      </c>
    </row>
    <row r="39" spans="1:69" x14ac:dyDescent="0.25">
      <c r="A39" s="1" t="s">
        <v>18</v>
      </c>
      <c r="B39">
        <f t="shared" ca="1" si="2"/>
        <v>230.47593265301163</v>
      </c>
      <c r="C39" t="s">
        <v>238</v>
      </c>
      <c r="D39">
        <f t="shared" si="17"/>
        <v>127</v>
      </c>
      <c r="E39">
        <f t="shared" si="18"/>
        <v>129.55000000000001</v>
      </c>
      <c r="F39">
        <f t="shared" si="19"/>
        <v>6.08</v>
      </c>
      <c r="G39">
        <f t="shared" si="20"/>
        <v>1.69</v>
      </c>
      <c r="H39">
        <f t="shared" si="21"/>
        <v>0.03</v>
      </c>
      <c r="I39">
        <f t="shared" si="22"/>
        <v>0.15</v>
      </c>
      <c r="J39">
        <f t="shared" si="23"/>
        <v>0.1</v>
      </c>
      <c r="K39">
        <f t="shared" si="24"/>
        <v>0.01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 t="e">
        <f t="shared" si="27"/>
        <v>#VALUE!</v>
      </c>
      <c r="T39">
        <f t="shared" ca="1" si="28"/>
        <v>1000000</v>
      </c>
      <c r="U39">
        <f t="shared" ca="1" si="29"/>
        <v>100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 t="e">
        <f>GetFollowingCarRow($B$45:$E$54,L39,$E$15,E39)</f>
        <v>#VALUE!</v>
      </c>
      <c r="Z39">
        <f t="shared" ca="1" si="33"/>
        <v>1000000000</v>
      </c>
      <c r="AA39">
        <f t="shared" ca="1" si="34"/>
        <v>100</v>
      </c>
      <c r="AB39">
        <f t="shared" si="35"/>
        <v>9.9999999999999645E-2</v>
      </c>
      <c r="AC39">
        <f t="shared" si="36"/>
        <v>3.2400000000000091</v>
      </c>
      <c r="AD39">
        <f t="shared" si="37"/>
        <v>10.078456790123433</v>
      </c>
      <c r="AE39">
        <f t="shared" si="38"/>
        <v>-32.65420000000001</v>
      </c>
      <c r="AF39">
        <f t="shared" si="39"/>
        <v>3.2415428425365689</v>
      </c>
      <c r="AG39">
        <f t="shared" si="40"/>
        <v>1000000000</v>
      </c>
      <c r="AH39">
        <f t="shared" si="41"/>
        <v>0.64692945044176664</v>
      </c>
      <c r="AI39">
        <f>IF(G39&lt;=0,1,0)</f>
        <v>0</v>
      </c>
      <c r="AJ39">
        <f>IF(G39&lt;0,1,0)</f>
        <v>0</v>
      </c>
      <c r="AK39">
        <f>MAX(($B$3-G39)/(G39 + 1),0) / $B$3</f>
        <v>0.3421405772067454</v>
      </c>
      <c r="AL39">
        <f>IF(H39+ABS(K39)&lt;0,Logistic(SQRT(H39^2+K39^2)/$B$4),0)</f>
        <v>0</v>
      </c>
      <c r="AM39">
        <f>IF(G39&gt;$B$3,1,0)</f>
        <v>0</v>
      </c>
      <c r="AN39">
        <f>IF(H39&gt;$B$4,1,0)</f>
        <v>0</v>
      </c>
      <c r="AO39">
        <f>ABS(H39)/$B$4</f>
        <v>3.7499999999999999E-3</v>
      </c>
      <c r="AP39">
        <f>Logistic(I39/$B$5)</f>
        <v>9.3747253514524613E-3</v>
      </c>
      <c r="AQ39">
        <f>IF(I39&gt;$B$5,1,0)</f>
        <v>0</v>
      </c>
      <c r="AR39">
        <f>Logistic(ABS(F39-O39)/($B$6/2))</f>
        <v>0.76986653590890042</v>
      </c>
      <c r="AS39">
        <f>IF(OR(F39&lt;M39,F39&gt;N39),1,0)</f>
        <v>1</v>
      </c>
      <c r="AT39">
        <f>ABS(K39)/$B$4</f>
        <v>1.25E-3</v>
      </c>
      <c r="AU39">
        <f t="shared" ca="1" si="42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</v>
      </c>
      <c r="BA39">
        <f t="shared" ca="1" si="43"/>
        <v>0</v>
      </c>
      <c r="BB39">
        <f t="shared" ca="1" si="44"/>
        <v>0</v>
      </c>
      <c r="BC39">
        <f t="shared" si="45"/>
        <v>0</v>
      </c>
      <c r="BE39">
        <f>Logistic((D39-$B$2)/$B$2)</f>
        <v>0.64692945044176664</v>
      </c>
      <c r="BF39">
        <f t="shared" si="46"/>
        <v>0</v>
      </c>
      <c r="BG39">
        <f t="shared" si="47"/>
        <v>0</v>
      </c>
      <c r="BH39">
        <f>Logistic(($B$3-G39)/(G39+1))</f>
        <v>0.99859508513457895</v>
      </c>
      <c r="BI39">
        <f>IF(G39&gt;$B$3,1,0)</f>
        <v>0</v>
      </c>
      <c r="BJ39">
        <f>IF(H39&gt;$B$5,1,0)</f>
        <v>0</v>
      </c>
      <c r="BK39">
        <f>EXP(-($B$4-ABS(H39))/MAX(ABS(H39),0.000000001))</f>
        <v>4.1921097212671696E-116</v>
      </c>
      <c r="BL39">
        <f t="shared" si="48"/>
        <v>0</v>
      </c>
      <c r="BM39">
        <f>EXP(-($B$5-I39)/MAX(I39,0.000000001))</f>
        <v>1.8703466827523275E-23</v>
      </c>
      <c r="BN39">
        <f>IF(F39&gt;N39,(F39-N39)/$B$6,0)+IF(F39&lt;M39,(M39-F39)/$B$6,0)</f>
        <v>0.52</v>
      </c>
      <c r="BO39">
        <f>ABS(K39/$B$4)</f>
        <v>1.25E-3</v>
      </c>
      <c r="BP39">
        <f>Logistic(ABS(H39)/$B$4)</f>
        <v>1.8749978027374863E-3</v>
      </c>
      <c r="BQ39">
        <f>Logistic(($B$3-G39)/G39)</f>
        <v>0.99998084746381999</v>
      </c>
    </row>
    <row r="40" spans="1:69" x14ac:dyDescent="0.25">
      <c r="A40" s="1" t="s">
        <v>17</v>
      </c>
      <c r="B40">
        <f t="shared" ca="1" si="2"/>
        <v>230.47593265301163</v>
      </c>
      <c r="C40" t="s">
        <v>237</v>
      </c>
      <c r="D40">
        <f t="shared" si="17"/>
        <v>127</v>
      </c>
      <c r="E40">
        <f t="shared" si="18"/>
        <v>129.55000000000001</v>
      </c>
      <c r="F40">
        <f t="shared" si="19"/>
        <v>5.99</v>
      </c>
      <c r="G40">
        <f t="shared" si="20"/>
        <v>1.69</v>
      </c>
      <c r="H40">
        <f t="shared" si="21"/>
        <v>0.03</v>
      </c>
      <c r="I40">
        <f t="shared" si="22"/>
        <v>0.15</v>
      </c>
      <c r="J40">
        <f t="shared" si="23"/>
        <v>0.19</v>
      </c>
      <c r="K40">
        <f t="shared" si="24"/>
        <v>0.03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 t="e">
        <f t="shared" si="27"/>
        <v>#VALUE!</v>
      </c>
      <c r="T40">
        <f t="shared" ca="1" si="28"/>
        <v>1000000</v>
      </c>
      <c r="U40">
        <f t="shared" ca="1" si="29"/>
        <v>100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 t="e">
        <f>GetFollowingCarRow($B$45:$E$54,L40,$E$15,E40)</f>
        <v>#VALUE!</v>
      </c>
      <c r="Z40">
        <f t="shared" ca="1" si="33"/>
        <v>1000000000</v>
      </c>
      <c r="AA40">
        <f t="shared" ca="1" si="34"/>
        <v>100</v>
      </c>
      <c r="AB40">
        <f t="shared" si="35"/>
        <v>0.1899999999999995</v>
      </c>
      <c r="AC40">
        <f t="shared" si="36"/>
        <v>3.2400000000000091</v>
      </c>
      <c r="AD40">
        <f t="shared" si="37"/>
        <v>13.587067901234528</v>
      </c>
      <c r="AE40">
        <f t="shared" si="38"/>
        <v>-44.022099999999995</v>
      </c>
      <c r="AF40">
        <f t="shared" si="39"/>
        <v>3.2455662063806461</v>
      </c>
      <c r="AG40">
        <f t="shared" si="40"/>
        <v>1000000000</v>
      </c>
      <c r="AH40">
        <f t="shared" si="41"/>
        <v>0.64692945044176664</v>
      </c>
      <c r="AI40">
        <f>IF(G40&lt;=0,1,0)</f>
        <v>0</v>
      </c>
      <c r="AJ40">
        <f>IF(G40&lt;0,1,0)</f>
        <v>0</v>
      </c>
      <c r="AK40">
        <f>MAX(($B$3-G40)/(G40 + 1),0) / $B$3</f>
        <v>0.3421405772067454</v>
      </c>
      <c r="AL40">
        <f>IF(H40+ABS(K40)&lt;0,Logistic(SQRT(H40^2+K40^2)/$B$4),0)</f>
        <v>0</v>
      </c>
      <c r="AM40">
        <f>IF(G40&gt;$B$3,1,0)</f>
        <v>0</v>
      </c>
      <c r="AN40">
        <f>IF(H40&gt;$B$4,1,0)</f>
        <v>0</v>
      </c>
      <c r="AO40">
        <f>ABS(H40)/$B$4</f>
        <v>3.7499999999999999E-3</v>
      </c>
      <c r="AP40">
        <f>Logistic(I40/$B$5)</f>
        <v>9.3747253514524613E-3</v>
      </c>
      <c r="AQ40">
        <f>IF(I40&gt;$B$5,1,0)</f>
        <v>0</v>
      </c>
      <c r="AR40">
        <f>Logistic(ABS(F40-O40)/($B$6/2))</f>
        <v>0.76054221942147093</v>
      </c>
      <c r="AS40">
        <f>IF(OR(F40&lt;M40,F40&gt;N40),1,0)</f>
        <v>1</v>
      </c>
      <c r="AT40">
        <f>ABS(K40)/$B$4</f>
        <v>3.7499999999999999E-3</v>
      </c>
      <c r="AU40">
        <f t="shared" ca="1" si="42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</v>
      </c>
      <c r="BA40">
        <f t="shared" ca="1" si="43"/>
        <v>0</v>
      </c>
      <c r="BB40">
        <f t="shared" ca="1" si="44"/>
        <v>0</v>
      </c>
      <c r="BC40">
        <f t="shared" si="45"/>
        <v>0</v>
      </c>
      <c r="BE40">
        <f>Logistic((D40-$B$2)/$B$2)</f>
        <v>0.64692945044176664</v>
      </c>
      <c r="BF40">
        <f t="shared" si="46"/>
        <v>0</v>
      </c>
      <c r="BG40">
        <f t="shared" si="47"/>
        <v>0</v>
      </c>
      <c r="BH40">
        <f>Logistic(($B$3-G40)/(G40+1))</f>
        <v>0.99859508513457895</v>
      </c>
      <c r="BI40">
        <f>IF(G40&gt;$B$3,1,0)</f>
        <v>0</v>
      </c>
      <c r="BJ40">
        <f>IF(H40&gt;$B$5,1,0)</f>
        <v>0</v>
      </c>
      <c r="BK40">
        <f>EXP(-($B$4-ABS(H40))/MAX(ABS(H40),0.000000001))</f>
        <v>4.1921097212671696E-116</v>
      </c>
      <c r="BL40">
        <f t="shared" si="48"/>
        <v>0</v>
      </c>
      <c r="BM40">
        <f>EXP(-($B$5-I40)/MAX(I40,0.000000001))</f>
        <v>1.8703466827523275E-23</v>
      </c>
      <c r="BN40">
        <f>IF(F40&gt;N40,(F40-N40)/$B$6,0)+IF(F40&lt;M40,(M40-F40)/$B$6,0)</f>
        <v>0.49750000000000005</v>
      </c>
      <c r="BO40">
        <f>ABS(K40/$B$4)</f>
        <v>3.7499999999999999E-3</v>
      </c>
      <c r="BP40">
        <f>Logistic(ABS(H40)/$B$4)</f>
        <v>1.8749978027374863E-3</v>
      </c>
      <c r="BQ40">
        <f>Logistic(($B$3-G40)/G40)</f>
        <v>0.99998084746381999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53.038981999999997</v>
      </c>
      <c r="C45">
        <v>10.08517</v>
      </c>
      <c r="D45">
        <v>22.500133000000002</v>
      </c>
      <c r="E45">
        <v>3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92D050"/>
  </sheetPr>
  <dimension ref="A1:BQ45"/>
  <sheetViews>
    <sheetView topLeftCell="A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2.140625" bestFit="1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3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236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126.31</v>
      </c>
      <c r="F15">
        <f>VALUE(MID(C15,FIND("d[",C15)+2,FIND("]",C15,FIND("d[",C15))-(FIND("d[",C15)+2)))</f>
        <v>6.18</v>
      </c>
      <c r="G15">
        <f>VALUE(MID(C15,FIND("s_dot[",C15)+6,FIND("]",C15,FIND("s_dot[",C15))-(FIND("s_dot[",C15)+6)))</f>
        <v>1.56</v>
      </c>
      <c r="H15">
        <f>VALUE(MID(C15,FIND("s_dot2[",C15)+7,FIND("]",C15,FIND("s_dot2[",C15))-(FIND("s_dot2[",C15)+7)))</f>
        <v>4.5</v>
      </c>
      <c r="I15">
        <f>VALUE(MID(C15,FIND("s_dot3[",C15)+7,FIND("]",C15,FIND("s_dot3[",C15))-(FIND("s_dot3[",C15)+7)))</f>
        <v>1.5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1" si="0">$B$6*(L15-1)</f>
        <v>4</v>
      </c>
      <c r="N15">
        <f t="shared" ref="N15:N31" si="1">$B$6*L15</f>
        <v>8</v>
      </c>
      <c r="O15">
        <f>(N15+M15)/2</f>
        <v>6</v>
      </c>
      <c r="P15" t="e">
        <f>GetLeadingCarRow($B$45:$E$56,L15,$E$15, $E$15)</f>
        <v>#VALUE!</v>
      </c>
      <c r="Q15">
        <f ca="1">IFERROR(INDIRECT(CONCATENATE("B", P15))-$E$15,1000000)</f>
        <v>1000000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124.56310870248194</v>
      </c>
      <c r="C16" t="s">
        <v>286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126.67</v>
      </c>
      <c r="F16">
        <f>VALUE(MID(C16,FIND("d[",C16)+2,FIND("]",C16,FIND("d[",C16))-(FIND("d[",C16)+2)))</f>
        <v>6.18</v>
      </c>
      <c r="G16">
        <f>VALUE(MID(C16,FIND("s_dot[",C16)+6,FIND("]",C16,FIND("s_dot[",C16))-(FIND("s_dot[",C16)+6)))</f>
        <v>0.92</v>
      </c>
      <c r="H16">
        <f>VALUE(MID(C16,FIND("s_dot2[",C16)+7,FIND("]",C16,FIND("s_dot2[",C16))-(FIND("s_dot2[",C16)+7)))</f>
        <v>-1.61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 t="e">
        <f t="shared" ref="P16:P40" si="5">GetLeadingCarRow($B$45:$E$56,L16,$E$15, $E$15)</f>
        <v>#VALUE!</v>
      </c>
      <c r="Q16">
        <f ca="1">IFERROR(INDIRECT(CONCATENATE("B", P16))-$E$15,1000000)</f>
        <v>1000000</v>
      </c>
      <c r="R16">
        <f ca="1">IFERROR(INDIRECT(CONCATENATE("D", P16)),100)</f>
        <v>100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 t="e">
        <f>GetLeadingCarRow($B$45:$E$56,L16,$E$15,E16)</f>
        <v>#VALUE!</v>
      </c>
      <c r="W16">
        <f ca="1">IFERROR(INDIRECT(CONCATENATE("B", V16))-E16,1000000000)</f>
        <v>1000000000</v>
      </c>
      <c r="X16">
        <f ca="1">IFERROR(INDIRECT(CONCATENATE("D", V16)),100)</f>
        <v>100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0</v>
      </c>
      <c r="AC16">
        <f>E16-$E$15</f>
        <v>0.35999999999999943</v>
      </c>
      <c r="AD16">
        <f>$F$15-(-AB16/AC16)*$E$15</f>
        <v>6.18</v>
      </c>
      <c r="AE16">
        <f>AD16*-AC16</f>
        <v>-2.2247999999999966</v>
      </c>
      <c r="AF16">
        <f>SQRT(AB16^2+AC16^2)</f>
        <v>0.35999999999999943</v>
      </c>
      <c r="AG16">
        <f>GetSmallestNormalDistance($B$45:$E$56,AB16,AC16,AF16,$L$15,L16)</f>
        <v>1000000000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0.49825243480992776</v>
      </c>
      <c r="AL16">
        <f>IF(H16+ABS(K16)&lt;0,Logistic(SQRT(H16^2+K16^2)/$B$4),0)</f>
        <v>0.10028674743251149</v>
      </c>
      <c r="AM16">
        <f>IF(G16&gt;$B$3,1,0)</f>
        <v>0</v>
      </c>
      <c r="AN16">
        <f>IF(H16&gt;$B$4,1,0)</f>
        <v>0</v>
      </c>
      <c r="AO16">
        <f>ABS(H16)/$B$4</f>
        <v>0.20125000000000001</v>
      </c>
      <c r="AP16">
        <f>Logistic(I16/$B$5)</f>
        <v>0.12435300177159621</v>
      </c>
      <c r="AQ16">
        <f>IF(I16&gt;$B$5,1,0)</f>
        <v>0</v>
      </c>
      <c r="AR16">
        <f>Logistic(ABS(F16-O16)/($B$6/2))</f>
        <v>4.4969649583600189E-2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1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1" si="8">Logistic(($B$3-G16)/(G16+1))</f>
        <v>0.99994880123185204</v>
      </c>
      <c r="BI16">
        <f t="shared" ref="BI16:BI31" si="9">IF(G16&gt;$B$3,1,0)</f>
        <v>0</v>
      </c>
      <c r="BJ16">
        <f t="shared" ref="BJ16:BJ31" si="10">IF(H16&gt;$B$5,1,0)</f>
        <v>0</v>
      </c>
      <c r="BK16">
        <f t="shared" ref="BK16:BK31" si="11">EXP(-($B$4-ABS(H16))/MAX(ABS(H16),0.000000001))</f>
        <v>1.8893372129867442E-2</v>
      </c>
      <c r="BL16">
        <f>IF(G16&lt;ABS(H16),1,0)</f>
        <v>1</v>
      </c>
      <c r="BM16">
        <f t="shared" ref="BM16:BM31" si="12">EXP(-($B$5-I16)/MAX(I16,0.000000001))</f>
        <v>4.9787068367863944E-2</v>
      </c>
      <c r="BN16">
        <f t="shared" ref="BN16:BN31" si="13">IF(F16&gt;N16,(F16-N16)/$B$6,0)+IF(F16&lt;M16,(M16-F16)/$B$6,0)</f>
        <v>0</v>
      </c>
      <c r="BO16">
        <f t="shared" ref="BO16:BO31" si="14">ABS(K16/$B$4)</f>
        <v>0</v>
      </c>
      <c r="BP16">
        <f t="shared" ref="BP16:BP31" si="15">Logistic(ABS(H16)/$B$4)</f>
        <v>0.10028674743251149</v>
      </c>
      <c r="BQ16">
        <f t="shared" ref="BQ16:BQ31" si="16">Logistic(($B$3-G16)/G16)</f>
        <v>0.99999999947732965</v>
      </c>
    </row>
    <row r="17" spans="1:69" x14ac:dyDescent="0.25">
      <c r="A17" s="1" t="s">
        <v>15</v>
      </c>
      <c r="B17">
        <f t="shared" ca="1" si="2"/>
        <v>101.05544541584061</v>
      </c>
      <c r="C17" t="s">
        <v>285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126.83</v>
      </c>
      <c r="F17">
        <f t="shared" ref="F17:F40" si="19">VALUE(MID(C17,FIND("d[",C17)+2,FIND("]",C17,FIND("d[",C17))-(FIND("d[",C17)+2)))</f>
        <v>6.18</v>
      </c>
      <c r="G17">
        <f t="shared" ref="G17:G40" si="20">VALUE(MID(C17,FIND("s_dot[",C17)+6,FIND("]",C17,FIND("s_dot[",C17))-(FIND("s_dot[",C17)+6)))</f>
        <v>1.32</v>
      </c>
      <c r="H17">
        <f t="shared" ref="H17:H40" si="21">VALUE(MID(C17,FIND("s_dot2[",C17)+7,FIND("]",C17,FIND("s_dot2[",C17))-(FIND("s_dot2[",C17)+7)))</f>
        <v>-0.61</v>
      </c>
      <c r="I17">
        <f t="shared" ref="I17:I40" si="22">VALUE(MID(C17,FIND("s_dot3[",C17)+7,FIND("]",C17,FIND("s_dot3[",C17))-(FIND("s_dot3[",C17)+7)))</f>
        <v>1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 t="e">
        <f t="shared" si="5"/>
        <v>#VALUE!</v>
      </c>
      <c r="Q17">
        <f t="shared" ref="Q17:Q40" ca="1" si="25">IFERROR(INDIRECT(CONCATENATE("B", P17))-$E$15,1000000)</f>
        <v>1000000</v>
      </c>
      <c r="R17">
        <f t="shared" ref="R17:R40" ca="1" si="26">IFERROR(INDIRECT(CONCATENATE("D", P17)),100)</f>
        <v>100</v>
      </c>
      <c r="S17" t="e">
        <f t="shared" ref="S17:S40" si="27">GetFollowingCarRow($B$45:$E$56,L17,$E$15, $E$15)</f>
        <v>#VALUE!</v>
      </c>
      <c r="T17">
        <f t="shared" ref="T17:T40" ca="1" si="28">IFERROR(INDIRECT(CONCATENATE("B", S17))-$E$15,1000000)</f>
        <v>1000000</v>
      </c>
      <c r="U17">
        <f t="shared" ref="U17:U40" ca="1" si="29">IFERROR(INDIRECT(CONCATENATE("D", S17)),100)</f>
        <v>100</v>
      </c>
      <c r="V17" t="e">
        <f t="shared" ref="V17:V40" si="30">GetLeadingCarRow($B$45:$E$56,L17,$E$15,E17)</f>
        <v>#VALUE!</v>
      </c>
      <c r="W17">
        <f t="shared" ref="W17:W40" ca="1" si="31">IFERROR(INDIRECT(CONCATENATE("B", V17))-E17,1000000000)</f>
        <v>1000000000</v>
      </c>
      <c r="X17">
        <f t="shared" ref="X17:X40" ca="1" si="32">IFERROR(INDIRECT(CONCATENATE("D", V17)),100)</f>
        <v>100</v>
      </c>
      <c r="Y17" t="e">
        <f>GetFollowingCarRow($B$45:$E$54,L17,$E$15,E17)</f>
        <v>#VALUE!</v>
      </c>
      <c r="Z17">
        <f t="shared" ref="Z17:Z40" ca="1" si="33">IFERROR(INDIRECT(CONCATENATE("B", Y17))-E17,1000000000)</f>
        <v>1000000000</v>
      </c>
      <c r="AA17">
        <f t="shared" ref="AA17:AA40" ca="1" si="34">IFERROR(INDIRECT(CONCATENATE("D", Y17)),100)</f>
        <v>100</v>
      </c>
      <c r="AB17">
        <f t="shared" ref="AB17:AB40" si="35">$F$15-F17</f>
        <v>0</v>
      </c>
      <c r="AC17">
        <f t="shared" ref="AC17:AC40" si="36">E17-$E$15</f>
        <v>0.51999999999999602</v>
      </c>
      <c r="AD17">
        <f t="shared" ref="AD17:AD40" si="37">$F$15-(-AB17/AC17)*$E$15</f>
        <v>6.18</v>
      </c>
      <c r="AE17">
        <f t="shared" ref="AE17:AE40" si="38">AD17*-AC17</f>
        <v>-3.2135999999999751</v>
      </c>
      <c r="AF17">
        <f t="shared" ref="AF17:AF40" si="39">SQRT(AB17^2+AC17^2)</f>
        <v>0.51999999999999602</v>
      </c>
      <c r="AG17">
        <f t="shared" ref="AG17:AG40" si="40">GetSmallestNormalDistance($B$45:$E$56,AB17,AC17,AF17,$L$15,L17)</f>
        <v>1000000000</v>
      </c>
      <c r="AH17">
        <f t="shared" ref="AH17:AH40" si="41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0.40422178166336242</v>
      </c>
      <c r="AL17">
        <f>IF(H17+ABS(K17)&lt;0,Logistic(SQRT(H17^2+K17^2)/$B$4),0)</f>
        <v>3.8106538972214943E-2</v>
      </c>
      <c r="AM17">
        <f>IF(G17&gt;$B$3,1,0)</f>
        <v>0</v>
      </c>
      <c r="AN17">
        <f>IF(H17&gt;$B$4,1,0)</f>
        <v>0</v>
      </c>
      <c r="AO17">
        <f>ABS(H17)/$B$4</f>
        <v>7.6249999999999998E-2</v>
      </c>
      <c r="AP17">
        <f>Logistic(I17/$B$5)</f>
        <v>6.2418746747512487E-2</v>
      </c>
      <c r="AQ17">
        <f>IF(I17&gt;$B$5,1,0)</f>
        <v>0</v>
      </c>
      <c r="AR17">
        <f>Logistic(ABS(F17-O17)/($B$6/2))</f>
        <v>4.4969649583600189E-2</v>
      </c>
      <c r="AS17">
        <f>IF(OR(F17&lt;M17,F17&gt;N17),1,0)</f>
        <v>0</v>
      </c>
      <c r="AT17">
        <f>ABS(K17)/$B$4</f>
        <v>0</v>
      </c>
      <c r="AU17">
        <f t="shared" ref="AU17:AU40" ca="1" si="42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3">IF(OR(ABS(Q17)&lt;$B$8,ABS(W17)&lt;$B$8),1,0)</f>
        <v>0</v>
      </c>
      <c r="BB17">
        <f t="shared" ref="BB17:BB40" ca="1" si="44">IF(OR(ABS(T17)&lt;$B$8,ABS(Z17)&lt;$B$8),1,0)</f>
        <v>0</v>
      </c>
      <c r="BC17">
        <f t="shared" ref="BC17:BC40" si="45">IFERROR(IF(P17=Y17,1,0),0)</f>
        <v>0</v>
      </c>
      <c r="BE17">
        <f t="shared" si="7"/>
        <v>0</v>
      </c>
      <c r="BF17">
        <f t="shared" ref="BF17:BF40" si="46">IF(G17&lt;=0,1,0)</f>
        <v>0</v>
      </c>
      <c r="BG17">
        <f t="shared" ref="BG17:BG40" si="47">IF(G17&lt;0,1,0)</f>
        <v>0</v>
      </c>
      <c r="BH17">
        <f t="shared" si="8"/>
        <v>0.99962351309323216</v>
      </c>
      <c r="BI17">
        <f t="shared" si="9"/>
        <v>0</v>
      </c>
      <c r="BJ17">
        <f t="shared" si="10"/>
        <v>0</v>
      </c>
      <c r="BK17">
        <f t="shared" si="11"/>
        <v>5.4780897783779199E-6</v>
      </c>
      <c r="BL17">
        <f t="shared" ref="BL17:BL40" si="48">IF(G17&lt;ABS(H17),1,0)</f>
        <v>0</v>
      </c>
      <c r="BM17">
        <f t="shared" si="12"/>
        <v>9.1188196555451624E-4</v>
      </c>
      <c r="BN17">
        <f t="shared" si="13"/>
        <v>0</v>
      </c>
      <c r="BO17">
        <f t="shared" si="14"/>
        <v>0</v>
      </c>
      <c r="BP17">
        <f t="shared" si="15"/>
        <v>3.8106538972214943E-2</v>
      </c>
      <c r="BQ17">
        <f t="shared" si="16"/>
        <v>0.9999994328322257</v>
      </c>
    </row>
    <row r="18" spans="1:69" x14ac:dyDescent="0.25">
      <c r="A18" s="1" t="s">
        <v>14</v>
      </c>
      <c r="B18">
        <f t="shared" ca="1" si="2"/>
        <v>77.869804913947803</v>
      </c>
      <c r="C18" t="s">
        <v>284</v>
      </c>
      <c r="D18">
        <f t="shared" si="17"/>
        <v>50</v>
      </c>
      <c r="E18">
        <f t="shared" si="18"/>
        <v>127.07</v>
      </c>
      <c r="F18">
        <f t="shared" si="19"/>
        <v>6.18</v>
      </c>
      <c r="G18">
        <f t="shared" si="20"/>
        <v>1.92</v>
      </c>
      <c r="H18">
        <f t="shared" si="21"/>
        <v>0.89</v>
      </c>
      <c r="I18">
        <f t="shared" si="22"/>
        <v>0.5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 t="e">
        <f t="shared" si="5"/>
        <v>#VALUE!</v>
      </c>
      <c r="Q18">
        <f t="shared" ca="1" si="25"/>
        <v>1000000</v>
      </c>
      <c r="R18">
        <f t="shared" ca="1" si="26"/>
        <v>100</v>
      </c>
      <c r="S18" t="e">
        <f t="shared" si="27"/>
        <v>#VALUE!</v>
      </c>
      <c r="T18">
        <f t="shared" ca="1" si="28"/>
        <v>1000000</v>
      </c>
      <c r="U18">
        <f t="shared" ca="1" si="29"/>
        <v>100</v>
      </c>
      <c r="V18" t="e">
        <f t="shared" si="30"/>
        <v>#VALUE!</v>
      </c>
      <c r="W18">
        <f t="shared" ca="1" si="31"/>
        <v>1000000000</v>
      </c>
      <c r="X18">
        <f t="shared" ca="1" si="32"/>
        <v>100</v>
      </c>
      <c r="Y18" t="e">
        <f>GetFollowingCarRow($B$45:$E$54,L18,$E$15,E18)</f>
        <v>#VALUE!</v>
      </c>
      <c r="Z18">
        <f t="shared" ca="1" si="33"/>
        <v>1000000000</v>
      </c>
      <c r="AA18">
        <f t="shared" ca="1" si="34"/>
        <v>100</v>
      </c>
      <c r="AB18">
        <f t="shared" si="35"/>
        <v>0</v>
      </c>
      <c r="AC18">
        <f t="shared" si="36"/>
        <v>0.75999999999999091</v>
      </c>
      <c r="AD18">
        <f t="shared" si="37"/>
        <v>6.18</v>
      </c>
      <c r="AE18">
        <f t="shared" si="38"/>
        <v>-4.6967999999999437</v>
      </c>
      <c r="AF18">
        <f t="shared" si="39"/>
        <v>0.75999999999999091</v>
      </c>
      <c r="AG18">
        <f t="shared" si="40"/>
        <v>1000000000</v>
      </c>
      <c r="AH18">
        <f t="shared" si="41"/>
        <v>0</v>
      </c>
      <c r="AI18">
        <f>IF(G18&lt;=0,1,0)</f>
        <v>0</v>
      </c>
      <c r="AJ18">
        <f>IF(G18&lt;0,1,0)</f>
        <v>0</v>
      </c>
      <c r="AK18">
        <f>MAX(($B$3-G18)/(G18 + 1),0) / $B$3</f>
        <v>0.31147921965579123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0.11125</v>
      </c>
      <c r="AP18">
        <f>Logistic(I18/$B$5)</f>
        <v>3.1239831446031246E-2</v>
      </c>
      <c r="AQ18">
        <f>IF(I18&gt;$B$5,1,0)</f>
        <v>0</v>
      </c>
      <c r="AR18">
        <f>Logistic(ABS(F18-O18)/($B$6/2))</f>
        <v>4.4969649583600189E-2</v>
      </c>
      <c r="AS18">
        <f>IF(OR(F18&lt;M18,F18&gt;N18),1,0)</f>
        <v>0</v>
      </c>
      <c r="AT18">
        <f>ABS(K18)/$B$4</f>
        <v>0</v>
      </c>
      <c r="AU18">
        <f t="shared" ca="1" si="42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43"/>
        <v>0</v>
      </c>
      <c r="BB18">
        <f t="shared" ca="1" si="44"/>
        <v>0</v>
      </c>
      <c r="BC18">
        <f t="shared" si="45"/>
        <v>0</v>
      </c>
      <c r="BE18">
        <f t="shared" si="7"/>
        <v>0</v>
      </c>
      <c r="BF18">
        <f t="shared" si="46"/>
        <v>0</v>
      </c>
      <c r="BG18">
        <f t="shared" si="47"/>
        <v>0</v>
      </c>
      <c r="BH18">
        <f t="shared" si="8"/>
        <v>0.99730885449946816</v>
      </c>
      <c r="BI18">
        <f t="shared" si="9"/>
        <v>0</v>
      </c>
      <c r="BJ18">
        <f t="shared" si="10"/>
        <v>0</v>
      </c>
      <c r="BK18">
        <f t="shared" si="11"/>
        <v>3.3925312596753406E-4</v>
      </c>
      <c r="BL18">
        <f t="shared" si="48"/>
        <v>0</v>
      </c>
      <c r="BM18">
        <f t="shared" si="12"/>
        <v>3.0590232050182579E-7</v>
      </c>
      <c r="BN18">
        <f t="shared" si="13"/>
        <v>0</v>
      </c>
      <c r="BO18">
        <f t="shared" si="14"/>
        <v>0</v>
      </c>
      <c r="BP18">
        <f t="shared" si="15"/>
        <v>5.5567700392084543E-2</v>
      </c>
      <c r="BQ18">
        <f t="shared" si="16"/>
        <v>0.99991381196954077</v>
      </c>
    </row>
    <row r="19" spans="1:69" x14ac:dyDescent="0.25">
      <c r="A19" s="1" t="s">
        <v>13</v>
      </c>
      <c r="B19">
        <f t="shared" ca="1" si="2"/>
        <v>72.122936755358978</v>
      </c>
      <c r="C19" t="s">
        <v>283</v>
      </c>
      <c r="D19">
        <f t="shared" si="17"/>
        <v>50</v>
      </c>
      <c r="E19">
        <f t="shared" si="18"/>
        <v>127.15</v>
      </c>
      <c r="F19">
        <f t="shared" si="19"/>
        <v>6.18</v>
      </c>
      <c r="G19">
        <f t="shared" si="20"/>
        <v>2.12</v>
      </c>
      <c r="H19">
        <f t="shared" si="21"/>
        <v>1.39</v>
      </c>
      <c r="I19">
        <f t="shared" si="22"/>
        <v>1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 t="e">
        <f t="shared" si="5"/>
        <v>#VALUE!</v>
      </c>
      <c r="Q19">
        <f t="shared" ca="1" si="25"/>
        <v>1000000</v>
      </c>
      <c r="R19">
        <f t="shared" ca="1" si="26"/>
        <v>100</v>
      </c>
      <c r="S19" t="e">
        <f t="shared" si="27"/>
        <v>#VALUE!</v>
      </c>
      <c r="T19">
        <f t="shared" ca="1" si="28"/>
        <v>1000000</v>
      </c>
      <c r="U19">
        <f t="shared" ca="1" si="29"/>
        <v>100</v>
      </c>
      <c r="V19" t="e">
        <f t="shared" si="30"/>
        <v>#VALUE!</v>
      </c>
      <c r="W19">
        <f t="shared" ca="1" si="31"/>
        <v>1000000000</v>
      </c>
      <c r="X19">
        <f t="shared" ca="1" si="32"/>
        <v>100</v>
      </c>
      <c r="Y19" t="e">
        <f>GetFollowingCarRow($B$45:$E$54,L19,$E$15,E19)</f>
        <v>#VALUE!</v>
      </c>
      <c r="Z19">
        <f t="shared" ca="1" si="33"/>
        <v>1000000000</v>
      </c>
      <c r="AA19">
        <f t="shared" ca="1" si="34"/>
        <v>100</v>
      </c>
      <c r="AB19">
        <f t="shared" si="35"/>
        <v>0</v>
      </c>
      <c r="AC19">
        <f t="shared" si="36"/>
        <v>0.84000000000000341</v>
      </c>
      <c r="AD19">
        <f t="shared" si="37"/>
        <v>6.18</v>
      </c>
      <c r="AE19">
        <f t="shared" si="38"/>
        <v>-5.1912000000000207</v>
      </c>
      <c r="AF19">
        <f t="shared" si="39"/>
        <v>0.84000000000000341</v>
      </c>
      <c r="AG19">
        <f t="shared" si="40"/>
        <v>1000000000</v>
      </c>
      <c r="AH19">
        <f t="shared" si="41"/>
        <v>0</v>
      </c>
      <c r="AI19">
        <f>IF(G19&lt;=0,1,0)</f>
        <v>0</v>
      </c>
      <c r="AJ19">
        <f>IF(G19&lt;0,1,0)</f>
        <v>0</v>
      </c>
      <c r="AK19">
        <f>MAX(($B$3-G19)/(G19 + 1),0) / $B$3</f>
        <v>0.28849174702143593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0.17374999999999999</v>
      </c>
      <c r="AP19">
        <f>Logistic(I19/$B$5)</f>
        <v>6.2418746747512487E-2</v>
      </c>
      <c r="AQ19">
        <f>IF(I19&gt;$B$5,1,0)</f>
        <v>0</v>
      </c>
      <c r="AR19">
        <f>Logistic(ABS(F19-O19)/($B$6/2))</f>
        <v>4.4969649583600189E-2</v>
      </c>
      <c r="AS19">
        <f>IF(OR(F19&lt;M19,F19&gt;N19),1,0)</f>
        <v>0</v>
      </c>
      <c r="AT19">
        <f>ABS(K19)/$B$4</f>
        <v>0</v>
      </c>
      <c r="AU19">
        <f t="shared" ca="1" si="42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43"/>
        <v>0</v>
      </c>
      <c r="BB19">
        <f t="shared" ca="1" si="44"/>
        <v>0</v>
      </c>
      <c r="BC19">
        <f t="shared" si="45"/>
        <v>0</v>
      </c>
      <c r="BE19">
        <f t="shared" si="7"/>
        <v>0</v>
      </c>
      <c r="BF19">
        <f t="shared" si="46"/>
        <v>0</v>
      </c>
      <c r="BG19">
        <f t="shared" si="47"/>
        <v>0</v>
      </c>
      <c r="BH19">
        <f t="shared" si="8"/>
        <v>0.9956205835775872</v>
      </c>
      <c r="BI19">
        <f t="shared" si="9"/>
        <v>0</v>
      </c>
      <c r="BJ19">
        <f t="shared" si="10"/>
        <v>0</v>
      </c>
      <c r="BK19">
        <f t="shared" si="11"/>
        <v>8.6051391083961353E-3</v>
      </c>
      <c r="BL19">
        <f t="shared" si="48"/>
        <v>0</v>
      </c>
      <c r="BM19">
        <f t="shared" si="12"/>
        <v>9.1188196555451624E-4</v>
      </c>
      <c r="BN19">
        <f t="shared" si="13"/>
        <v>0</v>
      </c>
      <c r="BO19">
        <f t="shared" si="14"/>
        <v>0</v>
      </c>
      <c r="BP19">
        <f t="shared" si="15"/>
        <v>8.665710155761211E-2</v>
      </c>
      <c r="BQ19">
        <f t="shared" si="16"/>
        <v>0.99975552781670285</v>
      </c>
    </row>
    <row r="20" spans="1:69" x14ac:dyDescent="0.25">
      <c r="A20" s="1" t="s">
        <v>12</v>
      </c>
      <c r="B20">
        <f t="shared" ca="1" si="2"/>
        <v>67.068462350817029</v>
      </c>
      <c r="C20" t="s">
        <v>282</v>
      </c>
      <c r="D20">
        <f t="shared" si="17"/>
        <v>50</v>
      </c>
      <c r="E20">
        <f t="shared" si="18"/>
        <v>127.23</v>
      </c>
      <c r="F20">
        <f t="shared" si="19"/>
        <v>6.18</v>
      </c>
      <c r="G20">
        <f t="shared" si="20"/>
        <v>2.3199999999999998</v>
      </c>
      <c r="H20">
        <f t="shared" si="21"/>
        <v>1.89</v>
      </c>
      <c r="I20">
        <f t="shared" si="22"/>
        <v>1.5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 t="e">
        <f t="shared" si="5"/>
        <v>#VALUE!</v>
      </c>
      <c r="Q20">
        <f t="shared" ca="1" si="25"/>
        <v>1000000</v>
      </c>
      <c r="R20">
        <f t="shared" ca="1" si="26"/>
        <v>100</v>
      </c>
      <c r="S20" t="e">
        <f t="shared" si="27"/>
        <v>#VALUE!</v>
      </c>
      <c r="T20">
        <f t="shared" ca="1" si="28"/>
        <v>1000000</v>
      </c>
      <c r="U20">
        <f t="shared" ca="1" si="29"/>
        <v>100</v>
      </c>
      <c r="V20" t="e">
        <f t="shared" si="30"/>
        <v>#VALUE!</v>
      </c>
      <c r="W20">
        <f t="shared" ca="1" si="31"/>
        <v>1000000000</v>
      </c>
      <c r="X20">
        <f t="shared" ca="1" si="32"/>
        <v>100</v>
      </c>
      <c r="Y20" t="e">
        <f>GetFollowingCarRow($B$45:$E$54,L20,$E$15,E20)</f>
        <v>#VALUE!</v>
      </c>
      <c r="Z20">
        <f t="shared" ca="1" si="33"/>
        <v>1000000000</v>
      </c>
      <c r="AA20">
        <f t="shared" ca="1" si="34"/>
        <v>100</v>
      </c>
      <c r="AB20">
        <f t="shared" si="35"/>
        <v>0</v>
      </c>
      <c r="AC20">
        <f t="shared" si="36"/>
        <v>0.92000000000000171</v>
      </c>
      <c r="AD20">
        <f t="shared" si="37"/>
        <v>6.18</v>
      </c>
      <c r="AE20">
        <f t="shared" si="38"/>
        <v>-5.6856000000000106</v>
      </c>
      <c r="AF20">
        <f t="shared" si="39"/>
        <v>0.92000000000000171</v>
      </c>
      <c r="AG20">
        <f t="shared" si="40"/>
        <v>1000000000</v>
      </c>
      <c r="AH20">
        <f t="shared" si="41"/>
        <v>0</v>
      </c>
      <c r="AI20">
        <f>IF(G20&lt;=0,1,0)</f>
        <v>0</v>
      </c>
      <c r="AJ20">
        <f>IF(G20&lt;0,1,0)</f>
        <v>0</v>
      </c>
      <c r="AK20">
        <f>MAX(($B$3-G20)/(G20 + 1),0) / $B$3</f>
        <v>0.26827384940326809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0.23624999999999999</v>
      </c>
      <c r="AP20">
        <f>Logistic(I20/$B$5)</f>
        <v>9.3476303969227723E-2</v>
      </c>
      <c r="AQ20">
        <f>IF(I20&gt;$B$5,1,0)</f>
        <v>0</v>
      </c>
      <c r="AR20">
        <f>Logistic(ABS(F20-O20)/($B$6/2))</f>
        <v>4.4969649583600189E-2</v>
      </c>
      <c r="AS20">
        <f>IF(OR(F20&lt;M20,F20&gt;N20),1,0)</f>
        <v>0</v>
      </c>
      <c r="AT20">
        <f>ABS(K20)/$B$4</f>
        <v>0</v>
      </c>
      <c r="AU20">
        <f t="shared" ca="1" si="42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43"/>
        <v>0</v>
      </c>
      <c r="BB20">
        <f t="shared" ca="1" si="44"/>
        <v>0</v>
      </c>
      <c r="BC20">
        <f t="shared" si="45"/>
        <v>0</v>
      </c>
      <c r="BE20">
        <f t="shared" si="7"/>
        <v>0</v>
      </c>
      <c r="BF20">
        <f t="shared" si="46"/>
        <v>0</v>
      </c>
      <c r="BG20">
        <f t="shared" si="47"/>
        <v>0</v>
      </c>
      <c r="BH20">
        <f t="shared" si="8"/>
        <v>0.99328215914920126</v>
      </c>
      <c r="BI20">
        <f t="shared" si="9"/>
        <v>0</v>
      </c>
      <c r="BJ20">
        <f t="shared" si="10"/>
        <v>0</v>
      </c>
      <c r="BK20">
        <f t="shared" si="11"/>
        <v>3.9446725741938936E-2</v>
      </c>
      <c r="BL20">
        <f t="shared" si="48"/>
        <v>0</v>
      </c>
      <c r="BM20">
        <f t="shared" si="12"/>
        <v>1.3123728736940968E-2</v>
      </c>
      <c r="BN20">
        <f t="shared" si="13"/>
        <v>0</v>
      </c>
      <c r="BO20">
        <f t="shared" si="14"/>
        <v>0</v>
      </c>
      <c r="BP20">
        <f t="shared" si="15"/>
        <v>0.11757862963473671</v>
      </c>
      <c r="BQ20">
        <f t="shared" si="16"/>
        <v>0.99942070240667902</v>
      </c>
    </row>
    <row r="21" spans="1:69" x14ac:dyDescent="0.25">
      <c r="A21" s="1" t="s">
        <v>33</v>
      </c>
      <c r="B21">
        <f t="shared" ca="1" si="2"/>
        <v>84.461800742917362</v>
      </c>
      <c r="C21" t="s">
        <v>281</v>
      </c>
      <c r="D21">
        <f t="shared" si="17"/>
        <v>50</v>
      </c>
      <c r="E21">
        <f t="shared" si="18"/>
        <v>126.99</v>
      </c>
      <c r="F21">
        <f t="shared" si="19"/>
        <v>6.18</v>
      </c>
      <c r="G21">
        <f t="shared" si="20"/>
        <v>1.72</v>
      </c>
      <c r="H21">
        <f t="shared" si="21"/>
        <v>0.39</v>
      </c>
      <c r="I21">
        <f t="shared" si="22"/>
        <v>0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 t="e">
        <f t="shared" si="5"/>
        <v>#VALUE!</v>
      </c>
      <c r="Q21">
        <f t="shared" ca="1" si="25"/>
        <v>1000000</v>
      </c>
      <c r="R21">
        <f t="shared" ca="1" si="26"/>
        <v>100</v>
      </c>
      <c r="S21" t="e">
        <f t="shared" si="27"/>
        <v>#VALUE!</v>
      </c>
      <c r="T21">
        <f t="shared" ca="1" si="28"/>
        <v>1000000</v>
      </c>
      <c r="U21">
        <f t="shared" ca="1" si="29"/>
        <v>100</v>
      </c>
      <c r="V21" t="e">
        <f t="shared" si="30"/>
        <v>#VALUE!</v>
      </c>
      <c r="W21">
        <f t="shared" ca="1" si="31"/>
        <v>1000000000</v>
      </c>
      <c r="X21">
        <f t="shared" ca="1" si="32"/>
        <v>100</v>
      </c>
      <c r="Y21" t="e">
        <f>GetFollowingCarRow($B$45:$E$54,L21,$E$15,E21)</f>
        <v>#VALUE!</v>
      </c>
      <c r="Z21">
        <f t="shared" ca="1" si="33"/>
        <v>1000000000</v>
      </c>
      <c r="AA21">
        <f t="shared" ca="1" si="34"/>
        <v>100</v>
      </c>
      <c r="AB21">
        <f t="shared" si="35"/>
        <v>0</v>
      </c>
      <c r="AC21">
        <f t="shared" si="36"/>
        <v>0.67999999999999261</v>
      </c>
      <c r="AD21">
        <f t="shared" si="37"/>
        <v>6.18</v>
      </c>
      <c r="AE21">
        <f t="shared" si="38"/>
        <v>-4.2023999999999537</v>
      </c>
      <c r="AF21">
        <f t="shared" si="39"/>
        <v>0.67999999999999261</v>
      </c>
      <c r="AG21">
        <f t="shared" si="40"/>
        <v>1000000000</v>
      </c>
      <c r="AH21">
        <f t="shared" si="41"/>
        <v>0</v>
      </c>
      <c r="AI21">
        <f>IF(G21&lt;=0,1,0)</f>
        <v>0</v>
      </c>
      <c r="AJ21">
        <f>IF(G21&lt;0,1,0)</f>
        <v>0</v>
      </c>
      <c r="AK21">
        <f>MAX(($B$3-G21)/(G21 + 1),0) / $B$3</f>
        <v>0.33784720297166942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4.8750000000000002E-2</v>
      </c>
      <c r="AP21">
        <f>Logistic(I21/$B$5)</f>
        <v>0</v>
      </c>
      <c r="AQ21">
        <f>IF(I21&gt;$B$5,1,0)</f>
        <v>0</v>
      </c>
      <c r="AR21">
        <f>Logistic(ABS(F21-O21)/($B$6/2))</f>
        <v>4.4969649583600189E-2</v>
      </c>
      <c r="AS21">
        <f>IF(OR(F21&lt;M21,F21&gt;N21),1,0)</f>
        <v>0</v>
      </c>
      <c r="AT21">
        <f>ABS(K21)/$B$4</f>
        <v>0</v>
      </c>
      <c r="AU21">
        <f t="shared" ca="1" si="42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3"/>
        <v>0</v>
      </c>
      <c r="BB21">
        <f t="shared" ca="1" si="44"/>
        <v>0</v>
      </c>
      <c r="BC21">
        <f t="shared" si="45"/>
        <v>0</v>
      </c>
      <c r="BE21">
        <f t="shared" si="7"/>
        <v>0</v>
      </c>
      <c r="BF21">
        <f t="shared" si="46"/>
        <v>0</v>
      </c>
      <c r="BG21">
        <f t="shared" si="47"/>
        <v>0</v>
      </c>
      <c r="BH21">
        <f t="shared" si="8"/>
        <v>0.99846118120337912</v>
      </c>
      <c r="BI21">
        <f t="shared" si="9"/>
        <v>0</v>
      </c>
      <c r="BJ21">
        <f t="shared" si="10"/>
        <v>0</v>
      </c>
      <c r="BK21">
        <f t="shared" si="11"/>
        <v>3.3549783727407615E-9</v>
      </c>
      <c r="BL21">
        <f t="shared" si="48"/>
        <v>0</v>
      </c>
      <c r="BM21">
        <f t="shared" si="12"/>
        <v>0</v>
      </c>
      <c r="BN21">
        <f t="shared" si="13"/>
        <v>0</v>
      </c>
      <c r="BO21">
        <f t="shared" si="14"/>
        <v>0</v>
      </c>
      <c r="BP21">
        <f t="shared" si="15"/>
        <v>2.4370173754406046E-2</v>
      </c>
      <c r="BQ21">
        <f t="shared" si="16"/>
        <v>0.99997615829125264</v>
      </c>
    </row>
    <row r="22" spans="1:69" x14ac:dyDescent="0.25">
      <c r="A22" s="1" t="s">
        <v>11</v>
      </c>
      <c r="B22">
        <f t="shared" ca="1" si="2"/>
        <v>90.476996936852032</v>
      </c>
      <c r="C22" t="s">
        <v>280</v>
      </c>
      <c r="D22">
        <f t="shared" si="17"/>
        <v>50</v>
      </c>
      <c r="E22">
        <f t="shared" si="18"/>
        <v>126.93</v>
      </c>
      <c r="F22">
        <f t="shared" si="19"/>
        <v>6.18</v>
      </c>
      <c r="G22">
        <f t="shared" si="20"/>
        <v>1.56</v>
      </c>
      <c r="H22">
        <f t="shared" si="21"/>
        <v>0</v>
      </c>
      <c r="I22">
        <f t="shared" si="22"/>
        <v>0.39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 t="e">
        <f t="shared" si="5"/>
        <v>#VALUE!</v>
      </c>
      <c r="Q22">
        <f t="shared" ca="1" si="25"/>
        <v>1000000</v>
      </c>
      <c r="R22">
        <f t="shared" ca="1" si="26"/>
        <v>100</v>
      </c>
      <c r="S22" t="e">
        <f t="shared" si="27"/>
        <v>#VALUE!</v>
      </c>
      <c r="T22">
        <f t="shared" ca="1" si="28"/>
        <v>1000000</v>
      </c>
      <c r="U22">
        <f t="shared" ca="1" si="29"/>
        <v>100</v>
      </c>
      <c r="V22" t="e">
        <f t="shared" si="30"/>
        <v>#VALUE!</v>
      </c>
      <c r="W22">
        <f t="shared" ca="1" si="31"/>
        <v>1000000000</v>
      </c>
      <c r="X22">
        <f t="shared" ca="1" si="32"/>
        <v>100</v>
      </c>
      <c r="Y22" t="e">
        <f>GetFollowingCarRow($B$45:$E$54,L22,$E$15,E22)</f>
        <v>#VALUE!</v>
      </c>
      <c r="Z22">
        <f t="shared" ca="1" si="33"/>
        <v>1000000000</v>
      </c>
      <c r="AA22">
        <f t="shared" ca="1" si="34"/>
        <v>100</v>
      </c>
      <c r="AB22">
        <f t="shared" si="35"/>
        <v>0</v>
      </c>
      <c r="AC22">
        <f t="shared" si="36"/>
        <v>0.62000000000000455</v>
      </c>
      <c r="AD22">
        <f t="shared" si="37"/>
        <v>6.18</v>
      </c>
      <c r="AE22">
        <f t="shared" si="38"/>
        <v>-3.8316000000000279</v>
      </c>
      <c r="AF22">
        <f t="shared" si="39"/>
        <v>0.62000000000000455</v>
      </c>
      <c r="AG22">
        <f t="shared" si="40"/>
        <v>1000000000</v>
      </c>
      <c r="AH22">
        <f t="shared" si="41"/>
        <v>0</v>
      </c>
      <c r="AI22">
        <f>IF(G22&lt;=0,1,0)</f>
        <v>0</v>
      </c>
      <c r="AJ22">
        <f>IF(G22&lt;0,1,0)</f>
        <v>0</v>
      </c>
      <c r="AK22">
        <f>MAX(($B$3-G22)/(G22 + 1),0) / $B$3</f>
        <v>0.36190798774740812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2.4370173754406046E-2</v>
      </c>
      <c r="AQ22">
        <f>IF(I22&gt;$B$5,1,0)</f>
        <v>0</v>
      </c>
      <c r="AR22">
        <f>Logistic(ABS(F22-O22)/($B$6/2))</f>
        <v>4.4969649583600189E-2</v>
      </c>
      <c r="AS22">
        <f>IF(OR(F22&lt;M22,F22&gt;N22),1,0)</f>
        <v>0</v>
      </c>
      <c r="AT22">
        <f>ABS(K22)/$B$4</f>
        <v>0</v>
      </c>
      <c r="AU22">
        <f t="shared" ca="1" si="42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3"/>
        <v>0</v>
      </c>
      <c r="BB22">
        <f t="shared" ca="1" si="44"/>
        <v>0</v>
      </c>
      <c r="BC22">
        <f t="shared" si="45"/>
        <v>0</v>
      </c>
      <c r="BE22">
        <f t="shared" si="7"/>
        <v>0</v>
      </c>
      <c r="BF22">
        <f t="shared" si="46"/>
        <v>0</v>
      </c>
      <c r="BG22">
        <f t="shared" si="47"/>
        <v>0</v>
      </c>
      <c r="BH22">
        <f t="shared" si="8"/>
        <v>0.9990761883341952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8"/>
        <v>0</v>
      </c>
      <c r="BM22">
        <f t="shared" si="12"/>
        <v>3.3549783727407615E-9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0.99999327326239129</v>
      </c>
    </row>
    <row r="23" spans="1:69" x14ac:dyDescent="0.25">
      <c r="A23" s="1" t="s">
        <v>34</v>
      </c>
      <c r="B23">
        <f t="shared" ca="1" si="2"/>
        <v>158.75847257205049</v>
      </c>
      <c r="C23" t="s">
        <v>279</v>
      </c>
      <c r="D23">
        <f t="shared" si="17"/>
        <v>129</v>
      </c>
      <c r="E23">
        <f t="shared" si="18"/>
        <v>137.13999999999999</v>
      </c>
      <c r="F23">
        <f t="shared" si="19"/>
        <v>6.62</v>
      </c>
      <c r="G23">
        <f t="shared" si="20"/>
        <v>9.24</v>
      </c>
      <c r="H23">
        <f t="shared" si="21"/>
        <v>1.93</v>
      </c>
      <c r="I23">
        <f t="shared" si="22"/>
        <v>1.54</v>
      </c>
      <c r="J23">
        <f t="shared" si="23"/>
        <v>-0.65</v>
      </c>
      <c r="K23">
        <f t="shared" si="24"/>
        <v>0.01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 t="e">
        <f t="shared" si="5"/>
        <v>#VALUE!</v>
      </c>
      <c r="Q23">
        <f t="shared" ca="1" si="25"/>
        <v>1000000</v>
      </c>
      <c r="R23">
        <f t="shared" ca="1" si="26"/>
        <v>100</v>
      </c>
      <c r="S23" t="e">
        <f t="shared" si="27"/>
        <v>#VALUE!</v>
      </c>
      <c r="T23">
        <f t="shared" ca="1" si="28"/>
        <v>1000000</v>
      </c>
      <c r="U23">
        <f t="shared" ca="1" si="29"/>
        <v>100</v>
      </c>
      <c r="V23" t="e">
        <f t="shared" si="30"/>
        <v>#VALUE!</v>
      </c>
      <c r="W23">
        <f t="shared" ca="1" si="31"/>
        <v>1000000000</v>
      </c>
      <c r="X23">
        <f t="shared" ca="1" si="32"/>
        <v>100</v>
      </c>
      <c r="Y23" t="e">
        <f>GetFollowingCarRow($B$45:$E$54,L23,$E$15,E23)</f>
        <v>#VALUE!</v>
      </c>
      <c r="Z23">
        <f t="shared" ca="1" si="33"/>
        <v>1000000000</v>
      </c>
      <c r="AA23">
        <f t="shared" ca="1" si="34"/>
        <v>100</v>
      </c>
      <c r="AB23">
        <f t="shared" si="35"/>
        <v>-0.44000000000000039</v>
      </c>
      <c r="AC23">
        <f t="shared" si="36"/>
        <v>10.829999999999984</v>
      </c>
      <c r="AD23">
        <f t="shared" si="37"/>
        <v>1.0482917820867836</v>
      </c>
      <c r="AE23">
        <f t="shared" si="38"/>
        <v>-11.352999999999851</v>
      </c>
      <c r="AF23">
        <f t="shared" si="39"/>
        <v>10.83893444947425</v>
      </c>
      <c r="AG23">
        <f t="shared" si="40"/>
        <v>1000000000</v>
      </c>
      <c r="AH23">
        <f t="shared" si="41"/>
        <v>0.65840903595525113</v>
      </c>
      <c r="AI23">
        <f>IF(G23&lt;=0,1,0)</f>
        <v>0</v>
      </c>
      <c r="AJ23">
        <f>IF(G23&lt;0,1,0)</f>
        <v>0</v>
      </c>
      <c r="AK23">
        <f>MAX(($B$3-G23)/(G23 + 1),0) / $B$3</f>
        <v>5.513298185673892E-2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0.24124999999999999</v>
      </c>
      <c r="AP23">
        <f>Logistic(I23/$B$5)</f>
        <v>9.595387527359274E-2</v>
      </c>
      <c r="AQ23">
        <f>IF(I23&gt;$B$5,1,0)</f>
        <v>0</v>
      </c>
      <c r="AR23">
        <f>Logistic(ABS(F23-O23)/($B$6/2))</f>
        <v>0.6884483197525052</v>
      </c>
      <c r="AS23">
        <f>IF(OR(F23&lt;M23,F23&gt;N23),1,0)</f>
        <v>1</v>
      </c>
      <c r="AT23">
        <f>ABS(K23)/$B$4</f>
        <v>1.25E-3</v>
      </c>
      <c r="AU23">
        <f t="shared" ca="1" si="42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3"/>
        <v>0</v>
      </c>
      <c r="BB23">
        <f t="shared" ca="1" si="44"/>
        <v>0</v>
      </c>
      <c r="BC23">
        <f t="shared" si="45"/>
        <v>0</v>
      </c>
      <c r="BE23">
        <f t="shared" si="7"/>
        <v>0.65840903595525113</v>
      </c>
      <c r="BF23">
        <f t="shared" si="46"/>
        <v>0</v>
      </c>
      <c r="BG23">
        <f t="shared" si="47"/>
        <v>0</v>
      </c>
      <c r="BH23">
        <f t="shared" si="8"/>
        <v>0.52626178795110534</v>
      </c>
      <c r="BI23">
        <f t="shared" si="9"/>
        <v>0</v>
      </c>
      <c r="BJ23">
        <f t="shared" si="10"/>
        <v>0</v>
      </c>
      <c r="BK23">
        <f t="shared" si="11"/>
        <v>4.3063577006636225E-2</v>
      </c>
      <c r="BL23">
        <f t="shared" si="48"/>
        <v>0</v>
      </c>
      <c r="BM23">
        <f t="shared" si="12"/>
        <v>1.5073678606989143E-2</v>
      </c>
      <c r="BN23">
        <f t="shared" si="13"/>
        <v>0.34499999999999997</v>
      </c>
      <c r="BO23">
        <f t="shared" si="14"/>
        <v>1.25E-3</v>
      </c>
      <c r="BP23">
        <f t="shared" si="15"/>
        <v>0.12004333817193183</v>
      </c>
      <c r="BQ23">
        <f t="shared" si="16"/>
        <v>0.57050310923077208</v>
      </c>
    </row>
    <row r="24" spans="1:69" x14ac:dyDescent="0.25">
      <c r="A24" s="1" t="s">
        <v>35</v>
      </c>
      <c r="B24">
        <f t="shared" ca="1" si="2"/>
        <v>158.75847257205049</v>
      </c>
      <c r="C24" t="s">
        <v>278</v>
      </c>
      <c r="D24">
        <f t="shared" si="17"/>
        <v>129</v>
      </c>
      <c r="E24">
        <f t="shared" si="18"/>
        <v>137.13999999999999</v>
      </c>
      <c r="F24">
        <f t="shared" si="19"/>
        <v>6.94</v>
      </c>
      <c r="G24">
        <f t="shared" si="20"/>
        <v>9.24</v>
      </c>
      <c r="H24">
        <f t="shared" si="21"/>
        <v>1.93</v>
      </c>
      <c r="I24">
        <f t="shared" si="22"/>
        <v>1.54</v>
      </c>
      <c r="J24">
        <f t="shared" si="23"/>
        <v>-1.1100000000000001</v>
      </c>
      <c r="K24">
        <f t="shared" si="24"/>
        <v>0.01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 t="e">
        <f t="shared" si="5"/>
        <v>#VALUE!</v>
      </c>
      <c r="Q24">
        <f t="shared" ca="1" si="25"/>
        <v>1000000</v>
      </c>
      <c r="R24">
        <f t="shared" ca="1" si="26"/>
        <v>100</v>
      </c>
      <c r="S24" t="e">
        <f t="shared" si="27"/>
        <v>#VALUE!</v>
      </c>
      <c r="T24">
        <f t="shared" ca="1" si="28"/>
        <v>1000000</v>
      </c>
      <c r="U24">
        <f t="shared" ca="1" si="29"/>
        <v>100</v>
      </c>
      <c r="V24" t="e">
        <f t="shared" si="30"/>
        <v>#VALUE!</v>
      </c>
      <c r="W24">
        <f t="shared" ca="1" si="31"/>
        <v>1000000000</v>
      </c>
      <c r="X24">
        <f t="shared" ca="1" si="32"/>
        <v>100</v>
      </c>
      <c r="Y24" t="e">
        <f>GetFollowingCarRow($B$45:$E$54,L24,$E$15,E24)</f>
        <v>#VALUE!</v>
      </c>
      <c r="Z24">
        <f t="shared" ca="1" si="33"/>
        <v>1000000000</v>
      </c>
      <c r="AA24">
        <f t="shared" ca="1" si="34"/>
        <v>100</v>
      </c>
      <c r="AB24">
        <f t="shared" si="35"/>
        <v>-0.76000000000000068</v>
      </c>
      <c r="AC24">
        <f t="shared" si="36"/>
        <v>10.829999999999984</v>
      </c>
      <c r="AD24">
        <f t="shared" si="37"/>
        <v>-2.6838596491228284</v>
      </c>
      <c r="AE24">
        <f t="shared" si="38"/>
        <v>29.06620000000019</v>
      </c>
      <c r="AF24">
        <f t="shared" si="39"/>
        <v>10.85663391664284</v>
      </c>
      <c r="AG24">
        <f t="shared" si="40"/>
        <v>1000000000</v>
      </c>
      <c r="AH24">
        <f t="shared" si="41"/>
        <v>0.65840903595525113</v>
      </c>
      <c r="AI24">
        <f>IF(G24&lt;=0,1,0)</f>
        <v>0</v>
      </c>
      <c r="AJ24">
        <f>IF(G24&lt;0,1,0)</f>
        <v>0</v>
      </c>
      <c r="AK24">
        <f>MAX(($B$3-G24)/(G24 + 1),0) / $B$3</f>
        <v>5.513298185673892E-2</v>
      </c>
      <c r="AL24">
        <f>IF(H24+ABS(K24)&lt;0,Logistic(SQRT(H24^2+K24^2)/$B$4),0)</f>
        <v>0</v>
      </c>
      <c r="AM24">
        <f>IF(G24&gt;$B$3,1,0)</f>
        <v>0</v>
      </c>
      <c r="AN24">
        <f>IF(H24&gt;$B$4,1,0)</f>
        <v>0</v>
      </c>
      <c r="AO24">
        <f>ABS(H24)/$B$4</f>
        <v>0.24124999999999999</v>
      </c>
      <c r="AP24">
        <f>Logistic(I24/$B$5)</f>
        <v>9.595387527359274E-2</v>
      </c>
      <c r="AQ24">
        <f>IF(I24&gt;$B$5,1,0)</f>
        <v>0</v>
      </c>
      <c r="AR24">
        <f>Logistic(ABS(F24-O24)/($B$6/2))</f>
        <v>0.64401262842750695</v>
      </c>
      <c r="AS24">
        <f>IF(OR(F24&lt;M24,F24&gt;N24),1,0)</f>
        <v>1</v>
      </c>
      <c r="AT24">
        <f>ABS(K24)/$B$4</f>
        <v>1.25E-3</v>
      </c>
      <c r="AU24">
        <f t="shared" ca="1" si="42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3"/>
        <v>0</v>
      </c>
      <c r="BB24">
        <f t="shared" ca="1" si="44"/>
        <v>0</v>
      </c>
      <c r="BC24">
        <f t="shared" si="45"/>
        <v>0</v>
      </c>
      <c r="BE24">
        <f t="shared" si="7"/>
        <v>0.65840903595525113</v>
      </c>
      <c r="BF24">
        <f t="shared" si="46"/>
        <v>0</v>
      </c>
      <c r="BG24">
        <f t="shared" si="47"/>
        <v>0</v>
      </c>
      <c r="BH24">
        <f t="shared" si="8"/>
        <v>0.52626178795110534</v>
      </c>
      <c r="BI24">
        <f t="shared" si="9"/>
        <v>0</v>
      </c>
      <c r="BJ24">
        <f t="shared" si="10"/>
        <v>0</v>
      </c>
      <c r="BK24">
        <f t="shared" si="11"/>
        <v>4.3063577006636225E-2</v>
      </c>
      <c r="BL24">
        <f t="shared" si="48"/>
        <v>0</v>
      </c>
      <c r="BM24">
        <f t="shared" si="12"/>
        <v>1.5073678606989143E-2</v>
      </c>
      <c r="BN24">
        <f t="shared" si="13"/>
        <v>0.2649999999999999</v>
      </c>
      <c r="BO24">
        <f t="shared" si="14"/>
        <v>1.25E-3</v>
      </c>
      <c r="BP24">
        <f t="shared" si="15"/>
        <v>0.12004333817193183</v>
      </c>
      <c r="BQ24">
        <f t="shared" si="16"/>
        <v>0.57050310923077208</v>
      </c>
    </row>
    <row r="25" spans="1:69" x14ac:dyDescent="0.25">
      <c r="A25" s="1" t="s">
        <v>36</v>
      </c>
      <c r="B25">
        <f t="shared" ca="1" si="2"/>
        <v>158.75847257205049</v>
      </c>
      <c r="C25" t="s">
        <v>277</v>
      </c>
      <c r="D25">
        <f t="shared" si="17"/>
        <v>129</v>
      </c>
      <c r="E25">
        <f t="shared" si="18"/>
        <v>137.13999999999999</v>
      </c>
      <c r="F25">
        <f t="shared" si="19"/>
        <v>7.77</v>
      </c>
      <c r="G25">
        <f t="shared" si="20"/>
        <v>9.24</v>
      </c>
      <c r="H25">
        <f t="shared" si="21"/>
        <v>1.93</v>
      </c>
      <c r="I25">
        <f t="shared" si="22"/>
        <v>1.54</v>
      </c>
      <c r="J25">
        <f t="shared" si="23"/>
        <v>-2.1800000000000002</v>
      </c>
      <c r="K25">
        <f t="shared" si="24"/>
        <v>0.02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 t="e">
        <f t="shared" si="5"/>
        <v>#VALUE!</v>
      </c>
      <c r="Q25">
        <f t="shared" ca="1" si="25"/>
        <v>1000000</v>
      </c>
      <c r="R25">
        <f t="shared" ca="1" si="26"/>
        <v>100</v>
      </c>
      <c r="S25" t="e">
        <f t="shared" si="27"/>
        <v>#VALUE!</v>
      </c>
      <c r="T25">
        <f t="shared" ca="1" si="28"/>
        <v>1000000</v>
      </c>
      <c r="U25">
        <f t="shared" ca="1" si="29"/>
        <v>100</v>
      </c>
      <c r="V25" t="e">
        <f t="shared" si="30"/>
        <v>#VALUE!</v>
      </c>
      <c r="W25">
        <f t="shared" ca="1" si="31"/>
        <v>1000000000</v>
      </c>
      <c r="X25">
        <f t="shared" ca="1" si="32"/>
        <v>100</v>
      </c>
      <c r="Y25" t="e">
        <f>GetFollowingCarRow($B$45:$E$54,L25,$E$15,E25)</f>
        <v>#VALUE!</v>
      </c>
      <c r="Z25">
        <f t="shared" ca="1" si="33"/>
        <v>1000000000</v>
      </c>
      <c r="AA25">
        <f t="shared" ca="1" si="34"/>
        <v>100</v>
      </c>
      <c r="AB25">
        <f t="shared" si="35"/>
        <v>-1.5899999999999999</v>
      </c>
      <c r="AC25">
        <f t="shared" si="36"/>
        <v>10.829999999999984</v>
      </c>
      <c r="AD25">
        <f t="shared" si="37"/>
        <v>-12.36412742382274</v>
      </c>
      <c r="AE25">
        <f t="shared" si="38"/>
        <v>133.90350000000009</v>
      </c>
      <c r="AF25">
        <f t="shared" si="39"/>
        <v>10.946095194177678</v>
      </c>
      <c r="AG25">
        <f t="shared" si="40"/>
        <v>1000000000</v>
      </c>
      <c r="AH25">
        <f t="shared" si="41"/>
        <v>0.65840903595525113</v>
      </c>
      <c r="AI25">
        <f>IF(G25&lt;=0,1,0)</f>
        <v>0</v>
      </c>
      <c r="AJ25">
        <f>IF(G25&lt;0,1,0)</f>
        <v>0</v>
      </c>
      <c r="AK25">
        <f>MAX(($B$3-G25)/(G25 + 1),0) / $B$3</f>
        <v>5.513298185673892E-2</v>
      </c>
      <c r="AL25">
        <f>IF(H25+ABS(K25)&lt;0,Logistic(SQRT(H25^2+K25^2)/$B$4),0)</f>
        <v>0</v>
      </c>
      <c r="AM25">
        <f>IF(G25&gt;$B$3,1,0)</f>
        <v>0</v>
      </c>
      <c r="AN25">
        <f>IF(H25&gt;$B$4,1,0)</f>
        <v>0</v>
      </c>
      <c r="AO25">
        <f>ABS(H25)/$B$4</f>
        <v>0.24124999999999999</v>
      </c>
      <c r="AP25">
        <f>Logistic(I25/$B$5)</f>
        <v>9.595387527359274E-2</v>
      </c>
      <c r="AQ25">
        <f>IF(I25&gt;$B$5,1,0)</f>
        <v>0</v>
      </c>
      <c r="AR25">
        <f>Logistic(ABS(F25-O25)/($B$6/2))</f>
        <v>0.5061201808426754</v>
      </c>
      <c r="AS25">
        <f>IF(OR(F25&lt;M25,F25&gt;N25),1,0)</f>
        <v>1</v>
      </c>
      <c r="AT25">
        <f>ABS(K25)/$B$4</f>
        <v>2.5000000000000001E-3</v>
      </c>
      <c r="AU25">
        <f t="shared" ca="1" si="42"/>
        <v>0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</v>
      </c>
      <c r="BA25">
        <f t="shared" ca="1" si="43"/>
        <v>0</v>
      </c>
      <c r="BB25">
        <f t="shared" ca="1" si="44"/>
        <v>0</v>
      </c>
      <c r="BC25">
        <f t="shared" si="45"/>
        <v>0</v>
      </c>
      <c r="BE25">
        <f t="shared" si="7"/>
        <v>0.65840903595525113</v>
      </c>
      <c r="BF25">
        <f t="shared" si="46"/>
        <v>0</v>
      </c>
      <c r="BG25">
        <f t="shared" si="47"/>
        <v>0</v>
      </c>
      <c r="BH25">
        <f t="shared" si="8"/>
        <v>0.52626178795110534</v>
      </c>
      <c r="BI25">
        <f t="shared" si="9"/>
        <v>0</v>
      </c>
      <c r="BJ25">
        <f t="shared" si="10"/>
        <v>0</v>
      </c>
      <c r="BK25">
        <f t="shared" si="11"/>
        <v>4.3063577006636225E-2</v>
      </c>
      <c r="BL25">
        <f t="shared" si="48"/>
        <v>0</v>
      </c>
      <c r="BM25">
        <f t="shared" si="12"/>
        <v>1.5073678606989143E-2</v>
      </c>
      <c r="BN25">
        <f t="shared" si="13"/>
        <v>5.7500000000000107E-2</v>
      </c>
      <c r="BO25">
        <f t="shared" si="14"/>
        <v>2.5000000000000001E-3</v>
      </c>
      <c r="BP25">
        <f t="shared" si="15"/>
        <v>0.12004333817193183</v>
      </c>
      <c r="BQ25">
        <f t="shared" si="16"/>
        <v>0.57050310923077208</v>
      </c>
    </row>
    <row r="26" spans="1:69" x14ac:dyDescent="0.25">
      <c r="A26" s="1" t="s">
        <v>79</v>
      </c>
      <c r="B26">
        <f t="shared" ca="1" si="2"/>
        <v>235.45222404471778</v>
      </c>
      <c r="C26" t="s">
        <v>276</v>
      </c>
      <c r="D26">
        <f t="shared" si="17"/>
        <v>129</v>
      </c>
      <c r="E26">
        <f t="shared" si="18"/>
        <v>129.43</v>
      </c>
      <c r="F26">
        <f t="shared" si="19"/>
        <v>6.22</v>
      </c>
      <c r="G26">
        <f t="shared" si="20"/>
        <v>1.56</v>
      </c>
      <c r="H26">
        <f t="shared" si="21"/>
        <v>0</v>
      </c>
      <c r="I26">
        <f t="shared" si="22"/>
        <v>0.39</v>
      </c>
      <c r="J26">
        <f t="shared" si="23"/>
        <v>-0.04</v>
      </c>
      <c r="K26">
        <f t="shared" si="24"/>
        <v>0.01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 t="e">
        <f t="shared" si="5"/>
        <v>#VALUE!</v>
      </c>
      <c r="Q26">
        <f t="shared" ca="1" si="25"/>
        <v>1000000</v>
      </c>
      <c r="R26">
        <f t="shared" ca="1" si="26"/>
        <v>100</v>
      </c>
      <c r="S26" t="e">
        <f t="shared" si="27"/>
        <v>#VALUE!</v>
      </c>
      <c r="T26">
        <f t="shared" ca="1" si="28"/>
        <v>1000000</v>
      </c>
      <c r="U26">
        <f t="shared" ca="1" si="29"/>
        <v>100</v>
      </c>
      <c r="V26" t="e">
        <f t="shared" si="30"/>
        <v>#VALUE!</v>
      </c>
      <c r="W26">
        <f t="shared" ca="1" si="31"/>
        <v>1000000000</v>
      </c>
      <c r="X26">
        <f t="shared" ca="1" si="32"/>
        <v>100</v>
      </c>
      <c r="Y26" t="e">
        <f>GetFollowingCarRow($B$45:$E$54,L26,$E$15,E26)</f>
        <v>#VALUE!</v>
      </c>
      <c r="Z26">
        <f t="shared" ca="1" si="33"/>
        <v>1000000000</v>
      </c>
      <c r="AA26">
        <f t="shared" ca="1" si="34"/>
        <v>100</v>
      </c>
      <c r="AB26">
        <f t="shared" si="35"/>
        <v>-4.0000000000000036E-2</v>
      </c>
      <c r="AC26">
        <f t="shared" si="36"/>
        <v>3.1200000000000045</v>
      </c>
      <c r="AD26">
        <f t="shared" si="37"/>
        <v>4.5606410256410266</v>
      </c>
      <c r="AE26">
        <f t="shared" si="38"/>
        <v>-14.229200000000024</v>
      </c>
      <c r="AF26">
        <f t="shared" si="39"/>
        <v>3.1202563997210278</v>
      </c>
      <c r="AG26">
        <f t="shared" si="40"/>
        <v>1000000000</v>
      </c>
      <c r="AH26">
        <f t="shared" si="41"/>
        <v>0.65840903595525113</v>
      </c>
      <c r="AI26">
        <f>IF(G26&lt;=0,1,0)</f>
        <v>0</v>
      </c>
      <c r="AJ26">
        <f>IF(G26&lt;0,1,0)</f>
        <v>0</v>
      </c>
      <c r="AK26">
        <f>MAX(($B$3-G26)/(G26 + 1),0) / $B$3</f>
        <v>0.36190798774740812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2.4370173754406046E-2</v>
      </c>
      <c r="AQ26">
        <f>IF(I26&gt;$B$5,1,0)</f>
        <v>0</v>
      </c>
      <c r="AR26">
        <f>Logistic(ABS(F26-O26)/($B$6/2))</f>
        <v>0.73751106112295339</v>
      </c>
      <c r="AS26">
        <f>IF(OR(F26&lt;M26,F26&gt;N26),1,0)</f>
        <v>1</v>
      </c>
      <c r="AT26">
        <f>ABS(K26)/$B$4</f>
        <v>1.25E-3</v>
      </c>
      <c r="AU26">
        <f t="shared" ca="1" si="42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3"/>
        <v>0</v>
      </c>
      <c r="BB26">
        <f t="shared" ca="1" si="44"/>
        <v>0</v>
      </c>
      <c r="BC26">
        <f t="shared" si="45"/>
        <v>0</v>
      </c>
      <c r="BE26">
        <f t="shared" si="7"/>
        <v>0.65840903595525113</v>
      </c>
      <c r="BF26">
        <f t="shared" si="46"/>
        <v>0</v>
      </c>
      <c r="BG26">
        <f t="shared" si="47"/>
        <v>0</v>
      </c>
      <c r="BH26">
        <f t="shared" si="8"/>
        <v>0.9990761883341952</v>
      </c>
      <c r="BI26">
        <f t="shared" si="9"/>
        <v>0</v>
      </c>
      <c r="BJ26">
        <f t="shared" si="10"/>
        <v>0</v>
      </c>
      <c r="BK26">
        <f t="shared" si="11"/>
        <v>0</v>
      </c>
      <c r="BL26">
        <f t="shared" si="48"/>
        <v>0</v>
      </c>
      <c r="BM26">
        <f t="shared" si="12"/>
        <v>3.3549783727407615E-9</v>
      </c>
      <c r="BN26">
        <f t="shared" si="13"/>
        <v>0.44500000000000006</v>
      </c>
      <c r="BO26">
        <f t="shared" si="14"/>
        <v>1.25E-3</v>
      </c>
      <c r="BP26">
        <f t="shared" si="15"/>
        <v>0</v>
      </c>
      <c r="BQ26">
        <f t="shared" si="16"/>
        <v>0.99999327326239129</v>
      </c>
    </row>
    <row r="27" spans="1:69" x14ac:dyDescent="0.25">
      <c r="A27" s="1" t="s">
        <v>80</v>
      </c>
      <c r="B27">
        <f t="shared" ca="1" si="2"/>
        <v>235.45222404471778</v>
      </c>
      <c r="C27" t="s">
        <v>275</v>
      </c>
      <c r="D27">
        <f t="shared" si="17"/>
        <v>129</v>
      </c>
      <c r="E27">
        <f t="shared" si="18"/>
        <v>129.41999999999999</v>
      </c>
      <c r="F27">
        <f t="shared" si="19"/>
        <v>6.25</v>
      </c>
      <c r="G27">
        <f t="shared" si="20"/>
        <v>1.56</v>
      </c>
      <c r="H27">
        <f t="shared" si="21"/>
        <v>0</v>
      </c>
      <c r="I27">
        <f t="shared" si="22"/>
        <v>0.39</v>
      </c>
      <c r="J27">
        <f t="shared" si="23"/>
        <v>-7.0000000000000007E-2</v>
      </c>
      <c r="K27">
        <f t="shared" si="24"/>
        <v>0.01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 t="e">
        <f t="shared" si="5"/>
        <v>#VALUE!</v>
      </c>
      <c r="Q27">
        <f t="shared" ca="1" si="25"/>
        <v>1000000</v>
      </c>
      <c r="R27">
        <f t="shared" ca="1" si="26"/>
        <v>100</v>
      </c>
      <c r="S27" t="e">
        <f t="shared" si="27"/>
        <v>#VALUE!</v>
      </c>
      <c r="T27">
        <f t="shared" ca="1" si="28"/>
        <v>1000000</v>
      </c>
      <c r="U27">
        <f t="shared" ca="1" si="29"/>
        <v>100</v>
      </c>
      <c r="V27" t="e">
        <f t="shared" si="30"/>
        <v>#VALUE!</v>
      </c>
      <c r="W27">
        <f t="shared" ca="1" si="31"/>
        <v>1000000000</v>
      </c>
      <c r="X27">
        <f t="shared" ca="1" si="32"/>
        <v>100</v>
      </c>
      <c r="Y27" t="e">
        <f>GetFollowingCarRow($B$45:$E$54,L27,$E$15,E27)</f>
        <v>#VALUE!</v>
      </c>
      <c r="Z27">
        <f t="shared" ca="1" si="33"/>
        <v>1000000000</v>
      </c>
      <c r="AA27">
        <f t="shared" ca="1" si="34"/>
        <v>100</v>
      </c>
      <c r="AB27">
        <f t="shared" si="35"/>
        <v>-7.0000000000000284E-2</v>
      </c>
      <c r="AC27">
        <f t="shared" si="36"/>
        <v>3.1099999999999852</v>
      </c>
      <c r="AD27">
        <f t="shared" si="37"/>
        <v>3.3370096463022256</v>
      </c>
      <c r="AE27">
        <f t="shared" si="38"/>
        <v>-10.378099999999872</v>
      </c>
      <c r="AF27">
        <f t="shared" si="39"/>
        <v>3.1107876816009008</v>
      </c>
      <c r="AG27">
        <f t="shared" si="40"/>
        <v>1000000000</v>
      </c>
      <c r="AH27">
        <f t="shared" si="41"/>
        <v>0.65840903595525113</v>
      </c>
      <c r="AI27">
        <f>IF(G27&lt;=0,1,0)</f>
        <v>0</v>
      </c>
      <c r="AJ27">
        <f>IF(G27&lt;0,1,0)</f>
        <v>0</v>
      </c>
      <c r="AK27">
        <f>MAX(($B$3-G27)/(G27 + 1),0) / $B$3</f>
        <v>0.36190798774740812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0</v>
      </c>
      <c r="AP27">
        <f>Logistic(I27/$B$5)</f>
        <v>2.4370173754406046E-2</v>
      </c>
      <c r="AQ27">
        <f>IF(I27&gt;$B$5,1,0)</f>
        <v>0</v>
      </c>
      <c r="AR27">
        <f>Logistic(ABS(F27-O27)/($B$6/2))</f>
        <v>0.73407151960434147</v>
      </c>
      <c r="AS27">
        <f>IF(OR(F27&lt;M27,F27&gt;N27),1,0)</f>
        <v>1</v>
      </c>
      <c r="AT27">
        <f>ABS(K27)/$B$4</f>
        <v>1.25E-3</v>
      </c>
      <c r="AU27">
        <f t="shared" ca="1" si="42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</v>
      </c>
      <c r="BA27">
        <f t="shared" ca="1" si="43"/>
        <v>0</v>
      </c>
      <c r="BB27">
        <f t="shared" ca="1" si="44"/>
        <v>0</v>
      </c>
      <c r="BC27">
        <f t="shared" si="45"/>
        <v>0</v>
      </c>
      <c r="BE27">
        <f t="shared" si="7"/>
        <v>0.65840903595525113</v>
      </c>
      <c r="BF27">
        <f t="shared" si="46"/>
        <v>0</v>
      </c>
      <c r="BG27">
        <f t="shared" si="47"/>
        <v>0</v>
      </c>
      <c r="BH27">
        <f t="shared" si="8"/>
        <v>0.9990761883341952</v>
      </c>
      <c r="BI27">
        <f t="shared" si="9"/>
        <v>0</v>
      </c>
      <c r="BJ27">
        <f t="shared" si="10"/>
        <v>0</v>
      </c>
      <c r="BK27">
        <f t="shared" si="11"/>
        <v>0</v>
      </c>
      <c r="BL27">
        <f t="shared" si="48"/>
        <v>0</v>
      </c>
      <c r="BM27">
        <f t="shared" si="12"/>
        <v>3.3549783727407615E-9</v>
      </c>
      <c r="BN27">
        <f t="shared" si="13"/>
        <v>0.4375</v>
      </c>
      <c r="BO27">
        <f t="shared" si="14"/>
        <v>1.25E-3</v>
      </c>
      <c r="BP27">
        <f t="shared" si="15"/>
        <v>0</v>
      </c>
      <c r="BQ27">
        <f t="shared" si="16"/>
        <v>0.99999327326239129</v>
      </c>
    </row>
    <row r="28" spans="1:69" x14ac:dyDescent="0.25">
      <c r="A28" s="1" t="s">
        <v>81</v>
      </c>
      <c r="B28">
        <f t="shared" ca="1" si="2"/>
        <v>235.45222404471778</v>
      </c>
      <c r="C28" t="s">
        <v>274</v>
      </c>
      <c r="D28">
        <f t="shared" si="17"/>
        <v>129</v>
      </c>
      <c r="E28">
        <f t="shared" si="18"/>
        <v>129.41999999999999</v>
      </c>
      <c r="F28">
        <f t="shared" si="19"/>
        <v>6.35</v>
      </c>
      <c r="G28">
        <f t="shared" si="20"/>
        <v>1.56</v>
      </c>
      <c r="H28">
        <f t="shared" si="21"/>
        <v>0</v>
      </c>
      <c r="I28">
        <f t="shared" si="22"/>
        <v>0.39</v>
      </c>
      <c r="J28">
        <f t="shared" si="23"/>
        <v>-0.16</v>
      </c>
      <c r="K28">
        <f t="shared" si="24"/>
        <v>0.02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 t="e">
        <f t="shared" si="5"/>
        <v>#VALUE!</v>
      </c>
      <c r="Q28">
        <f t="shared" ca="1" si="25"/>
        <v>1000000</v>
      </c>
      <c r="R28">
        <f t="shared" ca="1" si="26"/>
        <v>100</v>
      </c>
      <c r="S28" t="e">
        <f t="shared" si="27"/>
        <v>#VALUE!</v>
      </c>
      <c r="T28">
        <f t="shared" ca="1" si="28"/>
        <v>1000000</v>
      </c>
      <c r="U28">
        <f t="shared" ca="1" si="29"/>
        <v>100</v>
      </c>
      <c r="V28" t="e">
        <f t="shared" si="30"/>
        <v>#VALUE!</v>
      </c>
      <c r="W28">
        <f t="shared" ca="1" si="31"/>
        <v>1000000000</v>
      </c>
      <c r="X28">
        <f t="shared" ca="1" si="32"/>
        <v>100</v>
      </c>
      <c r="Y28" t="e">
        <f>GetFollowingCarRow($B$45:$E$54,L28,$E$15,E28)</f>
        <v>#VALUE!</v>
      </c>
      <c r="Z28">
        <f t="shared" ca="1" si="33"/>
        <v>1000000000</v>
      </c>
      <c r="AA28">
        <f t="shared" ca="1" si="34"/>
        <v>100</v>
      </c>
      <c r="AB28">
        <f t="shared" si="35"/>
        <v>-0.16999999999999993</v>
      </c>
      <c r="AC28">
        <f t="shared" si="36"/>
        <v>3.1099999999999852</v>
      </c>
      <c r="AD28">
        <f t="shared" si="37"/>
        <v>-0.72440514469456385</v>
      </c>
      <c r="AE28">
        <f t="shared" si="38"/>
        <v>2.2529000000000829</v>
      </c>
      <c r="AF28">
        <f t="shared" si="39"/>
        <v>3.1146428366668157</v>
      </c>
      <c r="AG28">
        <f t="shared" si="40"/>
        <v>1000000000</v>
      </c>
      <c r="AH28">
        <f t="shared" si="41"/>
        <v>0.65840903595525113</v>
      </c>
      <c r="AI28">
        <f>IF(G28&lt;=0,1,0)</f>
        <v>0</v>
      </c>
      <c r="AJ28">
        <f>IF(G28&lt;0,1,0)</f>
        <v>0</v>
      </c>
      <c r="AK28">
        <f>MAX(($B$3-G28)/(G28 + 1),0) / $B$3</f>
        <v>0.36190798774740812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0</v>
      </c>
      <c r="AP28">
        <f>Logistic(I28/$B$5)</f>
        <v>2.4370173754406046E-2</v>
      </c>
      <c r="AQ28">
        <f>IF(I28&gt;$B$5,1,0)</f>
        <v>0</v>
      </c>
      <c r="AR28">
        <f>Logistic(ABS(F28-O28)/($B$6/2))</f>
        <v>0.72233001290538579</v>
      </c>
      <c r="AS28">
        <f>IF(OR(F28&lt;M28,F28&gt;N28),1,0)</f>
        <v>1</v>
      </c>
      <c r="AT28">
        <f>ABS(K28)/$B$4</f>
        <v>2.5000000000000001E-3</v>
      </c>
      <c r="AU28">
        <f t="shared" ca="1" si="42"/>
        <v>0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</v>
      </c>
      <c r="BA28">
        <f t="shared" ca="1" si="43"/>
        <v>0</v>
      </c>
      <c r="BB28">
        <f t="shared" ca="1" si="44"/>
        <v>0</v>
      </c>
      <c r="BC28">
        <f t="shared" si="45"/>
        <v>0</v>
      </c>
      <c r="BE28">
        <f t="shared" si="7"/>
        <v>0.65840903595525113</v>
      </c>
      <c r="BF28">
        <f t="shared" si="46"/>
        <v>0</v>
      </c>
      <c r="BG28">
        <f t="shared" si="47"/>
        <v>0</v>
      </c>
      <c r="BH28">
        <f t="shared" si="8"/>
        <v>0.9990761883341952</v>
      </c>
      <c r="BI28">
        <f t="shared" si="9"/>
        <v>0</v>
      </c>
      <c r="BJ28">
        <f t="shared" si="10"/>
        <v>0</v>
      </c>
      <c r="BK28">
        <f t="shared" si="11"/>
        <v>0</v>
      </c>
      <c r="BL28">
        <f t="shared" si="48"/>
        <v>0</v>
      </c>
      <c r="BM28">
        <f t="shared" si="12"/>
        <v>3.3549783727407615E-9</v>
      </c>
      <c r="BN28">
        <f t="shared" si="13"/>
        <v>0.41250000000000009</v>
      </c>
      <c r="BO28">
        <f t="shared" si="14"/>
        <v>2.5000000000000001E-3</v>
      </c>
      <c r="BP28">
        <f t="shared" si="15"/>
        <v>0</v>
      </c>
      <c r="BQ28">
        <f t="shared" si="16"/>
        <v>0.99999327326239129</v>
      </c>
    </row>
    <row r="29" spans="1:69" x14ac:dyDescent="0.25">
      <c r="A29" s="1" t="s">
        <v>22</v>
      </c>
      <c r="B29">
        <f t="shared" ca="1" si="2"/>
        <v>216.03608443138427</v>
      </c>
      <c r="C29" t="s">
        <v>273</v>
      </c>
      <c r="D29">
        <f t="shared" si="17"/>
        <v>129</v>
      </c>
      <c r="E29">
        <f t="shared" si="18"/>
        <v>130.03</v>
      </c>
      <c r="F29">
        <f t="shared" si="19"/>
        <v>6.24</v>
      </c>
      <c r="G29">
        <f t="shared" si="20"/>
        <v>2.16</v>
      </c>
      <c r="H29">
        <f t="shared" si="21"/>
        <v>0.15</v>
      </c>
      <c r="I29">
        <f t="shared" si="22"/>
        <v>0.24</v>
      </c>
      <c r="J29">
        <f t="shared" si="23"/>
        <v>-7.0000000000000007E-2</v>
      </c>
      <c r="K29">
        <f t="shared" si="24"/>
        <v>0.01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 t="e">
        <f t="shared" si="5"/>
        <v>#VALUE!</v>
      </c>
      <c r="Q29">
        <f t="shared" ca="1" si="25"/>
        <v>1000000</v>
      </c>
      <c r="R29">
        <f t="shared" ca="1" si="26"/>
        <v>100</v>
      </c>
      <c r="S29" t="e">
        <f t="shared" si="27"/>
        <v>#VALUE!</v>
      </c>
      <c r="T29">
        <f t="shared" ca="1" si="28"/>
        <v>1000000</v>
      </c>
      <c r="U29">
        <f t="shared" ca="1" si="29"/>
        <v>100</v>
      </c>
      <c r="V29" t="e">
        <f t="shared" si="30"/>
        <v>#VALUE!</v>
      </c>
      <c r="W29">
        <f t="shared" ca="1" si="31"/>
        <v>1000000000</v>
      </c>
      <c r="X29">
        <f t="shared" ca="1" si="32"/>
        <v>100</v>
      </c>
      <c r="Y29" t="e">
        <f>GetFollowingCarRow($B$45:$E$54,L29,$E$15,E29)</f>
        <v>#VALUE!</v>
      </c>
      <c r="Z29">
        <f t="shared" ca="1" si="33"/>
        <v>1000000000</v>
      </c>
      <c r="AA29">
        <f t="shared" ca="1" si="34"/>
        <v>100</v>
      </c>
      <c r="AB29">
        <f t="shared" si="35"/>
        <v>-6.0000000000000497E-2</v>
      </c>
      <c r="AC29">
        <f t="shared" si="36"/>
        <v>3.7199999999999989</v>
      </c>
      <c r="AD29">
        <f t="shared" si="37"/>
        <v>4.1427419354838531</v>
      </c>
      <c r="AE29">
        <f t="shared" si="38"/>
        <v>-15.410999999999929</v>
      </c>
      <c r="AF29">
        <f t="shared" si="39"/>
        <v>3.7204838395025979</v>
      </c>
      <c r="AG29">
        <f t="shared" si="40"/>
        <v>1000000000</v>
      </c>
      <c r="AH29">
        <f t="shared" si="41"/>
        <v>0.65840903595525113</v>
      </c>
      <c r="AI29">
        <f>IF(G29&lt;=0,1,0)</f>
        <v>0</v>
      </c>
      <c r="AJ29">
        <f>IF(G29&lt;0,1,0)</f>
        <v>0</v>
      </c>
      <c r="AK29">
        <f>MAX(($B$3-G29)/(G29 + 1),0) / $B$3</f>
        <v>0.28424342929407409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1.8749999999999999E-2</v>
      </c>
      <c r="AP29">
        <f>Logistic(I29/$B$5)</f>
        <v>1.4998875101240792E-2</v>
      </c>
      <c r="AQ29">
        <f>IF(I29&gt;$B$5,1,0)</f>
        <v>0</v>
      </c>
      <c r="AR29">
        <f>Logistic(ABS(F29-O29)/($B$6/2))</f>
        <v>0.73522225291586918</v>
      </c>
      <c r="AS29">
        <f>IF(OR(F29&lt;M29,F29&gt;N29),1,0)</f>
        <v>1</v>
      </c>
      <c r="AT29">
        <f>ABS(K29)/$B$4</f>
        <v>1.25E-3</v>
      </c>
      <c r="AU29">
        <f t="shared" ca="1" si="42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3"/>
        <v>0</v>
      </c>
      <c r="BB29">
        <f t="shared" ca="1" si="44"/>
        <v>0</v>
      </c>
      <c r="BC29">
        <f t="shared" si="45"/>
        <v>0</v>
      </c>
      <c r="BE29">
        <f t="shared" si="7"/>
        <v>0.65840903595525113</v>
      </c>
      <c r="BF29">
        <f t="shared" si="46"/>
        <v>0</v>
      </c>
      <c r="BG29">
        <f t="shared" si="47"/>
        <v>0</v>
      </c>
      <c r="BH29">
        <f t="shared" si="8"/>
        <v>0.99520842949073796</v>
      </c>
      <c r="BI29">
        <f t="shared" si="9"/>
        <v>0</v>
      </c>
      <c r="BJ29">
        <f t="shared" si="10"/>
        <v>0</v>
      </c>
      <c r="BK29">
        <f t="shared" si="11"/>
        <v>1.8703466827523275E-23</v>
      </c>
      <c r="BL29">
        <f t="shared" si="48"/>
        <v>0</v>
      </c>
      <c r="BM29">
        <f t="shared" si="12"/>
        <v>9.074271138215859E-15</v>
      </c>
      <c r="BN29">
        <f t="shared" si="13"/>
        <v>0.43999999999999995</v>
      </c>
      <c r="BO29">
        <f t="shared" si="14"/>
        <v>1.25E-3</v>
      </c>
      <c r="BP29">
        <f t="shared" si="15"/>
        <v>9.3747253514524613E-3</v>
      </c>
      <c r="BQ29">
        <f t="shared" si="16"/>
        <v>0.99970574800454037</v>
      </c>
    </row>
    <row r="30" spans="1:69" x14ac:dyDescent="0.25">
      <c r="A30" s="1" t="s">
        <v>21</v>
      </c>
      <c r="B30">
        <f t="shared" ca="1" si="2"/>
        <v>216.03608443138427</v>
      </c>
      <c r="C30" t="s">
        <v>272</v>
      </c>
      <c r="D30">
        <f t="shared" si="17"/>
        <v>129</v>
      </c>
      <c r="E30">
        <f t="shared" si="18"/>
        <v>130.03</v>
      </c>
      <c r="F30">
        <f t="shared" si="19"/>
        <v>6.28</v>
      </c>
      <c r="G30">
        <f t="shared" si="20"/>
        <v>2.16</v>
      </c>
      <c r="H30">
        <f t="shared" si="21"/>
        <v>0.15</v>
      </c>
      <c r="I30">
        <f t="shared" si="22"/>
        <v>0.24</v>
      </c>
      <c r="J30">
        <f t="shared" si="23"/>
        <v>-0.12</v>
      </c>
      <c r="K30">
        <f t="shared" si="24"/>
        <v>0.01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 t="e">
        <f t="shared" si="5"/>
        <v>#VALUE!</v>
      </c>
      <c r="Q30">
        <f t="shared" ca="1" si="25"/>
        <v>1000000</v>
      </c>
      <c r="R30">
        <f t="shared" ca="1" si="26"/>
        <v>100</v>
      </c>
      <c r="S30" t="e">
        <f t="shared" si="27"/>
        <v>#VALUE!</v>
      </c>
      <c r="T30">
        <f t="shared" ca="1" si="28"/>
        <v>1000000</v>
      </c>
      <c r="U30">
        <f t="shared" ca="1" si="29"/>
        <v>100</v>
      </c>
      <c r="V30" t="e">
        <f t="shared" si="30"/>
        <v>#VALUE!</v>
      </c>
      <c r="W30">
        <f t="shared" ca="1" si="31"/>
        <v>1000000000</v>
      </c>
      <c r="X30">
        <f t="shared" ca="1" si="32"/>
        <v>100</v>
      </c>
      <c r="Y30" t="e">
        <f>GetFollowingCarRow($B$45:$E$54,L30,$E$15,E30)</f>
        <v>#VALUE!</v>
      </c>
      <c r="Z30">
        <f t="shared" ca="1" si="33"/>
        <v>1000000000</v>
      </c>
      <c r="AA30">
        <f t="shared" ca="1" si="34"/>
        <v>100</v>
      </c>
      <c r="AB30">
        <f t="shared" si="35"/>
        <v>-0.10000000000000053</v>
      </c>
      <c r="AC30">
        <f t="shared" si="36"/>
        <v>3.7199999999999989</v>
      </c>
      <c r="AD30">
        <f t="shared" si="37"/>
        <v>2.7845698924730984</v>
      </c>
      <c r="AE30">
        <f t="shared" si="38"/>
        <v>-10.358599999999923</v>
      </c>
      <c r="AF30">
        <f t="shared" si="39"/>
        <v>3.7213438432910215</v>
      </c>
      <c r="AG30">
        <f t="shared" si="40"/>
        <v>1000000000</v>
      </c>
      <c r="AH30">
        <f t="shared" si="41"/>
        <v>0.65840903595525113</v>
      </c>
      <c r="AI30">
        <f>IF(G30&lt;=0,1,0)</f>
        <v>0</v>
      </c>
      <c r="AJ30">
        <f>IF(G30&lt;0,1,0)</f>
        <v>0</v>
      </c>
      <c r="AK30">
        <f>MAX(($B$3-G30)/(G30 + 1),0) / $B$3</f>
        <v>0.28424342929407409</v>
      </c>
      <c r="AL30">
        <f>IF(H30+ABS(K30)&lt;0,Logistic(SQRT(H30^2+K30^2)/$B$4),0)</f>
        <v>0</v>
      </c>
      <c r="AM30">
        <f>IF(G30&gt;$B$3,1,0)</f>
        <v>0</v>
      </c>
      <c r="AN30">
        <f>IF(H30&gt;$B$4,1,0)</f>
        <v>0</v>
      </c>
      <c r="AO30">
        <f>ABS(H30)/$B$4</f>
        <v>1.8749999999999999E-2</v>
      </c>
      <c r="AP30">
        <f>Logistic(I30/$B$5)</f>
        <v>1.4998875101240792E-2</v>
      </c>
      <c r="AQ30">
        <f>IF(I30&gt;$B$5,1,0)</f>
        <v>0</v>
      </c>
      <c r="AR30">
        <f>Logistic(ABS(F30-O30)/($B$6/2))</f>
        <v>0.73059389609594372</v>
      </c>
      <c r="AS30">
        <f>IF(OR(F30&lt;M30,F30&gt;N30),1,0)</f>
        <v>1</v>
      </c>
      <c r="AT30">
        <f>ABS(K30)/$B$4</f>
        <v>1.25E-3</v>
      </c>
      <c r="AU30">
        <f t="shared" ca="1" si="42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</v>
      </c>
      <c r="BA30">
        <f t="shared" ca="1" si="43"/>
        <v>0</v>
      </c>
      <c r="BB30">
        <f t="shared" ca="1" si="44"/>
        <v>0</v>
      </c>
      <c r="BC30">
        <f t="shared" si="45"/>
        <v>0</v>
      </c>
      <c r="BE30">
        <f t="shared" si="7"/>
        <v>0.65840903595525113</v>
      </c>
      <c r="BF30">
        <f t="shared" si="46"/>
        <v>0</v>
      </c>
      <c r="BG30">
        <f t="shared" si="47"/>
        <v>0</v>
      </c>
      <c r="BH30">
        <f t="shared" si="8"/>
        <v>0.99520842949073796</v>
      </c>
      <c r="BI30">
        <f t="shared" si="9"/>
        <v>0</v>
      </c>
      <c r="BJ30">
        <f t="shared" si="10"/>
        <v>0</v>
      </c>
      <c r="BK30">
        <f t="shared" si="11"/>
        <v>1.8703466827523275E-23</v>
      </c>
      <c r="BL30">
        <f t="shared" si="48"/>
        <v>0</v>
      </c>
      <c r="BM30">
        <f t="shared" si="12"/>
        <v>9.074271138215859E-15</v>
      </c>
      <c r="BN30">
        <f t="shared" si="13"/>
        <v>0.42999999999999994</v>
      </c>
      <c r="BO30">
        <f t="shared" si="14"/>
        <v>1.25E-3</v>
      </c>
      <c r="BP30">
        <f t="shared" si="15"/>
        <v>9.3747253514524613E-3</v>
      </c>
      <c r="BQ30">
        <f t="shared" si="16"/>
        <v>0.99970574800454037</v>
      </c>
    </row>
    <row r="31" spans="1:69" x14ac:dyDescent="0.25">
      <c r="A31" s="1" t="s">
        <v>20</v>
      </c>
      <c r="B31">
        <f t="shared" ca="1" si="2"/>
        <v>216.03608443138427</v>
      </c>
      <c r="C31" t="s">
        <v>271</v>
      </c>
      <c r="D31">
        <f t="shared" si="17"/>
        <v>129</v>
      </c>
      <c r="E31">
        <f t="shared" si="18"/>
        <v>130.03</v>
      </c>
      <c r="F31">
        <f t="shared" si="19"/>
        <v>6.41</v>
      </c>
      <c r="G31">
        <f t="shared" si="20"/>
        <v>2.16</v>
      </c>
      <c r="H31">
        <f t="shared" si="21"/>
        <v>0.15</v>
      </c>
      <c r="I31">
        <f t="shared" si="22"/>
        <v>0.24</v>
      </c>
      <c r="J31">
        <f t="shared" si="23"/>
        <v>-0.26</v>
      </c>
      <c r="K31">
        <f t="shared" si="24"/>
        <v>0.02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 t="e">
        <f t="shared" si="5"/>
        <v>#VALUE!</v>
      </c>
      <c r="Q31">
        <f t="shared" ca="1" si="25"/>
        <v>1000000</v>
      </c>
      <c r="R31">
        <f t="shared" ca="1" si="26"/>
        <v>100</v>
      </c>
      <c r="S31" t="e">
        <f t="shared" si="27"/>
        <v>#VALUE!</v>
      </c>
      <c r="T31">
        <f t="shared" ca="1" si="28"/>
        <v>1000000</v>
      </c>
      <c r="U31">
        <f t="shared" ca="1" si="29"/>
        <v>100</v>
      </c>
      <c r="V31" t="e">
        <f t="shared" si="30"/>
        <v>#VALUE!</v>
      </c>
      <c r="W31">
        <f t="shared" ca="1" si="31"/>
        <v>1000000000</v>
      </c>
      <c r="X31">
        <f t="shared" ca="1" si="32"/>
        <v>100</v>
      </c>
      <c r="Y31" t="e">
        <f>GetFollowingCarRow($B$45:$E$54,L31,$E$15,E31)</f>
        <v>#VALUE!</v>
      </c>
      <c r="Z31">
        <f t="shared" ca="1" si="33"/>
        <v>1000000000</v>
      </c>
      <c r="AA31">
        <f t="shared" ca="1" si="34"/>
        <v>100</v>
      </c>
      <c r="AB31">
        <f t="shared" si="35"/>
        <v>-0.23000000000000043</v>
      </c>
      <c r="AC31">
        <f t="shared" si="36"/>
        <v>3.7199999999999989</v>
      </c>
      <c r="AD31">
        <f t="shared" si="37"/>
        <v>-1.6294892473118452</v>
      </c>
      <c r="AE31">
        <f t="shared" si="38"/>
        <v>6.0617000000000623</v>
      </c>
      <c r="AF31">
        <f t="shared" si="39"/>
        <v>3.7271034329623847</v>
      </c>
      <c r="AG31">
        <f t="shared" si="40"/>
        <v>1000000000</v>
      </c>
      <c r="AH31">
        <f t="shared" si="41"/>
        <v>0.65840903595525113</v>
      </c>
      <c r="AI31">
        <f>IF(G31&lt;=0,1,0)</f>
        <v>0</v>
      </c>
      <c r="AJ31">
        <f>IF(G31&lt;0,1,0)</f>
        <v>0</v>
      </c>
      <c r="AK31">
        <f>MAX(($B$3-G31)/(G31 + 1),0) / $B$3</f>
        <v>0.28424342929407409</v>
      </c>
      <c r="AL31">
        <f>IF(H31+ABS(K31)&lt;0,Logistic(SQRT(H31^2+K31^2)/$B$4),0)</f>
        <v>0</v>
      </c>
      <c r="AM31">
        <f>IF(G31&gt;$B$3,1,0)</f>
        <v>0</v>
      </c>
      <c r="AN31">
        <f>IF(H31&gt;$B$4,1,0)</f>
        <v>0</v>
      </c>
      <c r="AO31">
        <f>ABS(H31)/$B$4</f>
        <v>1.8749999999999999E-2</v>
      </c>
      <c r="AP31">
        <f>Logistic(I31/$B$5)</f>
        <v>1.4998875101240792E-2</v>
      </c>
      <c r="AQ31">
        <f>IF(I31&gt;$B$5,1,0)</f>
        <v>0</v>
      </c>
      <c r="AR31">
        <f>Logistic(ABS(F31-O31)/($B$6/2))</f>
        <v>0.71507839556902408</v>
      </c>
      <c r="AS31">
        <f>IF(OR(F31&lt;M31,F31&gt;N31),1,0)</f>
        <v>1</v>
      </c>
      <c r="AT31">
        <f>ABS(K31)/$B$4</f>
        <v>2.5000000000000001E-3</v>
      </c>
      <c r="AU31">
        <f t="shared" ca="1" si="42"/>
        <v>0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</v>
      </c>
      <c r="BA31">
        <f t="shared" ca="1" si="43"/>
        <v>0</v>
      </c>
      <c r="BB31">
        <f t="shared" ca="1" si="44"/>
        <v>0</v>
      </c>
      <c r="BC31">
        <f t="shared" si="45"/>
        <v>0</v>
      </c>
      <c r="BE31">
        <f t="shared" si="7"/>
        <v>0.65840903595525113</v>
      </c>
      <c r="BF31">
        <f t="shared" si="46"/>
        <v>0</v>
      </c>
      <c r="BG31">
        <f t="shared" si="47"/>
        <v>0</v>
      </c>
      <c r="BH31">
        <f t="shared" si="8"/>
        <v>0.99520842949073796</v>
      </c>
      <c r="BI31">
        <f t="shared" si="9"/>
        <v>0</v>
      </c>
      <c r="BJ31">
        <f t="shared" si="10"/>
        <v>0</v>
      </c>
      <c r="BK31">
        <f t="shared" si="11"/>
        <v>1.8703466827523275E-23</v>
      </c>
      <c r="BL31">
        <f t="shared" si="48"/>
        <v>0</v>
      </c>
      <c r="BM31">
        <f t="shared" si="12"/>
        <v>9.074271138215859E-15</v>
      </c>
      <c r="BN31">
        <f t="shared" si="13"/>
        <v>0.39749999999999996</v>
      </c>
      <c r="BO31">
        <f t="shared" si="14"/>
        <v>2.5000000000000001E-3</v>
      </c>
      <c r="BP31">
        <f t="shared" si="15"/>
        <v>9.3747253514524613E-3</v>
      </c>
      <c r="BQ31">
        <f t="shared" si="16"/>
        <v>0.99970574800454037</v>
      </c>
    </row>
    <row r="32" spans="1:69" x14ac:dyDescent="0.25">
      <c r="A32" s="1" t="s">
        <v>37</v>
      </c>
      <c r="B32">
        <f t="shared" ca="1" si="2"/>
        <v>165.83590561084517</v>
      </c>
      <c r="C32" t="s">
        <v>270</v>
      </c>
      <c r="D32">
        <f t="shared" si="17"/>
        <v>129</v>
      </c>
      <c r="E32">
        <f t="shared" si="18"/>
        <v>137.13999999999999</v>
      </c>
      <c r="F32">
        <f t="shared" si="19"/>
        <v>5.46</v>
      </c>
      <c r="G32">
        <f t="shared" si="20"/>
        <v>9.24</v>
      </c>
      <c r="H32">
        <f t="shared" si="21"/>
        <v>1.93</v>
      </c>
      <c r="I32">
        <f t="shared" si="22"/>
        <v>1.54</v>
      </c>
      <c r="J32">
        <f t="shared" si="23"/>
        <v>1.1299999999999999</v>
      </c>
      <c r="K32">
        <f t="shared" si="24"/>
        <v>0.01</v>
      </c>
      <c r="L32">
        <f t="shared" si="3"/>
        <v>1</v>
      </c>
      <c r="M32">
        <f t="shared" ref="M32:M37" si="49">$B$6*(L32-1)</f>
        <v>0</v>
      </c>
      <c r="N32">
        <f t="shared" ref="N32:N37" si="50">$B$6*L32</f>
        <v>4</v>
      </c>
      <c r="O32">
        <f t="shared" si="4"/>
        <v>2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>
        <f t="shared" si="27"/>
        <v>45</v>
      </c>
      <c r="T32">
        <f t="shared" ca="1" si="28"/>
        <v>-42.588467000000009</v>
      </c>
      <c r="U32">
        <f t="shared" ca="1" si="29"/>
        <v>23.812280999999999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>
        <f>GetFollowingCarRow($B$45:$E$54,L32,$E$15,E32)</f>
        <v>45</v>
      </c>
      <c r="Z32">
        <f t="shared" ca="1" si="33"/>
        <v>-53.418466999999993</v>
      </c>
      <c r="AA32">
        <f t="shared" ca="1" si="34"/>
        <v>23.812280999999999</v>
      </c>
      <c r="AB32">
        <f t="shared" si="35"/>
        <v>0.71999999999999975</v>
      </c>
      <c r="AC32">
        <f t="shared" si="36"/>
        <v>10.829999999999984</v>
      </c>
      <c r="AD32">
        <f t="shared" si="37"/>
        <v>14.577340720221615</v>
      </c>
      <c r="AE32">
        <f t="shared" si="38"/>
        <v>-157.87259999999986</v>
      </c>
      <c r="AF32">
        <f t="shared" si="39"/>
        <v>10.853907130614287</v>
      </c>
      <c r="AG32">
        <f t="shared" si="40"/>
        <v>7.5387457774727604</v>
      </c>
      <c r="AH32">
        <f t="shared" si="41"/>
        <v>0.65840903595525113</v>
      </c>
      <c r="AI32">
        <f>IF(G32&lt;=0,1,0)</f>
        <v>0</v>
      </c>
      <c r="AJ32">
        <f>IF(G32&lt;0,1,0)</f>
        <v>0</v>
      </c>
      <c r="AK32">
        <f>MAX(($B$3-G32)/(G32 + 1),0) / $B$3</f>
        <v>5.513298185673892E-2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0.24124999999999999</v>
      </c>
      <c r="AP32">
        <f>Logistic(I32/$B$5)</f>
        <v>9.595387527359274E-2</v>
      </c>
      <c r="AQ32">
        <f>IF(I32&gt;$B$5,1,0)</f>
        <v>0</v>
      </c>
      <c r="AR32">
        <f>Logistic(ABS(F32-O32)/($B$6/2))</f>
        <v>0.69882484050831206</v>
      </c>
      <c r="AS32">
        <f>IF(OR(F32&lt;M32,F32&gt;N32),1,0)</f>
        <v>1</v>
      </c>
      <c r="AT32">
        <f>ABS(K32)/$B$4</f>
        <v>1.25E-3</v>
      </c>
      <c r="AU32">
        <f t="shared" ca="1" si="42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0.70774330387946804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0.63342412213983523</v>
      </c>
      <c r="BA32">
        <f t="shared" ca="1" si="43"/>
        <v>0</v>
      </c>
      <c r="BB32">
        <f t="shared" ca="1" si="44"/>
        <v>0</v>
      </c>
      <c r="BC32">
        <f t="shared" si="45"/>
        <v>0</v>
      </c>
      <c r="BE32">
        <f t="shared" ref="BE32:BE37" si="51">Logistic((D32-$B$2)/$B$2)</f>
        <v>0.65840903595525113</v>
      </c>
      <c r="BF32">
        <f t="shared" si="46"/>
        <v>0</v>
      </c>
      <c r="BG32">
        <f t="shared" si="47"/>
        <v>0</v>
      </c>
      <c r="BH32">
        <f t="shared" ref="BH32:BH37" si="52">Logistic(($B$3-G32)/(G32+1))</f>
        <v>0.52626178795110534</v>
      </c>
      <c r="BI32">
        <f t="shared" ref="BI32:BI37" si="53">IF(G32&gt;$B$3,1,0)</f>
        <v>0</v>
      </c>
      <c r="BJ32">
        <f t="shared" ref="BJ32:BJ37" si="54">IF(H32&gt;$B$5,1,0)</f>
        <v>0</v>
      </c>
      <c r="BK32">
        <f t="shared" ref="BK32:BK37" si="55">EXP(-($B$4-ABS(H32))/MAX(ABS(H32),0.000000001))</f>
        <v>4.3063577006636225E-2</v>
      </c>
      <c r="BL32">
        <f t="shared" si="48"/>
        <v>0</v>
      </c>
      <c r="BM32">
        <f t="shared" ref="BM32:BM37" si="56">EXP(-($B$5-I32)/MAX(I32,0.000000001))</f>
        <v>1.5073678606989143E-2</v>
      </c>
      <c r="BN32">
        <f t="shared" ref="BN32:BN37" si="57">IF(F32&gt;N32,(F32-N32)/$B$6,0)+IF(F32&lt;M32,(M32-F32)/$B$6,0)</f>
        <v>0.36499999999999999</v>
      </c>
      <c r="BO32">
        <f t="shared" ref="BO32:BO37" si="58">ABS(K32/$B$4)</f>
        <v>1.25E-3</v>
      </c>
      <c r="BP32">
        <f t="shared" ref="BP32:BP37" si="59">Logistic(ABS(H32)/$B$4)</f>
        <v>0.12004333817193183</v>
      </c>
      <c r="BQ32">
        <f t="shared" ref="BQ32:BQ37" si="60">Logistic(($B$3-G32)/G32)</f>
        <v>0.57050310923077208</v>
      </c>
    </row>
    <row r="33" spans="1:69" x14ac:dyDescent="0.25">
      <c r="A33" s="1" t="s">
        <v>38</v>
      </c>
      <c r="B33">
        <f t="shared" ca="1" si="2"/>
        <v>165.83590561084517</v>
      </c>
      <c r="C33" t="s">
        <v>269</v>
      </c>
      <c r="D33">
        <f t="shared" si="17"/>
        <v>129</v>
      </c>
      <c r="E33">
        <f t="shared" si="18"/>
        <v>137.13999999999999</v>
      </c>
      <c r="F33">
        <f t="shared" si="19"/>
        <v>5.19</v>
      </c>
      <c r="G33">
        <f t="shared" si="20"/>
        <v>9.24</v>
      </c>
      <c r="H33">
        <f t="shared" si="21"/>
        <v>1.93</v>
      </c>
      <c r="I33">
        <f t="shared" si="22"/>
        <v>1.54</v>
      </c>
      <c r="J33">
        <f t="shared" si="23"/>
        <v>1.51</v>
      </c>
      <c r="K33">
        <f t="shared" si="24"/>
        <v>0.01</v>
      </c>
      <c r="L33">
        <f t="shared" si="3"/>
        <v>1</v>
      </c>
      <c r="M33">
        <f t="shared" si="49"/>
        <v>0</v>
      </c>
      <c r="N33">
        <f t="shared" si="50"/>
        <v>4</v>
      </c>
      <c r="O33">
        <f t="shared" si="4"/>
        <v>2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>
        <f t="shared" si="27"/>
        <v>45</v>
      </c>
      <c r="T33">
        <f t="shared" ca="1" si="28"/>
        <v>-42.588467000000009</v>
      </c>
      <c r="U33">
        <f t="shared" ca="1" si="29"/>
        <v>23.812280999999999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>
        <f>GetFollowingCarRow($B$45:$E$54,L33,$E$15,E33)</f>
        <v>45</v>
      </c>
      <c r="Z33">
        <f t="shared" ca="1" si="33"/>
        <v>-53.418466999999993</v>
      </c>
      <c r="AA33">
        <f t="shared" ca="1" si="34"/>
        <v>23.812280999999999</v>
      </c>
      <c r="AB33">
        <f t="shared" si="35"/>
        <v>0.98999999999999932</v>
      </c>
      <c r="AC33">
        <f t="shared" si="36"/>
        <v>10.829999999999984</v>
      </c>
      <c r="AD33">
        <f t="shared" si="37"/>
        <v>17.726343490304718</v>
      </c>
      <c r="AE33">
        <f t="shared" si="38"/>
        <v>-191.97629999999981</v>
      </c>
      <c r="AF33">
        <f t="shared" si="39"/>
        <v>10.875155171306737</v>
      </c>
      <c r="AG33">
        <f t="shared" si="40"/>
        <v>9.6025903828507708</v>
      </c>
      <c r="AH33">
        <f t="shared" si="41"/>
        <v>0.65840903595525113</v>
      </c>
      <c r="AI33">
        <f>IF(G33&lt;=0,1,0)</f>
        <v>0</v>
      </c>
      <c r="AJ33">
        <f>IF(G33&lt;0,1,0)</f>
        <v>0</v>
      </c>
      <c r="AK33">
        <f>MAX(($B$3-G33)/(G33 + 1),0) / $B$3</f>
        <v>5.513298185673892E-2</v>
      </c>
      <c r="AL33">
        <f>IF(H33+ABS(K33)&lt;0,Logistic(SQRT(H33^2+K33^2)/$B$4),0)</f>
        <v>0</v>
      </c>
      <c r="AM33">
        <f>IF(G33&gt;$B$3,1,0)</f>
        <v>0</v>
      </c>
      <c r="AN33">
        <f>IF(H33&gt;$B$4,1,0)</f>
        <v>0</v>
      </c>
      <c r="AO33">
        <f>ABS(H33)/$B$4</f>
        <v>0.24124999999999999</v>
      </c>
      <c r="AP33">
        <f>Logistic(I33/$B$5)</f>
        <v>9.595387527359274E-2</v>
      </c>
      <c r="AQ33">
        <f>IF(I33&gt;$B$5,1,0)</f>
        <v>0</v>
      </c>
      <c r="AR33">
        <f>Logistic(ABS(F33-O33)/($B$6/2))</f>
        <v>0.66263681120436102</v>
      </c>
      <c r="AS33">
        <f>IF(OR(F33&lt;M33,F33&gt;N33),1,0)</f>
        <v>1</v>
      </c>
      <c r="AT33">
        <f>ABS(K33)/$B$4</f>
        <v>1.25E-3</v>
      </c>
      <c r="AU33">
        <f t="shared" ca="1" si="42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0.70774330387946804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0.63342412213983523</v>
      </c>
      <c r="BA33">
        <f t="shared" ca="1" si="43"/>
        <v>0</v>
      </c>
      <c r="BB33">
        <f t="shared" ca="1" si="44"/>
        <v>0</v>
      </c>
      <c r="BC33">
        <f t="shared" si="45"/>
        <v>0</v>
      </c>
      <c r="BE33">
        <f t="shared" si="51"/>
        <v>0.65840903595525113</v>
      </c>
      <c r="BF33">
        <f t="shared" si="46"/>
        <v>0</v>
      </c>
      <c r="BG33">
        <f t="shared" si="47"/>
        <v>0</v>
      </c>
      <c r="BH33">
        <f t="shared" si="52"/>
        <v>0.52626178795110534</v>
      </c>
      <c r="BI33">
        <f t="shared" si="53"/>
        <v>0</v>
      </c>
      <c r="BJ33">
        <f t="shared" si="54"/>
        <v>0</v>
      </c>
      <c r="BK33">
        <f t="shared" si="55"/>
        <v>4.3063577006636225E-2</v>
      </c>
      <c r="BL33">
        <f t="shared" si="48"/>
        <v>0</v>
      </c>
      <c r="BM33">
        <f t="shared" si="56"/>
        <v>1.5073678606989143E-2</v>
      </c>
      <c r="BN33">
        <f t="shared" si="57"/>
        <v>0.2975000000000001</v>
      </c>
      <c r="BO33">
        <f t="shared" si="58"/>
        <v>1.25E-3</v>
      </c>
      <c r="BP33">
        <f t="shared" si="59"/>
        <v>0.12004333817193183</v>
      </c>
      <c r="BQ33">
        <f t="shared" si="60"/>
        <v>0.57050310923077208</v>
      </c>
    </row>
    <row r="34" spans="1:69" x14ac:dyDescent="0.25">
      <c r="A34" s="1" t="s">
        <v>39</v>
      </c>
      <c r="B34">
        <f t="shared" ca="1" si="2"/>
        <v>165.86289961939383</v>
      </c>
      <c r="C34" t="s">
        <v>268</v>
      </c>
      <c r="D34">
        <f t="shared" si="17"/>
        <v>129</v>
      </c>
      <c r="E34">
        <f t="shared" si="18"/>
        <v>137.13999999999999</v>
      </c>
      <c r="F34">
        <f t="shared" si="19"/>
        <v>4.45</v>
      </c>
      <c r="G34">
        <f t="shared" si="20"/>
        <v>9.23</v>
      </c>
      <c r="H34">
        <f t="shared" si="21"/>
        <v>1.93</v>
      </c>
      <c r="I34">
        <f t="shared" si="22"/>
        <v>1.54</v>
      </c>
      <c r="J34">
        <f t="shared" si="23"/>
        <v>2.48</v>
      </c>
      <c r="K34">
        <f t="shared" si="24"/>
        <v>0.03</v>
      </c>
      <c r="L34">
        <f t="shared" si="3"/>
        <v>1</v>
      </c>
      <c r="M34">
        <f t="shared" si="49"/>
        <v>0</v>
      </c>
      <c r="N34">
        <f t="shared" si="50"/>
        <v>4</v>
      </c>
      <c r="O34">
        <f t="shared" si="4"/>
        <v>2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>
        <f t="shared" si="27"/>
        <v>45</v>
      </c>
      <c r="T34">
        <f t="shared" ca="1" si="28"/>
        <v>-42.588467000000009</v>
      </c>
      <c r="U34">
        <f t="shared" ca="1" si="29"/>
        <v>23.812280999999999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>
        <f>GetFollowingCarRow($B$45:$E$54,L34,$E$15,E34)</f>
        <v>45</v>
      </c>
      <c r="Z34">
        <f t="shared" ca="1" si="33"/>
        <v>-53.418466999999993</v>
      </c>
      <c r="AA34">
        <f t="shared" ca="1" si="34"/>
        <v>23.812280999999999</v>
      </c>
      <c r="AB34">
        <f t="shared" si="35"/>
        <v>1.7299999999999995</v>
      </c>
      <c r="AC34">
        <f t="shared" si="36"/>
        <v>10.829999999999984</v>
      </c>
      <c r="AD34">
        <f t="shared" si="37"/>
        <v>26.356943674976939</v>
      </c>
      <c r="AE34">
        <f t="shared" si="38"/>
        <v>-285.44569999999982</v>
      </c>
      <c r="AF34">
        <f t="shared" si="39"/>
        <v>10.967305959076716</v>
      </c>
      <c r="AG34">
        <f t="shared" si="40"/>
        <v>15.170871999089094</v>
      </c>
      <c r="AH34">
        <f t="shared" si="41"/>
        <v>0.65840903595525113</v>
      </c>
      <c r="AI34">
        <f>IF(G34&lt;=0,1,0)</f>
        <v>0</v>
      </c>
      <c r="AJ34">
        <f>IF(G34&lt;0,1,0)</f>
        <v>0</v>
      </c>
      <c r="AK34">
        <f>MAX(($B$3-G34)/(G34 + 1),0) / $B$3</f>
        <v>5.5232941128778891E-2</v>
      </c>
      <c r="AL34">
        <f>IF(H34+ABS(K34)&lt;0,Logistic(SQRT(H34^2+K34^2)/$B$4),0)</f>
        <v>0</v>
      </c>
      <c r="AM34">
        <f>IF(G34&gt;$B$3,1,0)</f>
        <v>0</v>
      </c>
      <c r="AN34">
        <f>IF(H34&gt;$B$4,1,0)</f>
        <v>0</v>
      </c>
      <c r="AO34">
        <f>ABS(H34)/$B$4</f>
        <v>0.24124999999999999</v>
      </c>
      <c r="AP34">
        <f>Logistic(I34/$B$5)</f>
        <v>9.595387527359274E-2</v>
      </c>
      <c r="AQ34">
        <f>IF(I34&gt;$B$5,1,0)</f>
        <v>0</v>
      </c>
      <c r="AR34">
        <f>Logistic(ABS(F34-O34)/($B$6/2))</f>
        <v>0.5458845187934771</v>
      </c>
      <c r="AS34">
        <f>IF(OR(F34&lt;M34,F34&gt;N34),1,0)</f>
        <v>1</v>
      </c>
      <c r="AT34">
        <f>ABS(K34)/$B$4</f>
        <v>3.7499999999999999E-3</v>
      </c>
      <c r="AU34">
        <f t="shared" ca="1" si="42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0.70794372293333252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0.63367550659598448</v>
      </c>
      <c r="BA34">
        <f t="shared" ca="1" si="43"/>
        <v>0</v>
      </c>
      <c r="BB34">
        <f t="shared" ca="1" si="44"/>
        <v>0</v>
      </c>
      <c r="BC34">
        <f t="shared" si="45"/>
        <v>0</v>
      </c>
      <c r="BE34">
        <f t="shared" si="51"/>
        <v>0.65840903595525113</v>
      </c>
      <c r="BF34">
        <f t="shared" si="46"/>
        <v>0</v>
      </c>
      <c r="BG34">
        <f t="shared" si="47"/>
        <v>0</v>
      </c>
      <c r="BH34">
        <f t="shared" si="52"/>
        <v>0.52702820194477473</v>
      </c>
      <c r="BI34">
        <f t="shared" si="53"/>
        <v>0</v>
      </c>
      <c r="BJ34">
        <f t="shared" si="54"/>
        <v>0</v>
      </c>
      <c r="BK34">
        <f t="shared" si="55"/>
        <v>4.3063577006636225E-2</v>
      </c>
      <c r="BL34">
        <f t="shared" si="48"/>
        <v>0</v>
      </c>
      <c r="BM34">
        <f t="shared" si="56"/>
        <v>1.5073678606989143E-2</v>
      </c>
      <c r="BN34">
        <f t="shared" si="57"/>
        <v>0.11250000000000004</v>
      </c>
      <c r="BO34">
        <f t="shared" si="58"/>
        <v>3.7499999999999999E-3</v>
      </c>
      <c r="BP34">
        <f t="shared" si="59"/>
        <v>0.12004333817193183</v>
      </c>
      <c r="BQ34">
        <f t="shared" si="60"/>
        <v>0.5713416654521154</v>
      </c>
    </row>
    <row r="35" spans="1:69" x14ac:dyDescent="0.25">
      <c r="A35" s="1" t="s">
        <v>82</v>
      </c>
      <c r="B35">
        <f t="shared" ca="1" si="2"/>
        <v>243.53833184643034</v>
      </c>
      <c r="C35" t="s">
        <v>267</v>
      </c>
      <c r="D35">
        <f t="shared" si="17"/>
        <v>129</v>
      </c>
      <c r="E35">
        <f t="shared" si="18"/>
        <v>129.43</v>
      </c>
      <c r="F35">
        <f t="shared" si="19"/>
        <v>6.11</v>
      </c>
      <c r="G35">
        <f t="shared" si="20"/>
        <v>1.56</v>
      </c>
      <c r="H35">
        <f t="shared" si="21"/>
        <v>0</v>
      </c>
      <c r="I35">
        <f t="shared" si="22"/>
        <v>0.39</v>
      </c>
      <c r="J35">
        <f t="shared" si="23"/>
        <v>0.06</v>
      </c>
      <c r="K35">
        <f t="shared" si="24"/>
        <v>0.01</v>
      </c>
      <c r="L35">
        <f t="shared" si="3"/>
        <v>1</v>
      </c>
      <c r="M35">
        <f t="shared" si="49"/>
        <v>0</v>
      </c>
      <c r="N35">
        <f t="shared" si="50"/>
        <v>4</v>
      </c>
      <c r="O35">
        <f t="shared" si="4"/>
        <v>2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>
        <f t="shared" si="27"/>
        <v>45</v>
      </c>
      <c r="T35">
        <f t="shared" ca="1" si="28"/>
        <v>-42.588467000000009</v>
      </c>
      <c r="U35">
        <f t="shared" ca="1" si="29"/>
        <v>23.812280999999999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>
        <f>GetFollowingCarRow($B$45:$E$54,L35,$E$15,E35)</f>
        <v>45</v>
      </c>
      <c r="Z35">
        <f t="shared" ca="1" si="33"/>
        <v>-45.708467000000013</v>
      </c>
      <c r="AA35">
        <f t="shared" ca="1" si="34"/>
        <v>23.812280999999999</v>
      </c>
      <c r="AB35">
        <f t="shared" si="35"/>
        <v>6.9999999999999396E-2</v>
      </c>
      <c r="AC35">
        <f t="shared" si="36"/>
        <v>3.1200000000000045</v>
      </c>
      <c r="AD35">
        <f t="shared" si="37"/>
        <v>9.0138782051281758</v>
      </c>
      <c r="AE35">
        <f t="shared" si="38"/>
        <v>-28.123299999999951</v>
      </c>
      <c r="AF35">
        <f t="shared" si="39"/>
        <v>3.1207851576165937</v>
      </c>
      <c r="AG35">
        <f t="shared" si="40"/>
        <v>3.8668076335046826</v>
      </c>
      <c r="AH35">
        <f t="shared" si="41"/>
        <v>0.65840903595525113</v>
      </c>
      <c r="AI35">
        <f>IF(G35&lt;=0,1,0)</f>
        <v>0</v>
      </c>
      <c r="AJ35">
        <f>IF(G35&lt;0,1,0)</f>
        <v>0</v>
      </c>
      <c r="AK35">
        <f>MAX(($B$3-G35)/(G35 + 1),0) / $B$3</f>
        <v>0.36190798774740812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</v>
      </c>
      <c r="AP35">
        <f>Logistic(I35/$B$5)</f>
        <v>2.4370173754406046E-2</v>
      </c>
      <c r="AQ35">
        <f>IF(I35&gt;$B$5,1,0)</f>
        <v>0</v>
      </c>
      <c r="AR35">
        <f>Logistic(ABS(F35-O35)/($B$6/2))</f>
        <v>0.77290373356204445</v>
      </c>
      <c r="AS35">
        <f>IF(OR(F35&lt;M35,F35&gt;N35),1,0)</f>
        <v>1</v>
      </c>
      <c r="AT35">
        <f>ABS(K35)/$B$4</f>
        <v>1.25E-3</v>
      </c>
      <c r="AU35">
        <f t="shared" ca="1" si="42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0.80861078017125521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0.7945897456534905</v>
      </c>
      <c r="BA35">
        <f t="shared" ca="1" si="43"/>
        <v>0</v>
      </c>
      <c r="BB35">
        <f t="shared" ca="1" si="44"/>
        <v>0</v>
      </c>
      <c r="BC35">
        <f t="shared" si="45"/>
        <v>0</v>
      </c>
      <c r="BE35">
        <f t="shared" si="51"/>
        <v>0.65840903595525113</v>
      </c>
      <c r="BF35">
        <f t="shared" si="46"/>
        <v>0</v>
      </c>
      <c r="BG35">
        <f t="shared" si="47"/>
        <v>0</v>
      </c>
      <c r="BH35">
        <f t="shared" si="52"/>
        <v>0.9990761883341952</v>
      </c>
      <c r="BI35">
        <f t="shared" si="53"/>
        <v>0</v>
      </c>
      <c r="BJ35">
        <f t="shared" si="54"/>
        <v>0</v>
      </c>
      <c r="BK35">
        <f t="shared" si="55"/>
        <v>0</v>
      </c>
      <c r="BL35">
        <f t="shared" si="48"/>
        <v>0</v>
      </c>
      <c r="BM35">
        <f t="shared" si="56"/>
        <v>3.3549783727407615E-9</v>
      </c>
      <c r="BN35">
        <f t="shared" si="57"/>
        <v>0.52750000000000008</v>
      </c>
      <c r="BO35">
        <f t="shared" si="58"/>
        <v>1.25E-3</v>
      </c>
      <c r="BP35">
        <f t="shared" si="59"/>
        <v>0</v>
      </c>
      <c r="BQ35">
        <f t="shared" si="60"/>
        <v>0.99999327326239129</v>
      </c>
    </row>
    <row r="36" spans="1:69" x14ac:dyDescent="0.25">
      <c r="A36" s="1" t="s">
        <v>83</v>
      </c>
      <c r="B36">
        <f t="shared" ca="1" si="2"/>
        <v>243.53833184643034</v>
      </c>
      <c r="C36" t="s">
        <v>266</v>
      </c>
      <c r="D36">
        <f t="shared" si="17"/>
        <v>129</v>
      </c>
      <c r="E36">
        <f t="shared" si="18"/>
        <v>129.41999999999999</v>
      </c>
      <c r="F36">
        <f t="shared" si="19"/>
        <v>6.08</v>
      </c>
      <c r="G36">
        <f t="shared" si="20"/>
        <v>1.56</v>
      </c>
      <c r="H36">
        <f t="shared" si="21"/>
        <v>0</v>
      </c>
      <c r="I36">
        <f t="shared" si="22"/>
        <v>0.39</v>
      </c>
      <c r="J36">
        <f t="shared" si="23"/>
        <v>0.09</v>
      </c>
      <c r="K36">
        <f t="shared" si="24"/>
        <v>0.01</v>
      </c>
      <c r="L36">
        <f t="shared" si="3"/>
        <v>1</v>
      </c>
      <c r="M36">
        <f t="shared" si="49"/>
        <v>0</v>
      </c>
      <c r="N36">
        <f t="shared" si="50"/>
        <v>4</v>
      </c>
      <c r="O36">
        <f t="shared" si="4"/>
        <v>2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>
        <f t="shared" si="27"/>
        <v>45</v>
      </c>
      <c r="T36">
        <f t="shared" ca="1" si="28"/>
        <v>-42.588467000000009</v>
      </c>
      <c r="U36">
        <f t="shared" ca="1" si="29"/>
        <v>23.812280999999999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>
        <f>GetFollowingCarRow($B$45:$E$54,L36,$E$15,E36)</f>
        <v>45</v>
      </c>
      <c r="Z36">
        <f t="shared" ca="1" si="33"/>
        <v>-45.698466999999994</v>
      </c>
      <c r="AA36">
        <f t="shared" ca="1" si="34"/>
        <v>23.812280999999999</v>
      </c>
      <c r="AB36">
        <f t="shared" si="35"/>
        <v>9.9999999999999645E-2</v>
      </c>
      <c r="AC36">
        <f t="shared" si="36"/>
        <v>3.1099999999999852</v>
      </c>
      <c r="AD36">
        <f t="shared" si="37"/>
        <v>10.241414790996789</v>
      </c>
      <c r="AE36">
        <f t="shared" si="38"/>
        <v>-31.850799999999861</v>
      </c>
      <c r="AF36">
        <f t="shared" si="39"/>
        <v>3.1116073017011492</v>
      </c>
      <c r="AG36">
        <f t="shared" si="40"/>
        <v>4.6790055165509647</v>
      </c>
      <c r="AH36">
        <f t="shared" si="41"/>
        <v>0.65840903595525113</v>
      </c>
      <c r="AI36">
        <f>IF(G36&lt;=0,1,0)</f>
        <v>0</v>
      </c>
      <c r="AJ36">
        <f>IF(G36&lt;0,1,0)</f>
        <v>0</v>
      </c>
      <c r="AK36">
        <f>MAX(($B$3-G36)/(G36 + 1),0) / $B$3</f>
        <v>0.36190798774740812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0</v>
      </c>
      <c r="AP36">
        <f>Logistic(I36/$B$5)</f>
        <v>2.4370173754406046E-2</v>
      </c>
      <c r="AQ36">
        <f>IF(I36&gt;$B$5,1,0)</f>
        <v>0</v>
      </c>
      <c r="AR36">
        <f>Logistic(ABS(F36-O36)/($B$6/2))</f>
        <v>0.76986653590890042</v>
      </c>
      <c r="AS36">
        <f>IF(OR(F36&lt;M36,F36&gt;N36),1,0)</f>
        <v>1</v>
      </c>
      <c r="AT36">
        <f>ABS(K36)/$B$4</f>
        <v>1.25E-3</v>
      </c>
      <c r="AU36">
        <f t="shared" ca="1" si="42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0.80861078017125521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0.79463468486668853</v>
      </c>
      <c r="BA36">
        <f t="shared" ca="1" si="43"/>
        <v>0</v>
      </c>
      <c r="BB36">
        <f t="shared" ca="1" si="44"/>
        <v>0</v>
      </c>
      <c r="BC36">
        <f t="shared" si="45"/>
        <v>0</v>
      </c>
      <c r="BE36">
        <f t="shared" si="51"/>
        <v>0.65840903595525113</v>
      </c>
      <c r="BF36">
        <f t="shared" si="46"/>
        <v>0</v>
      </c>
      <c r="BG36">
        <f t="shared" si="47"/>
        <v>0</v>
      </c>
      <c r="BH36">
        <f t="shared" si="52"/>
        <v>0.9990761883341952</v>
      </c>
      <c r="BI36">
        <f t="shared" si="53"/>
        <v>0</v>
      </c>
      <c r="BJ36">
        <f t="shared" si="54"/>
        <v>0</v>
      </c>
      <c r="BK36">
        <f t="shared" si="55"/>
        <v>0</v>
      </c>
      <c r="BL36">
        <f t="shared" si="48"/>
        <v>0</v>
      </c>
      <c r="BM36">
        <f t="shared" si="56"/>
        <v>3.3549783727407615E-9</v>
      </c>
      <c r="BN36">
        <f t="shared" si="57"/>
        <v>0.52</v>
      </c>
      <c r="BO36">
        <f t="shared" si="58"/>
        <v>1.25E-3</v>
      </c>
      <c r="BP36">
        <f t="shared" si="59"/>
        <v>0</v>
      </c>
      <c r="BQ36">
        <f t="shared" si="60"/>
        <v>0.99999327326239129</v>
      </c>
    </row>
    <row r="37" spans="1:69" x14ac:dyDescent="0.25">
      <c r="A37" s="1" t="s">
        <v>84</v>
      </c>
      <c r="B37">
        <f t="shared" ca="1" si="2"/>
        <v>243.53833184643034</v>
      </c>
      <c r="C37" t="s">
        <v>265</v>
      </c>
      <c r="D37">
        <f t="shared" si="17"/>
        <v>129</v>
      </c>
      <c r="E37">
        <f t="shared" si="18"/>
        <v>129.41999999999999</v>
      </c>
      <c r="F37">
        <f t="shared" si="19"/>
        <v>6</v>
      </c>
      <c r="G37">
        <f t="shared" si="20"/>
        <v>1.56</v>
      </c>
      <c r="H37">
        <f t="shared" si="21"/>
        <v>0</v>
      </c>
      <c r="I37">
        <f t="shared" si="22"/>
        <v>0.39</v>
      </c>
      <c r="J37">
        <f t="shared" si="23"/>
        <v>0.17</v>
      </c>
      <c r="K37">
        <f t="shared" si="24"/>
        <v>0.03</v>
      </c>
      <c r="L37">
        <f t="shared" si="3"/>
        <v>1</v>
      </c>
      <c r="M37">
        <f t="shared" si="49"/>
        <v>0</v>
      </c>
      <c r="N37">
        <f t="shared" si="50"/>
        <v>4</v>
      </c>
      <c r="O37">
        <f t="shared" si="4"/>
        <v>2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>
        <f t="shared" si="27"/>
        <v>45</v>
      </c>
      <c r="T37">
        <f t="shared" ca="1" si="28"/>
        <v>-42.588467000000009</v>
      </c>
      <c r="U37">
        <f t="shared" ca="1" si="29"/>
        <v>23.812280999999999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>
        <f>GetFollowingCarRow($B$45:$E$54,L37,$E$15,E37)</f>
        <v>45</v>
      </c>
      <c r="Z37">
        <f t="shared" ca="1" si="33"/>
        <v>-45.698466999999994</v>
      </c>
      <c r="AA37">
        <f t="shared" ca="1" si="34"/>
        <v>23.812280999999999</v>
      </c>
      <c r="AB37">
        <f t="shared" si="35"/>
        <v>0.17999999999999972</v>
      </c>
      <c r="AC37">
        <f t="shared" si="36"/>
        <v>3.1099999999999852</v>
      </c>
      <c r="AD37">
        <f t="shared" si="37"/>
        <v>13.490546623794234</v>
      </c>
      <c r="AE37">
        <f t="shared" si="38"/>
        <v>-41.955599999999869</v>
      </c>
      <c r="AF37">
        <f t="shared" si="39"/>
        <v>3.1152046481731994</v>
      </c>
      <c r="AG37">
        <f t="shared" si="40"/>
        <v>6.8236128186523235</v>
      </c>
      <c r="AH37">
        <f t="shared" si="41"/>
        <v>0.65840903595525113</v>
      </c>
      <c r="AI37">
        <f>IF(G37&lt;=0,1,0)</f>
        <v>0</v>
      </c>
      <c r="AJ37">
        <f>IF(G37&lt;0,1,0)</f>
        <v>0</v>
      </c>
      <c r="AK37">
        <f>MAX(($B$3-G37)/(G37 + 1),0) / $B$3</f>
        <v>0.36190798774740812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0</v>
      </c>
      <c r="AP37">
        <f>Logistic(I37/$B$5)</f>
        <v>2.4370173754406046E-2</v>
      </c>
      <c r="AQ37">
        <f>IF(I37&gt;$B$5,1,0)</f>
        <v>0</v>
      </c>
      <c r="AR37">
        <f>Logistic(ABS(F37-O37)/($B$6/2))</f>
        <v>0.76159415595576485</v>
      </c>
      <c r="AS37">
        <f>IF(OR(F37&lt;M37,F37&gt;N37),1,0)</f>
        <v>1</v>
      </c>
      <c r="AT37">
        <f>ABS(K37)/$B$4</f>
        <v>3.7499999999999999E-3</v>
      </c>
      <c r="AU37">
        <f t="shared" ca="1" si="42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0.80861078017125521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0.79463468486668853</v>
      </c>
      <c r="BA37">
        <f t="shared" ca="1" si="43"/>
        <v>0</v>
      </c>
      <c r="BB37">
        <f t="shared" ca="1" si="44"/>
        <v>0</v>
      </c>
      <c r="BC37">
        <f t="shared" si="45"/>
        <v>0</v>
      </c>
      <c r="BE37">
        <f t="shared" si="51"/>
        <v>0.65840903595525113</v>
      </c>
      <c r="BF37">
        <f t="shared" si="46"/>
        <v>0</v>
      </c>
      <c r="BG37">
        <f t="shared" si="47"/>
        <v>0</v>
      </c>
      <c r="BH37">
        <f t="shared" si="52"/>
        <v>0.9990761883341952</v>
      </c>
      <c r="BI37">
        <f t="shared" si="53"/>
        <v>0</v>
      </c>
      <c r="BJ37">
        <f t="shared" si="54"/>
        <v>0</v>
      </c>
      <c r="BK37">
        <f t="shared" si="55"/>
        <v>0</v>
      </c>
      <c r="BL37">
        <f t="shared" si="48"/>
        <v>0</v>
      </c>
      <c r="BM37">
        <f t="shared" si="56"/>
        <v>3.3549783727407615E-9</v>
      </c>
      <c r="BN37">
        <f t="shared" si="57"/>
        <v>0.5</v>
      </c>
      <c r="BO37">
        <f t="shared" si="58"/>
        <v>3.7499999999999999E-3</v>
      </c>
      <c r="BP37">
        <f t="shared" si="59"/>
        <v>0</v>
      </c>
      <c r="BQ37">
        <f t="shared" si="60"/>
        <v>0.99999327326239129</v>
      </c>
    </row>
    <row r="38" spans="1:69" x14ac:dyDescent="0.25">
      <c r="A38" s="1" t="s">
        <v>19</v>
      </c>
      <c r="B38">
        <f t="shared" ca="1" si="2"/>
        <v>224.06915692845743</v>
      </c>
      <c r="C38" t="s">
        <v>264</v>
      </c>
      <c r="D38">
        <f t="shared" si="17"/>
        <v>129</v>
      </c>
      <c r="E38">
        <f t="shared" si="18"/>
        <v>130.03</v>
      </c>
      <c r="F38">
        <f t="shared" si="19"/>
        <v>6.08</v>
      </c>
      <c r="G38">
        <f t="shared" si="20"/>
        <v>2.16</v>
      </c>
      <c r="H38">
        <f t="shared" si="21"/>
        <v>0.15</v>
      </c>
      <c r="I38">
        <f t="shared" si="22"/>
        <v>0.24</v>
      </c>
      <c r="J38">
        <f t="shared" si="23"/>
        <v>0.11</v>
      </c>
      <c r="K38">
        <f t="shared" si="24"/>
        <v>0.01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>
        <f t="shared" si="27"/>
        <v>45</v>
      </c>
      <c r="T38">
        <f t="shared" ca="1" si="28"/>
        <v>-42.588467000000009</v>
      </c>
      <c r="U38">
        <f t="shared" ca="1" si="29"/>
        <v>23.812280999999999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>
        <f>GetFollowingCarRow($B$45:$E$54,L38,$E$15,E38)</f>
        <v>45</v>
      </c>
      <c r="Z38">
        <f t="shared" ca="1" si="33"/>
        <v>-46.308467000000007</v>
      </c>
      <c r="AA38">
        <f t="shared" ca="1" si="34"/>
        <v>23.812280999999999</v>
      </c>
      <c r="AB38">
        <f t="shared" si="35"/>
        <v>9.9999999999999645E-2</v>
      </c>
      <c r="AC38">
        <f t="shared" si="36"/>
        <v>3.7199999999999989</v>
      </c>
      <c r="AD38">
        <f t="shared" si="37"/>
        <v>9.57543010752687</v>
      </c>
      <c r="AE38">
        <f t="shared" si="38"/>
        <v>-35.620599999999946</v>
      </c>
      <c r="AF38">
        <f t="shared" si="39"/>
        <v>3.7213438432910215</v>
      </c>
      <c r="AG38">
        <f t="shared" si="40"/>
        <v>4.2384607077993373</v>
      </c>
      <c r="AH38">
        <f t="shared" si="41"/>
        <v>0.65840903595525113</v>
      </c>
      <c r="AI38">
        <f>IF(G38&lt;=0,1,0)</f>
        <v>0</v>
      </c>
      <c r="AJ38">
        <f>IF(G38&lt;0,1,0)</f>
        <v>0</v>
      </c>
      <c r="AK38">
        <f>MAX(($B$3-G38)/(G38 + 1),0) / $B$3</f>
        <v>0.28424342929407409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1.8749999999999999E-2</v>
      </c>
      <c r="AP38">
        <f>Logistic(I38/$B$5)</f>
        <v>1.4998875101240792E-2</v>
      </c>
      <c r="AQ38">
        <f>IF(I38&gt;$B$5,1,0)</f>
        <v>0</v>
      </c>
      <c r="AR38">
        <f>Logistic(ABS(F38-O38)/($B$6/2))</f>
        <v>0.76986653590890042</v>
      </c>
      <c r="AS38">
        <f>IF(OR(F38&lt;M38,F38&gt;N38),1,0)</f>
        <v>1</v>
      </c>
      <c r="AT38">
        <f>ABS(K38)/$B$4</f>
        <v>1.25E-3</v>
      </c>
      <c r="AU38">
        <f t="shared" ca="1" si="42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0.80330724970731715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0.78612661178746013</v>
      </c>
      <c r="BA38">
        <f t="shared" ca="1" si="43"/>
        <v>0</v>
      </c>
      <c r="BB38">
        <f t="shared" ca="1" si="44"/>
        <v>0</v>
      </c>
      <c r="BC38">
        <f t="shared" si="45"/>
        <v>0</v>
      </c>
      <c r="BE38">
        <f>Logistic((D38-$B$2)/$B$2)</f>
        <v>0.65840903595525113</v>
      </c>
      <c r="BF38">
        <f t="shared" si="46"/>
        <v>0</v>
      </c>
      <c r="BG38">
        <f t="shared" si="47"/>
        <v>0</v>
      </c>
      <c r="BH38">
        <f>Logistic(($B$3-G38)/(G38+1))</f>
        <v>0.99520842949073796</v>
      </c>
      <c r="BI38">
        <f>IF(G38&gt;$B$3,1,0)</f>
        <v>0</v>
      </c>
      <c r="BJ38">
        <f>IF(H38&gt;$B$5,1,0)</f>
        <v>0</v>
      </c>
      <c r="BK38">
        <f>EXP(-($B$4-ABS(H38))/MAX(ABS(H38),0.000000001))</f>
        <v>1.8703466827523275E-23</v>
      </c>
      <c r="BL38">
        <f t="shared" si="48"/>
        <v>0</v>
      </c>
      <c r="BM38">
        <f>EXP(-($B$5-I38)/MAX(I38,0.000000001))</f>
        <v>9.074271138215859E-15</v>
      </c>
      <c r="BN38">
        <f>IF(F38&gt;N38,(F38-N38)/$B$6,0)+IF(F38&lt;M38,(M38-F38)/$B$6,0)</f>
        <v>0.52</v>
      </c>
      <c r="BO38">
        <f>ABS(K38/$B$4)</f>
        <v>1.25E-3</v>
      </c>
      <c r="BP38">
        <f>Logistic(ABS(H38)/$B$4)</f>
        <v>9.3747253514524613E-3</v>
      </c>
      <c r="BQ38">
        <f>Logistic(($B$3-G38)/G38)</f>
        <v>0.99970574800454037</v>
      </c>
    </row>
    <row r="39" spans="1:69" x14ac:dyDescent="0.25">
      <c r="A39" s="1" t="s">
        <v>18</v>
      </c>
      <c r="B39">
        <f t="shared" ca="1" si="2"/>
        <v>224.06915692845743</v>
      </c>
      <c r="C39" t="s">
        <v>263</v>
      </c>
      <c r="D39">
        <f t="shared" si="17"/>
        <v>129</v>
      </c>
      <c r="E39">
        <f t="shared" si="18"/>
        <v>130.03</v>
      </c>
      <c r="F39">
        <f t="shared" si="19"/>
        <v>6.04</v>
      </c>
      <c r="G39">
        <f t="shared" si="20"/>
        <v>2.16</v>
      </c>
      <c r="H39">
        <f t="shared" si="21"/>
        <v>0.15</v>
      </c>
      <c r="I39">
        <f t="shared" si="22"/>
        <v>0.24</v>
      </c>
      <c r="J39">
        <f t="shared" si="23"/>
        <v>0.15</v>
      </c>
      <c r="K39">
        <f t="shared" si="24"/>
        <v>0.01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>
        <f t="shared" si="27"/>
        <v>45</v>
      </c>
      <c r="T39">
        <f t="shared" ca="1" si="28"/>
        <v>-42.588467000000009</v>
      </c>
      <c r="U39">
        <f t="shared" ca="1" si="29"/>
        <v>23.812280999999999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>
        <f>GetFollowingCarRow($B$45:$E$54,L39,$E$15,E39)</f>
        <v>45</v>
      </c>
      <c r="Z39">
        <f t="shared" ca="1" si="33"/>
        <v>-46.308467000000007</v>
      </c>
      <c r="AA39">
        <f t="shared" ca="1" si="34"/>
        <v>23.812280999999999</v>
      </c>
      <c r="AB39">
        <f t="shared" si="35"/>
        <v>0.13999999999999968</v>
      </c>
      <c r="AC39">
        <f t="shared" si="36"/>
        <v>3.7199999999999989</v>
      </c>
      <c r="AD39">
        <f t="shared" si="37"/>
        <v>10.933602150537624</v>
      </c>
      <c r="AE39">
        <f t="shared" si="38"/>
        <v>-40.672999999999945</v>
      </c>
      <c r="AF39">
        <f t="shared" si="39"/>
        <v>3.7226334764518505</v>
      </c>
      <c r="AG39">
        <f t="shared" si="40"/>
        <v>5.1365870695992744</v>
      </c>
      <c r="AH39">
        <f t="shared" si="41"/>
        <v>0.65840903595525113</v>
      </c>
      <c r="AI39">
        <f>IF(G39&lt;=0,1,0)</f>
        <v>0</v>
      </c>
      <c r="AJ39">
        <f>IF(G39&lt;0,1,0)</f>
        <v>0</v>
      </c>
      <c r="AK39">
        <f>MAX(($B$3-G39)/(G39 + 1),0) / $B$3</f>
        <v>0.28424342929407409</v>
      </c>
      <c r="AL39">
        <f>IF(H39+ABS(K39)&lt;0,Logistic(SQRT(H39^2+K39^2)/$B$4),0)</f>
        <v>0</v>
      </c>
      <c r="AM39">
        <f>IF(G39&gt;$B$3,1,0)</f>
        <v>0</v>
      </c>
      <c r="AN39">
        <f>IF(H39&gt;$B$4,1,0)</f>
        <v>0</v>
      </c>
      <c r="AO39">
        <f>ABS(H39)/$B$4</f>
        <v>1.8749999999999999E-2</v>
      </c>
      <c r="AP39">
        <f>Logistic(I39/$B$5)</f>
        <v>1.4998875101240792E-2</v>
      </c>
      <c r="AQ39">
        <f>IF(I39&gt;$B$5,1,0)</f>
        <v>0</v>
      </c>
      <c r="AR39">
        <f>Logistic(ABS(F39-O39)/($B$6/2))</f>
        <v>0.76576201824843892</v>
      </c>
      <c r="AS39">
        <f>IF(OR(F39&lt;M39,F39&gt;N39),1,0)</f>
        <v>1</v>
      </c>
      <c r="AT39">
        <f>ABS(K39)/$B$4</f>
        <v>1.25E-3</v>
      </c>
      <c r="AU39">
        <f t="shared" ca="1" si="42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0.80330724970731715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0.78612661178746013</v>
      </c>
      <c r="BA39">
        <f t="shared" ca="1" si="43"/>
        <v>0</v>
      </c>
      <c r="BB39">
        <f t="shared" ca="1" si="44"/>
        <v>0</v>
      </c>
      <c r="BC39">
        <f t="shared" si="45"/>
        <v>0</v>
      </c>
      <c r="BE39">
        <f>Logistic((D39-$B$2)/$B$2)</f>
        <v>0.65840903595525113</v>
      </c>
      <c r="BF39">
        <f t="shared" si="46"/>
        <v>0</v>
      </c>
      <c r="BG39">
        <f t="shared" si="47"/>
        <v>0</v>
      </c>
      <c r="BH39">
        <f>Logistic(($B$3-G39)/(G39+1))</f>
        <v>0.99520842949073796</v>
      </c>
      <c r="BI39">
        <f>IF(G39&gt;$B$3,1,0)</f>
        <v>0</v>
      </c>
      <c r="BJ39">
        <f>IF(H39&gt;$B$5,1,0)</f>
        <v>0</v>
      </c>
      <c r="BK39">
        <f>EXP(-($B$4-ABS(H39))/MAX(ABS(H39),0.000000001))</f>
        <v>1.8703466827523275E-23</v>
      </c>
      <c r="BL39">
        <f t="shared" si="48"/>
        <v>0</v>
      </c>
      <c r="BM39">
        <f>EXP(-($B$5-I39)/MAX(I39,0.000000001))</f>
        <v>9.074271138215859E-15</v>
      </c>
      <c r="BN39">
        <f>IF(F39&gt;N39,(F39-N39)/$B$6,0)+IF(F39&lt;M39,(M39-F39)/$B$6,0)</f>
        <v>0.51</v>
      </c>
      <c r="BO39">
        <f>ABS(K39/$B$4)</f>
        <v>1.25E-3</v>
      </c>
      <c r="BP39">
        <f>Logistic(ABS(H39)/$B$4)</f>
        <v>9.3747253514524613E-3</v>
      </c>
      <c r="BQ39">
        <f>Logistic(($B$3-G39)/G39)</f>
        <v>0.99970574800454037</v>
      </c>
    </row>
    <row r="40" spans="1:69" x14ac:dyDescent="0.25">
      <c r="A40" s="1" t="s">
        <v>17</v>
      </c>
      <c r="B40">
        <f t="shared" ca="1" si="2"/>
        <v>224.06915692845743</v>
      </c>
      <c r="C40" t="s">
        <v>262</v>
      </c>
      <c r="D40">
        <f t="shared" si="17"/>
        <v>129</v>
      </c>
      <c r="E40">
        <f t="shared" si="18"/>
        <v>130.03</v>
      </c>
      <c r="F40">
        <f t="shared" si="19"/>
        <v>5.93</v>
      </c>
      <c r="G40">
        <f t="shared" si="20"/>
        <v>2.16</v>
      </c>
      <c r="H40">
        <f t="shared" si="21"/>
        <v>0.15</v>
      </c>
      <c r="I40">
        <f t="shared" si="22"/>
        <v>0.24</v>
      </c>
      <c r="J40">
        <f t="shared" si="23"/>
        <v>0.27</v>
      </c>
      <c r="K40">
        <f t="shared" si="24"/>
        <v>0.03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>
        <f t="shared" si="27"/>
        <v>45</v>
      </c>
      <c r="T40">
        <f t="shared" ca="1" si="28"/>
        <v>-42.588467000000009</v>
      </c>
      <c r="U40">
        <f t="shared" ca="1" si="29"/>
        <v>23.812280999999999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>
        <f>GetFollowingCarRow($B$45:$E$54,L40,$E$15,E40)</f>
        <v>45</v>
      </c>
      <c r="Z40">
        <f t="shared" ca="1" si="33"/>
        <v>-46.308467000000007</v>
      </c>
      <c r="AA40">
        <f t="shared" ca="1" si="34"/>
        <v>23.812280999999999</v>
      </c>
      <c r="AB40">
        <f t="shared" si="35"/>
        <v>0.25</v>
      </c>
      <c r="AC40">
        <f t="shared" si="36"/>
        <v>3.7199999999999989</v>
      </c>
      <c r="AD40">
        <f t="shared" si="37"/>
        <v>14.668575268817207</v>
      </c>
      <c r="AE40">
        <f t="shared" si="38"/>
        <v>-54.567099999999996</v>
      </c>
      <c r="AF40">
        <f t="shared" si="39"/>
        <v>3.7283910739084214</v>
      </c>
      <c r="AG40">
        <f t="shared" si="40"/>
        <v>7.598719943372517</v>
      </c>
      <c r="AH40">
        <f t="shared" si="41"/>
        <v>0.65840903595525113</v>
      </c>
      <c r="AI40">
        <f>IF(G40&lt;=0,1,0)</f>
        <v>0</v>
      </c>
      <c r="AJ40">
        <f>IF(G40&lt;0,1,0)</f>
        <v>0</v>
      </c>
      <c r="AK40">
        <f>MAX(($B$3-G40)/(G40 + 1),0) / $B$3</f>
        <v>0.28424342929407409</v>
      </c>
      <c r="AL40">
        <f>IF(H40+ABS(K40)&lt;0,Logistic(SQRT(H40^2+K40^2)/$B$4),0)</f>
        <v>0</v>
      </c>
      <c r="AM40">
        <f>IF(G40&gt;$B$3,1,0)</f>
        <v>0</v>
      </c>
      <c r="AN40">
        <f>IF(H40&gt;$B$4,1,0)</f>
        <v>0</v>
      </c>
      <c r="AO40">
        <f>ABS(H40)/$B$4</f>
        <v>1.8749999999999999E-2</v>
      </c>
      <c r="AP40">
        <f>Logistic(I40/$B$5)</f>
        <v>1.4998875101240792E-2</v>
      </c>
      <c r="AQ40">
        <f>IF(I40&gt;$B$5,1,0)</f>
        <v>0</v>
      </c>
      <c r="AR40">
        <f>Logistic(ABS(F40-O40)/($B$6/2))</f>
        <v>0.75414609833428503</v>
      </c>
      <c r="AS40">
        <f>IF(OR(F40&lt;M40,F40&gt;N40),1,0)</f>
        <v>1</v>
      </c>
      <c r="AT40">
        <f>ABS(K40)/$B$4</f>
        <v>3.7499999999999999E-3</v>
      </c>
      <c r="AU40">
        <f t="shared" ca="1" si="42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0.80330724970731715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0.78612661178746013</v>
      </c>
      <c r="BA40">
        <f t="shared" ca="1" si="43"/>
        <v>0</v>
      </c>
      <c r="BB40">
        <f t="shared" ca="1" si="44"/>
        <v>0</v>
      </c>
      <c r="BC40">
        <f t="shared" si="45"/>
        <v>0</v>
      </c>
      <c r="BE40">
        <f>Logistic((D40-$B$2)/$B$2)</f>
        <v>0.65840903595525113</v>
      </c>
      <c r="BF40">
        <f t="shared" si="46"/>
        <v>0</v>
      </c>
      <c r="BG40">
        <f t="shared" si="47"/>
        <v>0</v>
      </c>
      <c r="BH40">
        <f>Logistic(($B$3-G40)/(G40+1))</f>
        <v>0.99520842949073796</v>
      </c>
      <c r="BI40">
        <f>IF(G40&gt;$B$3,1,0)</f>
        <v>0</v>
      </c>
      <c r="BJ40">
        <f>IF(H40&gt;$B$5,1,0)</f>
        <v>0</v>
      </c>
      <c r="BK40">
        <f>EXP(-($B$4-ABS(H40))/MAX(ABS(H40),0.000000001))</f>
        <v>1.8703466827523275E-23</v>
      </c>
      <c r="BL40">
        <f t="shared" si="48"/>
        <v>0</v>
      </c>
      <c r="BM40">
        <f>EXP(-($B$5-I40)/MAX(I40,0.000000001))</f>
        <v>9.074271138215859E-15</v>
      </c>
      <c r="BN40">
        <f>IF(F40&gt;N40,(F40-N40)/$B$6,0)+IF(F40&lt;M40,(M40-F40)/$B$6,0)</f>
        <v>0.48249999999999993</v>
      </c>
      <c r="BO40">
        <f>ABS(K40/$B$4)</f>
        <v>3.7499999999999999E-3</v>
      </c>
      <c r="BP40">
        <f>Logistic(ABS(H40)/$B$4)</f>
        <v>9.3747253514524613E-3</v>
      </c>
      <c r="BQ40">
        <f>Logistic(($B$3-G40)/G40)</f>
        <v>0.99970574800454037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83.721532999999994</v>
      </c>
      <c r="C45">
        <v>1.9894130000000001</v>
      </c>
      <c r="D45">
        <v>23.812280999999999</v>
      </c>
      <c r="E45">
        <v>1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92D050"/>
  </sheetPr>
  <dimension ref="A1:BQ48"/>
  <sheetViews>
    <sheetView topLeftCell="A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2.140625" bestFit="1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3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287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127.41</v>
      </c>
      <c r="F15">
        <f>VALUE(MID(C15,FIND("d[",C15)+2,FIND("]",C15,FIND("d[",C15))-(FIND("d[",C15)+2)))</f>
        <v>6.18</v>
      </c>
      <c r="G15">
        <f>VALUE(MID(C15,FIND("s_dot[",C15)+6,FIND("]",C15,FIND("s_dot[",C15))-(FIND("s_dot[",C15)+6)))</f>
        <v>2.21</v>
      </c>
      <c r="H15">
        <f>VALUE(MID(C15,FIND("s_dot2[",C15)+7,FIND("]",C15,FIND("s_dot2[",C15))-(FIND("s_dot2[",C15)+7)))</f>
        <v>1.3</v>
      </c>
      <c r="I15">
        <f>VALUE(MID(C15,FIND("s_dot3[",C15)+7,FIND("]",C15,FIND("s_dot3[",C15))-(FIND("s_dot3[",C15)+7)))</f>
        <v>1.5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1" si="0">$B$6*(L15-1)</f>
        <v>4</v>
      </c>
      <c r="N15">
        <f t="shared" ref="N15:N31" si="1">$B$6*L15</f>
        <v>8</v>
      </c>
      <c r="O15">
        <f>(N15+M15)/2</f>
        <v>6</v>
      </c>
      <c r="P15" t="e">
        <f>GetLeadingCarRow($B$45:$E$56,L15,$E$15, $E$15)</f>
        <v>#VALUE!</v>
      </c>
      <c r="Q15">
        <f ca="1">IFERROR(INDIRECT(CONCATENATE("B", P15))-$E$15,1000000)</f>
        <v>1000000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63.227641112752458</v>
      </c>
      <c r="C16" t="s">
        <v>312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128.6</v>
      </c>
      <c r="F16">
        <f>VALUE(MID(C16,FIND("d[",C16)+2,FIND("]",C16,FIND("d[",C16))-(FIND("d[",C16)+2)))</f>
        <v>6.18</v>
      </c>
      <c r="G16">
        <f>VALUE(MID(C16,FIND("s_dot[",C16)+6,FIND("]",C16,FIND("s_dot[",C16))-(FIND("s_dot[",C16)+6)))</f>
        <v>2.4900000000000002</v>
      </c>
      <c r="H16">
        <f>VALUE(MID(C16,FIND("s_dot2[",C16)+7,FIND("]",C16,FIND("s_dot2[",C16))-(FIND("s_dot2[",C16)+7)))</f>
        <v>0.59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 t="e">
        <f t="shared" ref="P16:P40" si="5">GetLeadingCarRow($B$45:$E$56,L16,$E$15, $E$15)</f>
        <v>#VALUE!</v>
      </c>
      <c r="Q16">
        <f ca="1">IFERROR(INDIRECT(CONCATENATE("B", P16))-$E$15,1000000)</f>
        <v>1000000</v>
      </c>
      <c r="R16">
        <f ca="1">IFERROR(INDIRECT(CONCATENATE("D", P16)),100)</f>
        <v>100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 t="e">
        <f>GetLeadingCarRow($B$45:$E$56,L16,$E$15,E16)</f>
        <v>#VALUE!</v>
      </c>
      <c r="W16">
        <f ca="1">IFERROR(INDIRECT(CONCATENATE("B", V16))-E16,1000000000)</f>
        <v>1000000000</v>
      </c>
      <c r="X16">
        <f ca="1">IFERROR(INDIRECT(CONCATENATE("D", V16)),100)</f>
        <v>100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0</v>
      </c>
      <c r="AC16">
        <f>E16-$E$15</f>
        <v>1.1899999999999977</v>
      </c>
      <c r="AD16">
        <f>$F$15-(-AB16/AC16)*$E$15</f>
        <v>6.18</v>
      </c>
      <c r="AE16">
        <f>AD16*-AC16</f>
        <v>-7.3541999999999854</v>
      </c>
      <c r="AF16">
        <f>SQRT(AB16^2+AC16^2)</f>
        <v>1.1899999999999977</v>
      </c>
      <c r="AG16">
        <f>GetSmallestNormalDistance($B$45:$E$56,AB16,AC16,AF16,$L$15,L16)</f>
        <v>1000000000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0.25291056445100984</v>
      </c>
      <c r="AL16">
        <f>IF(H16+ABS(K16)&lt;0,Logistic(SQRT(H16^2+K16^2)/$B$4),0)</f>
        <v>0</v>
      </c>
      <c r="AM16">
        <f>IF(G16&gt;$B$3,1,0)</f>
        <v>0</v>
      </c>
      <c r="AN16">
        <f>IF(H16&gt;$B$4,1,0)</f>
        <v>0</v>
      </c>
      <c r="AO16">
        <f>ABS(H16)/$B$4</f>
        <v>7.3749999999999996E-2</v>
      </c>
      <c r="AP16">
        <f>Logistic(I16/$B$5)</f>
        <v>0.12435300177159621</v>
      </c>
      <c r="AQ16">
        <f>IF(I16&gt;$B$5,1,0)</f>
        <v>0</v>
      </c>
      <c r="AR16">
        <f>Logistic(ABS(F16-O16)/($B$6/2))</f>
        <v>4.4969649583600189E-2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1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1" si="8">Logistic(($B$3-G16)/(G16+1))</f>
        <v>0.99070495071078457</v>
      </c>
      <c r="BI16">
        <f t="shared" ref="BI16:BI31" si="9">IF(G16&gt;$B$3,1,0)</f>
        <v>0</v>
      </c>
      <c r="BJ16">
        <f t="shared" ref="BJ16:BJ31" si="10">IF(H16&gt;$B$5,1,0)</f>
        <v>0</v>
      </c>
      <c r="BK16">
        <f t="shared" ref="BK16:BK31" si="11">EXP(-($B$4-ABS(H16))/MAX(ABS(H16),0.000000001))</f>
        <v>3.5120100032196047E-6</v>
      </c>
      <c r="BL16">
        <f>IF(G16&lt;ABS(H16),1,0)</f>
        <v>0</v>
      </c>
      <c r="BM16">
        <f t="shared" ref="BM16:BM31" si="12">EXP(-($B$5-I16)/MAX(I16,0.000000001))</f>
        <v>4.9787068367863944E-2</v>
      </c>
      <c r="BN16">
        <f t="shared" ref="BN16:BN31" si="13">IF(F16&gt;N16,(F16-N16)/$B$6,0)+IF(F16&lt;M16,(M16-F16)/$B$6,0)</f>
        <v>0</v>
      </c>
      <c r="BO16">
        <f t="shared" ref="BO16:BO31" si="14">ABS(K16/$B$4)</f>
        <v>0</v>
      </c>
      <c r="BP16">
        <f t="shared" ref="BP16:BP31" si="15">Logistic(ABS(H16)/$B$4)</f>
        <v>3.6858295299924661E-2</v>
      </c>
      <c r="BQ16">
        <f t="shared" ref="BQ16:BQ31" si="16">Logistic(($B$3-G16)/G16)</f>
        <v>0.9989185818832963</v>
      </c>
    </row>
    <row r="17" spans="1:69" x14ac:dyDescent="0.25">
      <c r="A17" s="1" t="s">
        <v>15</v>
      </c>
      <c r="B17">
        <f t="shared" ca="1" si="2"/>
        <v>54.158545357855928</v>
      </c>
      <c r="C17" t="s">
        <v>311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128.83000000000001</v>
      </c>
      <c r="F17">
        <f t="shared" ref="F17:F40" si="19">VALUE(MID(C17,FIND("d[",C17)+2,FIND("]",C17,FIND("d[",C17))-(FIND("d[",C17)+2)))</f>
        <v>6.18</v>
      </c>
      <c r="G17">
        <f t="shared" ref="G17:G40" si="20">VALUE(MID(C17,FIND("s_dot[",C17)+6,FIND("]",C17,FIND("s_dot[",C17))-(FIND("s_dot[",C17)+6)))</f>
        <v>2.97</v>
      </c>
      <c r="H17">
        <f t="shared" ref="H17:H40" si="21">VALUE(MID(C17,FIND("s_dot2[",C17)+7,FIND("]",C17,FIND("s_dot2[",C17))-(FIND("s_dot2[",C17)+7)))</f>
        <v>1.59</v>
      </c>
      <c r="I17">
        <f t="shared" ref="I17:I40" si="22">VALUE(MID(C17,FIND("s_dot3[",C17)+7,FIND("]",C17,FIND("s_dot3[",C17))-(FIND("s_dot3[",C17)+7)))</f>
        <v>1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 t="e">
        <f t="shared" si="5"/>
        <v>#VALUE!</v>
      </c>
      <c r="Q17">
        <f t="shared" ref="Q17:Q40" ca="1" si="25">IFERROR(INDIRECT(CONCATENATE("B", P17))-$E$15,1000000)</f>
        <v>1000000</v>
      </c>
      <c r="R17">
        <f t="shared" ref="R17:R40" ca="1" si="26">IFERROR(INDIRECT(CONCATENATE("D", P17)),100)</f>
        <v>100</v>
      </c>
      <c r="S17" t="e">
        <f t="shared" ref="S17:S40" si="27">GetFollowingCarRow($B$45:$E$56,L17,$E$15, $E$15)</f>
        <v>#VALUE!</v>
      </c>
      <c r="T17">
        <f t="shared" ref="T17:T40" ca="1" si="28">IFERROR(INDIRECT(CONCATENATE("B", S17))-$E$15,1000000)</f>
        <v>1000000</v>
      </c>
      <c r="U17">
        <f t="shared" ref="U17:U40" ca="1" si="29">IFERROR(INDIRECT(CONCATENATE("D", S17)),100)</f>
        <v>100</v>
      </c>
      <c r="V17" t="e">
        <f t="shared" ref="V17:V40" si="30">GetLeadingCarRow($B$45:$E$56,L17,$E$15,E17)</f>
        <v>#VALUE!</v>
      </c>
      <c r="W17">
        <f t="shared" ref="W17:W40" ca="1" si="31">IFERROR(INDIRECT(CONCATENATE("B", V17))-E17,1000000000)</f>
        <v>1000000000</v>
      </c>
      <c r="X17">
        <f t="shared" ref="X17:X40" ca="1" si="32">IFERROR(INDIRECT(CONCATENATE("D", V17)),100)</f>
        <v>100</v>
      </c>
      <c r="Y17" t="e">
        <f>GetFollowingCarRow($B$45:$E$54,L17,$E$15,E17)</f>
        <v>#VALUE!</v>
      </c>
      <c r="Z17">
        <f t="shared" ref="Z17:Z40" ca="1" si="33">IFERROR(INDIRECT(CONCATENATE("B", Y17))-E17,1000000000)</f>
        <v>1000000000</v>
      </c>
      <c r="AA17">
        <f t="shared" ref="AA17:AA40" ca="1" si="34">IFERROR(INDIRECT(CONCATENATE("D", Y17)),100)</f>
        <v>100</v>
      </c>
      <c r="AB17">
        <f t="shared" ref="AB17:AB40" si="35">$F$15-F17</f>
        <v>0</v>
      </c>
      <c r="AC17">
        <f t="shared" ref="AC17:AC40" si="36">E17-$E$15</f>
        <v>1.4200000000000159</v>
      </c>
      <c r="AD17">
        <f t="shared" ref="AD17:AD40" si="37">$F$15-(-AB17/AC17)*$E$15</f>
        <v>6.18</v>
      </c>
      <c r="AE17">
        <f t="shared" ref="AE17:AE40" si="38">AD17*-AC17</f>
        <v>-8.7756000000000984</v>
      </c>
      <c r="AF17">
        <f t="shared" ref="AF17:AF40" si="39">SQRT(AB17^2+AC17^2)</f>
        <v>1.4200000000000159</v>
      </c>
      <c r="AG17">
        <f t="shared" ref="AG17:AG40" si="40">GetSmallestNormalDistance($B$45:$E$56,AB17,AC17,AF17,$L$15,L17)</f>
        <v>1000000000</v>
      </c>
      <c r="AH17">
        <f t="shared" ref="AH17:AH40" si="41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0.21663418143142371</v>
      </c>
      <c r="AL17">
        <f>IF(H17+ABS(K17)&lt;0,Logistic(SQRT(H17^2+K17^2)/$B$4),0)</f>
        <v>0</v>
      </c>
      <c r="AM17">
        <f>IF(G17&gt;$B$3,1,0)</f>
        <v>0</v>
      </c>
      <c r="AN17">
        <f>IF(H17&gt;$B$4,1,0)</f>
        <v>0</v>
      </c>
      <c r="AO17">
        <f>ABS(H17)/$B$4</f>
        <v>0.19875000000000001</v>
      </c>
      <c r="AP17">
        <f>Logistic(I17/$B$5)</f>
        <v>6.2418746747512487E-2</v>
      </c>
      <c r="AQ17">
        <f>IF(I17&gt;$B$5,1,0)</f>
        <v>0</v>
      </c>
      <c r="AR17">
        <f>Logistic(ABS(F17-O17)/($B$6/2))</f>
        <v>4.4969649583600189E-2</v>
      </c>
      <c r="AS17">
        <f>IF(OR(F17&lt;M17,F17&gt;N17),1,0)</f>
        <v>0</v>
      </c>
      <c r="AT17">
        <f>ABS(K17)/$B$4</f>
        <v>0</v>
      </c>
      <c r="AU17">
        <f t="shared" ref="AU17:AU40" ca="1" si="42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3">IF(OR(ABS(Q17)&lt;$B$8,ABS(W17)&lt;$B$8),1,0)</f>
        <v>0</v>
      </c>
      <c r="BB17">
        <f t="shared" ref="BB17:BB40" ca="1" si="44">IF(OR(ABS(T17)&lt;$B$8,ABS(Z17)&lt;$B$8),1,0)</f>
        <v>0</v>
      </c>
      <c r="BC17">
        <f t="shared" ref="BC17:BC40" si="45">IFERROR(IF(P17=Y17,1,0),0)</f>
        <v>0</v>
      </c>
      <c r="BE17">
        <f t="shared" si="7"/>
        <v>0</v>
      </c>
      <c r="BF17">
        <f t="shared" ref="BF17:BF40" si="46">IF(G17&lt;=0,1,0)</f>
        <v>0</v>
      </c>
      <c r="BG17">
        <f t="shared" ref="BG17:BG40" si="47">IF(G17&lt;0,1,0)</f>
        <v>0</v>
      </c>
      <c r="BH17">
        <f t="shared" si="8"/>
        <v>0.98003674464657586</v>
      </c>
      <c r="BI17">
        <f t="shared" si="9"/>
        <v>0</v>
      </c>
      <c r="BJ17">
        <f t="shared" si="10"/>
        <v>0</v>
      </c>
      <c r="BK17">
        <f t="shared" si="11"/>
        <v>1.7748637246014026E-2</v>
      </c>
      <c r="BL17">
        <f t="shared" ref="BL17:BL40" si="48">IF(G17&lt;ABS(H17),1,0)</f>
        <v>0</v>
      </c>
      <c r="BM17">
        <f t="shared" si="12"/>
        <v>9.1188196555451624E-4</v>
      </c>
      <c r="BN17">
        <f t="shared" si="13"/>
        <v>0</v>
      </c>
      <c r="BO17">
        <f t="shared" si="14"/>
        <v>0</v>
      </c>
      <c r="BP17">
        <f t="shared" si="15"/>
        <v>9.9049164725293529E-2</v>
      </c>
      <c r="BQ17">
        <f t="shared" si="16"/>
        <v>0.99571988890504382</v>
      </c>
    </row>
    <row r="18" spans="1:69" x14ac:dyDescent="0.25">
      <c r="A18" s="1" t="s">
        <v>14</v>
      </c>
      <c r="B18">
        <f t="shared" ca="1" si="2"/>
        <v>44.035578134639849</v>
      </c>
      <c r="C18" t="s">
        <v>310</v>
      </c>
      <c r="D18">
        <f t="shared" si="17"/>
        <v>50</v>
      </c>
      <c r="E18">
        <f t="shared" si="18"/>
        <v>129.18</v>
      </c>
      <c r="F18">
        <f t="shared" si="19"/>
        <v>6.18</v>
      </c>
      <c r="G18">
        <f t="shared" si="20"/>
        <v>3.69</v>
      </c>
      <c r="H18">
        <f t="shared" si="21"/>
        <v>3.09</v>
      </c>
      <c r="I18">
        <f t="shared" si="22"/>
        <v>0.5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 t="e">
        <f t="shared" si="5"/>
        <v>#VALUE!</v>
      </c>
      <c r="Q18">
        <f t="shared" ca="1" si="25"/>
        <v>1000000</v>
      </c>
      <c r="R18">
        <f t="shared" ca="1" si="26"/>
        <v>100</v>
      </c>
      <c r="S18" t="e">
        <f t="shared" si="27"/>
        <v>#VALUE!</v>
      </c>
      <c r="T18">
        <f t="shared" ca="1" si="28"/>
        <v>1000000</v>
      </c>
      <c r="U18">
        <f t="shared" ca="1" si="29"/>
        <v>100</v>
      </c>
      <c r="V18" t="e">
        <f t="shared" si="30"/>
        <v>#VALUE!</v>
      </c>
      <c r="W18">
        <f t="shared" ca="1" si="31"/>
        <v>1000000000</v>
      </c>
      <c r="X18">
        <f t="shared" ca="1" si="32"/>
        <v>100</v>
      </c>
      <c r="Y18" t="e">
        <f>GetFollowingCarRow($B$45:$E$54,L18,$E$15,E18)</f>
        <v>#VALUE!</v>
      </c>
      <c r="Z18">
        <f t="shared" ca="1" si="33"/>
        <v>1000000000</v>
      </c>
      <c r="AA18">
        <f t="shared" ca="1" si="34"/>
        <v>100</v>
      </c>
      <c r="AB18">
        <f t="shared" si="35"/>
        <v>0</v>
      </c>
      <c r="AC18">
        <f t="shared" si="36"/>
        <v>1.7700000000000102</v>
      </c>
      <c r="AD18">
        <f t="shared" si="37"/>
        <v>6.18</v>
      </c>
      <c r="AE18">
        <f t="shared" si="38"/>
        <v>-10.938600000000063</v>
      </c>
      <c r="AF18">
        <f t="shared" si="39"/>
        <v>1.7700000000000102</v>
      </c>
      <c r="AG18">
        <f t="shared" si="40"/>
        <v>1000000000</v>
      </c>
      <c r="AH18">
        <f t="shared" si="41"/>
        <v>0</v>
      </c>
      <c r="AI18">
        <f>IF(G18&lt;=0,1,0)</f>
        <v>0</v>
      </c>
      <c r="AJ18">
        <f>IF(G18&lt;0,1,0)</f>
        <v>0</v>
      </c>
      <c r="AK18">
        <f>MAX(($B$3-G18)/(G18 + 1),0) / $B$3</f>
        <v>0.17614231253855939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0.38624999999999998</v>
      </c>
      <c r="AP18">
        <f>Logistic(I18/$B$5)</f>
        <v>3.1239831446031246E-2</v>
      </c>
      <c r="AQ18">
        <f>IF(I18&gt;$B$5,1,0)</f>
        <v>0</v>
      </c>
      <c r="AR18">
        <f>Logistic(ABS(F18-O18)/($B$6/2))</f>
        <v>4.4969649583600189E-2</v>
      </c>
      <c r="AS18">
        <f>IF(OR(F18&lt;M18,F18&gt;N18),1,0)</f>
        <v>0</v>
      </c>
      <c r="AT18">
        <f>ABS(K18)/$B$4</f>
        <v>0</v>
      </c>
      <c r="AU18">
        <f t="shared" ca="1" si="42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43"/>
        <v>0</v>
      </c>
      <c r="BB18">
        <f t="shared" ca="1" si="44"/>
        <v>0</v>
      </c>
      <c r="BC18">
        <f t="shared" si="45"/>
        <v>0</v>
      </c>
      <c r="BE18">
        <f t="shared" si="7"/>
        <v>0</v>
      </c>
      <c r="BF18">
        <f t="shared" si="46"/>
        <v>0</v>
      </c>
      <c r="BG18">
        <f t="shared" si="47"/>
        <v>0</v>
      </c>
      <c r="BH18">
        <f t="shared" si="8"/>
        <v>0.95349156361291465</v>
      </c>
      <c r="BI18">
        <f t="shared" si="9"/>
        <v>0</v>
      </c>
      <c r="BJ18">
        <f t="shared" si="10"/>
        <v>0</v>
      </c>
      <c r="BK18">
        <f t="shared" si="11"/>
        <v>0.20413029995753812</v>
      </c>
      <c r="BL18">
        <f t="shared" si="48"/>
        <v>0</v>
      </c>
      <c r="BM18">
        <f t="shared" si="12"/>
        <v>3.0590232050182579E-7</v>
      </c>
      <c r="BN18">
        <f t="shared" si="13"/>
        <v>0</v>
      </c>
      <c r="BO18">
        <f t="shared" si="14"/>
        <v>0</v>
      </c>
      <c r="BP18">
        <f t="shared" si="15"/>
        <v>0.19075927627775946</v>
      </c>
      <c r="BQ18">
        <f t="shared" si="16"/>
        <v>0.9828565482531515</v>
      </c>
    </row>
    <row r="19" spans="1:69" x14ac:dyDescent="0.25">
      <c r="A19" s="1" t="s">
        <v>13</v>
      </c>
      <c r="B19">
        <f t="shared" ca="1" si="2"/>
        <v>41.318324593316802</v>
      </c>
      <c r="C19" t="s">
        <v>309</v>
      </c>
      <c r="D19">
        <f t="shared" si="17"/>
        <v>50</v>
      </c>
      <c r="E19">
        <f t="shared" si="18"/>
        <v>129.30000000000001</v>
      </c>
      <c r="F19">
        <f t="shared" si="19"/>
        <v>6.18</v>
      </c>
      <c r="G19">
        <f t="shared" si="20"/>
        <v>3.93</v>
      </c>
      <c r="H19">
        <f t="shared" si="21"/>
        <v>3.59</v>
      </c>
      <c r="I19">
        <f t="shared" si="22"/>
        <v>1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 t="e">
        <f t="shared" si="5"/>
        <v>#VALUE!</v>
      </c>
      <c r="Q19">
        <f t="shared" ca="1" si="25"/>
        <v>1000000</v>
      </c>
      <c r="R19">
        <f t="shared" ca="1" si="26"/>
        <v>100</v>
      </c>
      <c r="S19" t="e">
        <f t="shared" si="27"/>
        <v>#VALUE!</v>
      </c>
      <c r="T19">
        <f t="shared" ca="1" si="28"/>
        <v>1000000</v>
      </c>
      <c r="U19">
        <f t="shared" ca="1" si="29"/>
        <v>100</v>
      </c>
      <c r="V19" t="e">
        <f t="shared" si="30"/>
        <v>#VALUE!</v>
      </c>
      <c r="W19">
        <f t="shared" ca="1" si="31"/>
        <v>1000000000</v>
      </c>
      <c r="X19">
        <f t="shared" ca="1" si="32"/>
        <v>100</v>
      </c>
      <c r="Y19" t="e">
        <f>GetFollowingCarRow($B$45:$E$54,L19,$E$15,E19)</f>
        <v>#VALUE!</v>
      </c>
      <c r="Z19">
        <f t="shared" ca="1" si="33"/>
        <v>1000000000</v>
      </c>
      <c r="AA19">
        <f t="shared" ca="1" si="34"/>
        <v>100</v>
      </c>
      <c r="AB19">
        <f t="shared" si="35"/>
        <v>0</v>
      </c>
      <c r="AC19">
        <f t="shared" si="36"/>
        <v>1.8900000000000148</v>
      </c>
      <c r="AD19">
        <f t="shared" si="37"/>
        <v>6.18</v>
      </c>
      <c r="AE19">
        <f t="shared" si="38"/>
        <v>-11.680200000000092</v>
      </c>
      <c r="AF19">
        <f t="shared" si="39"/>
        <v>1.8900000000000148</v>
      </c>
      <c r="AG19">
        <f t="shared" si="40"/>
        <v>1000000000</v>
      </c>
      <c r="AH19">
        <f t="shared" si="41"/>
        <v>0</v>
      </c>
      <c r="AI19">
        <f>IF(G19&lt;=0,1,0)</f>
        <v>0</v>
      </c>
      <c r="AJ19">
        <f>IF(G19&lt;0,1,0)</f>
        <v>0</v>
      </c>
      <c r="AK19">
        <f>MAX(($B$3-G19)/(G19 + 1),0) / $B$3</f>
        <v>0.16527329837326721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0.44874999999999998</v>
      </c>
      <c r="AP19">
        <f>Logistic(I19/$B$5)</f>
        <v>6.2418746747512487E-2</v>
      </c>
      <c r="AQ19">
        <f>IF(I19&gt;$B$5,1,0)</f>
        <v>0</v>
      </c>
      <c r="AR19">
        <f>Logistic(ABS(F19-O19)/($B$6/2))</f>
        <v>4.4969649583600189E-2</v>
      </c>
      <c r="AS19">
        <f>IF(OR(F19&lt;M19,F19&gt;N19),1,0)</f>
        <v>0</v>
      </c>
      <c r="AT19">
        <f>ABS(K19)/$B$4</f>
        <v>0</v>
      </c>
      <c r="AU19">
        <f t="shared" ca="1" si="42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43"/>
        <v>0</v>
      </c>
      <c r="BB19">
        <f t="shared" ca="1" si="44"/>
        <v>0</v>
      </c>
      <c r="BC19">
        <f t="shared" si="45"/>
        <v>0</v>
      </c>
      <c r="BE19">
        <f t="shared" si="7"/>
        <v>0</v>
      </c>
      <c r="BF19">
        <f t="shared" si="46"/>
        <v>0</v>
      </c>
      <c r="BG19">
        <f t="shared" si="47"/>
        <v>0</v>
      </c>
      <c r="BH19">
        <f t="shared" si="8"/>
        <v>0.94177818961909843</v>
      </c>
      <c r="BI19">
        <f t="shared" si="9"/>
        <v>0</v>
      </c>
      <c r="BJ19">
        <f t="shared" si="10"/>
        <v>0</v>
      </c>
      <c r="BK19">
        <f t="shared" si="11"/>
        <v>0.29275703200880759</v>
      </c>
      <c r="BL19">
        <f t="shared" si="48"/>
        <v>0</v>
      </c>
      <c r="BM19">
        <f t="shared" si="12"/>
        <v>9.1188196555451624E-4</v>
      </c>
      <c r="BN19">
        <f t="shared" si="13"/>
        <v>0</v>
      </c>
      <c r="BO19">
        <f t="shared" si="14"/>
        <v>0</v>
      </c>
      <c r="BP19">
        <f t="shared" si="15"/>
        <v>0.2206839883601214</v>
      </c>
      <c r="BQ19">
        <f t="shared" si="16"/>
        <v>0.97573093225917307</v>
      </c>
    </row>
    <row r="20" spans="1:69" x14ac:dyDescent="0.25">
      <c r="A20" s="1" t="s">
        <v>12</v>
      </c>
      <c r="B20">
        <f t="shared" ca="1" si="2"/>
        <v>38.853349910762617</v>
      </c>
      <c r="C20" t="s">
        <v>308</v>
      </c>
      <c r="D20">
        <f t="shared" si="17"/>
        <v>50</v>
      </c>
      <c r="E20">
        <f t="shared" si="18"/>
        <v>129.41</v>
      </c>
      <c r="F20">
        <f t="shared" si="19"/>
        <v>6.18</v>
      </c>
      <c r="G20">
        <f t="shared" si="20"/>
        <v>4.17</v>
      </c>
      <c r="H20">
        <f t="shared" si="21"/>
        <v>4.09</v>
      </c>
      <c r="I20">
        <f t="shared" si="22"/>
        <v>1.5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 t="e">
        <f t="shared" si="5"/>
        <v>#VALUE!</v>
      </c>
      <c r="Q20">
        <f t="shared" ca="1" si="25"/>
        <v>1000000</v>
      </c>
      <c r="R20">
        <f t="shared" ca="1" si="26"/>
        <v>100</v>
      </c>
      <c r="S20" t="e">
        <f t="shared" si="27"/>
        <v>#VALUE!</v>
      </c>
      <c r="T20">
        <f t="shared" ca="1" si="28"/>
        <v>1000000</v>
      </c>
      <c r="U20">
        <f t="shared" ca="1" si="29"/>
        <v>100</v>
      </c>
      <c r="V20" t="e">
        <f t="shared" si="30"/>
        <v>#VALUE!</v>
      </c>
      <c r="W20">
        <f t="shared" ca="1" si="31"/>
        <v>1000000000</v>
      </c>
      <c r="X20">
        <f t="shared" ca="1" si="32"/>
        <v>100</v>
      </c>
      <c r="Y20" t="e">
        <f>GetFollowingCarRow($B$45:$E$54,L20,$E$15,E20)</f>
        <v>#VALUE!</v>
      </c>
      <c r="Z20">
        <f t="shared" ca="1" si="33"/>
        <v>1000000000</v>
      </c>
      <c r="AA20">
        <f t="shared" ca="1" si="34"/>
        <v>100</v>
      </c>
      <c r="AB20">
        <f t="shared" si="35"/>
        <v>0</v>
      </c>
      <c r="AC20">
        <f t="shared" si="36"/>
        <v>2</v>
      </c>
      <c r="AD20">
        <f t="shared" si="37"/>
        <v>6.18</v>
      </c>
      <c r="AE20">
        <f t="shared" si="38"/>
        <v>-12.36</v>
      </c>
      <c r="AF20">
        <f t="shared" si="39"/>
        <v>2</v>
      </c>
      <c r="AG20">
        <f t="shared" si="40"/>
        <v>1000000000</v>
      </c>
      <c r="AH20">
        <f t="shared" si="41"/>
        <v>0</v>
      </c>
      <c r="AI20">
        <f>IF(G20&lt;=0,1,0)</f>
        <v>0</v>
      </c>
      <c r="AJ20">
        <f>IF(G20&lt;0,1,0)</f>
        <v>0</v>
      </c>
      <c r="AK20">
        <f>MAX(($B$3-G20)/(G20 + 1),0) / $B$3</f>
        <v>0.15541339964305048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0.51124999999999998</v>
      </c>
      <c r="AP20">
        <f>Logistic(I20/$B$5)</f>
        <v>9.3476303969227723E-2</v>
      </c>
      <c r="AQ20">
        <f>IF(I20&gt;$B$5,1,0)</f>
        <v>0</v>
      </c>
      <c r="AR20">
        <f>Logistic(ABS(F20-O20)/($B$6/2))</f>
        <v>4.4969649583600189E-2</v>
      </c>
      <c r="AS20">
        <f>IF(OR(F20&lt;M20,F20&gt;N20),1,0)</f>
        <v>0</v>
      </c>
      <c r="AT20">
        <f>ABS(K20)/$B$4</f>
        <v>0</v>
      </c>
      <c r="AU20">
        <f t="shared" ca="1" si="42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43"/>
        <v>0</v>
      </c>
      <c r="BB20">
        <f t="shared" ca="1" si="44"/>
        <v>0</v>
      </c>
      <c r="BC20">
        <f t="shared" si="45"/>
        <v>0</v>
      </c>
      <c r="BE20">
        <f t="shared" si="7"/>
        <v>0</v>
      </c>
      <c r="BF20">
        <f t="shared" si="46"/>
        <v>0</v>
      </c>
      <c r="BG20">
        <f t="shared" si="47"/>
        <v>0</v>
      </c>
      <c r="BH20">
        <f t="shared" si="8"/>
        <v>0.92871149464808345</v>
      </c>
      <c r="BI20">
        <f t="shared" si="9"/>
        <v>0</v>
      </c>
      <c r="BJ20">
        <f t="shared" si="10"/>
        <v>0</v>
      </c>
      <c r="BK20">
        <f t="shared" si="11"/>
        <v>0.38443128445115698</v>
      </c>
      <c r="BL20">
        <f t="shared" si="48"/>
        <v>0</v>
      </c>
      <c r="BM20">
        <f t="shared" si="12"/>
        <v>1.3123728736940968E-2</v>
      </c>
      <c r="BN20">
        <f t="shared" si="13"/>
        <v>0</v>
      </c>
      <c r="BO20">
        <f t="shared" si="14"/>
        <v>0</v>
      </c>
      <c r="BP20">
        <f t="shared" si="15"/>
        <v>0.25019891580481401</v>
      </c>
      <c r="BQ20">
        <f t="shared" si="16"/>
        <v>0.96703152413829807</v>
      </c>
    </row>
    <row r="21" spans="1:69" x14ac:dyDescent="0.25">
      <c r="A21" s="1" t="s">
        <v>33</v>
      </c>
      <c r="B21">
        <f t="shared" ca="1" si="2"/>
        <v>47.045928687161783</v>
      </c>
      <c r="C21" t="s">
        <v>307</v>
      </c>
      <c r="D21">
        <f t="shared" si="17"/>
        <v>50</v>
      </c>
      <c r="E21">
        <f t="shared" si="18"/>
        <v>129.07</v>
      </c>
      <c r="F21">
        <f t="shared" si="19"/>
        <v>6.18</v>
      </c>
      <c r="G21">
        <f t="shared" si="20"/>
        <v>3.45</v>
      </c>
      <c r="H21">
        <f t="shared" si="21"/>
        <v>2.59</v>
      </c>
      <c r="I21">
        <f t="shared" si="22"/>
        <v>0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 t="e">
        <f t="shared" si="5"/>
        <v>#VALUE!</v>
      </c>
      <c r="Q21">
        <f t="shared" ca="1" si="25"/>
        <v>1000000</v>
      </c>
      <c r="R21">
        <f t="shared" ca="1" si="26"/>
        <v>100</v>
      </c>
      <c r="S21" t="e">
        <f t="shared" si="27"/>
        <v>#VALUE!</v>
      </c>
      <c r="T21">
        <f t="shared" ca="1" si="28"/>
        <v>1000000</v>
      </c>
      <c r="U21">
        <f t="shared" ca="1" si="29"/>
        <v>100</v>
      </c>
      <c r="V21" t="e">
        <f t="shared" si="30"/>
        <v>#VALUE!</v>
      </c>
      <c r="W21">
        <f t="shared" ca="1" si="31"/>
        <v>1000000000</v>
      </c>
      <c r="X21">
        <f t="shared" ca="1" si="32"/>
        <v>100</v>
      </c>
      <c r="Y21" t="e">
        <f>GetFollowingCarRow($B$45:$E$54,L21,$E$15,E21)</f>
        <v>#VALUE!</v>
      </c>
      <c r="Z21">
        <f t="shared" ca="1" si="33"/>
        <v>1000000000</v>
      </c>
      <c r="AA21">
        <f t="shared" ca="1" si="34"/>
        <v>100</v>
      </c>
      <c r="AB21">
        <f t="shared" si="35"/>
        <v>0</v>
      </c>
      <c r="AC21">
        <f t="shared" si="36"/>
        <v>1.6599999999999966</v>
      </c>
      <c r="AD21">
        <f t="shared" si="37"/>
        <v>6.18</v>
      </c>
      <c r="AE21">
        <f t="shared" si="38"/>
        <v>-10.258799999999978</v>
      </c>
      <c r="AF21">
        <f t="shared" si="39"/>
        <v>1.6599999999999966</v>
      </c>
      <c r="AG21">
        <f t="shared" si="40"/>
        <v>1000000000</v>
      </c>
      <c r="AH21">
        <f t="shared" si="41"/>
        <v>0</v>
      </c>
      <c r="AI21">
        <f>IF(G21&lt;=0,1,0)</f>
        <v>0</v>
      </c>
      <c r="AJ21">
        <f>IF(G21&lt;0,1,0)</f>
        <v>0</v>
      </c>
      <c r="AK21">
        <f>MAX(($B$3-G21)/(G21 + 1),0) / $B$3</f>
        <v>0.18818371474864715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0.32374999999999998</v>
      </c>
      <c r="AP21">
        <f>Logistic(I21/$B$5)</f>
        <v>0</v>
      </c>
      <c r="AQ21">
        <f>IF(I21&gt;$B$5,1,0)</f>
        <v>0</v>
      </c>
      <c r="AR21">
        <f>Logistic(ABS(F21-O21)/($B$6/2))</f>
        <v>4.4969649583600189E-2</v>
      </c>
      <c r="AS21">
        <f>IF(OR(F21&lt;M21,F21&gt;N21),1,0)</f>
        <v>0</v>
      </c>
      <c r="AT21">
        <f>ABS(K21)/$B$4</f>
        <v>0</v>
      </c>
      <c r="AU21">
        <f t="shared" ca="1" si="42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3"/>
        <v>0</v>
      </c>
      <c r="BB21">
        <f t="shared" ca="1" si="44"/>
        <v>0</v>
      </c>
      <c r="BC21">
        <f t="shared" si="45"/>
        <v>0</v>
      </c>
      <c r="BE21">
        <f t="shared" si="7"/>
        <v>0</v>
      </c>
      <c r="BF21">
        <f t="shared" si="46"/>
        <v>0</v>
      </c>
      <c r="BG21">
        <f t="shared" si="47"/>
        <v>0</v>
      </c>
      <c r="BH21">
        <f t="shared" si="8"/>
        <v>0.96378865574082517</v>
      </c>
      <c r="BI21">
        <f t="shared" si="9"/>
        <v>0</v>
      </c>
      <c r="BJ21">
        <f t="shared" si="10"/>
        <v>0</v>
      </c>
      <c r="BK21">
        <f t="shared" si="11"/>
        <v>0.12383526696746028</v>
      </c>
      <c r="BL21">
        <f t="shared" si="48"/>
        <v>0</v>
      </c>
      <c r="BM21">
        <f t="shared" si="12"/>
        <v>0</v>
      </c>
      <c r="BN21">
        <f t="shared" si="13"/>
        <v>0</v>
      </c>
      <c r="BO21">
        <f t="shared" si="14"/>
        <v>0</v>
      </c>
      <c r="BP21">
        <f t="shared" si="15"/>
        <v>0.16047576608068073</v>
      </c>
      <c r="BQ21">
        <f t="shared" si="16"/>
        <v>0.98847637419601242</v>
      </c>
    </row>
    <row r="22" spans="1:69" x14ac:dyDescent="0.25">
      <c r="A22" s="1" t="s">
        <v>11</v>
      </c>
      <c r="B22">
        <f t="shared" ca="1" si="2"/>
        <v>69.770480443712358</v>
      </c>
      <c r="C22" t="s">
        <v>306</v>
      </c>
      <c r="D22">
        <f t="shared" si="17"/>
        <v>50</v>
      </c>
      <c r="E22">
        <f t="shared" si="18"/>
        <v>128.47</v>
      </c>
      <c r="F22">
        <f t="shared" si="19"/>
        <v>6.18</v>
      </c>
      <c r="G22">
        <f t="shared" si="20"/>
        <v>2.21</v>
      </c>
      <c r="H22">
        <f t="shared" si="21"/>
        <v>0</v>
      </c>
      <c r="I22">
        <f t="shared" si="22"/>
        <v>2.59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 t="e">
        <f t="shared" si="5"/>
        <v>#VALUE!</v>
      </c>
      <c r="Q22">
        <f t="shared" ca="1" si="25"/>
        <v>1000000</v>
      </c>
      <c r="R22">
        <f t="shared" ca="1" si="26"/>
        <v>100</v>
      </c>
      <c r="S22" t="e">
        <f t="shared" si="27"/>
        <v>#VALUE!</v>
      </c>
      <c r="T22">
        <f t="shared" ca="1" si="28"/>
        <v>1000000</v>
      </c>
      <c r="U22">
        <f t="shared" ca="1" si="29"/>
        <v>100</v>
      </c>
      <c r="V22" t="e">
        <f t="shared" si="30"/>
        <v>#VALUE!</v>
      </c>
      <c r="W22">
        <f t="shared" ca="1" si="31"/>
        <v>1000000000</v>
      </c>
      <c r="X22">
        <f t="shared" ca="1" si="32"/>
        <v>100</v>
      </c>
      <c r="Y22" t="e">
        <f>GetFollowingCarRow($B$45:$E$54,L22,$E$15,E22)</f>
        <v>#VALUE!</v>
      </c>
      <c r="Z22">
        <f t="shared" ca="1" si="33"/>
        <v>1000000000</v>
      </c>
      <c r="AA22">
        <f t="shared" ca="1" si="34"/>
        <v>100</v>
      </c>
      <c r="AB22">
        <f t="shared" si="35"/>
        <v>0</v>
      </c>
      <c r="AC22">
        <f t="shared" si="36"/>
        <v>1.0600000000000023</v>
      </c>
      <c r="AD22">
        <f t="shared" si="37"/>
        <v>6.18</v>
      </c>
      <c r="AE22">
        <f t="shared" si="38"/>
        <v>-6.5508000000000139</v>
      </c>
      <c r="AF22">
        <f t="shared" si="39"/>
        <v>1.0600000000000023</v>
      </c>
      <c r="AG22">
        <f t="shared" si="40"/>
        <v>1000000000</v>
      </c>
      <c r="AH22">
        <f t="shared" si="41"/>
        <v>0</v>
      </c>
      <c r="AI22">
        <f>IF(G22&lt;=0,1,0)</f>
        <v>0</v>
      </c>
      <c r="AJ22">
        <f>IF(G22&lt;0,1,0)</f>
        <v>0</v>
      </c>
      <c r="AK22">
        <f>MAX(($B$3-G22)/(G22 + 1),0) / $B$3</f>
        <v>0.27908192177484942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0.16047576608068073</v>
      </c>
      <c r="AQ22">
        <f>IF(I22&gt;$B$5,1,0)</f>
        <v>0</v>
      </c>
      <c r="AR22">
        <f>Logistic(ABS(F22-O22)/($B$6/2))</f>
        <v>4.4969649583600189E-2</v>
      </c>
      <c r="AS22">
        <f>IF(OR(F22&lt;M22,F22&gt;N22),1,0)</f>
        <v>0</v>
      </c>
      <c r="AT22">
        <f>ABS(K22)/$B$4</f>
        <v>0</v>
      </c>
      <c r="AU22">
        <f t="shared" ca="1" si="42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3"/>
        <v>0</v>
      </c>
      <c r="BB22">
        <f t="shared" ca="1" si="44"/>
        <v>0</v>
      </c>
      <c r="BC22">
        <f t="shared" si="45"/>
        <v>0</v>
      </c>
      <c r="BE22">
        <f t="shared" si="7"/>
        <v>0</v>
      </c>
      <c r="BF22">
        <f t="shared" si="46"/>
        <v>0</v>
      </c>
      <c r="BG22">
        <f t="shared" si="47"/>
        <v>0</v>
      </c>
      <c r="BH22">
        <f t="shared" si="8"/>
        <v>0.99465528541223758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8"/>
        <v>0</v>
      </c>
      <c r="BM22">
        <f t="shared" si="12"/>
        <v>0.12383526696746028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0.99963252178874784</v>
      </c>
    </row>
    <row r="23" spans="1:69" x14ac:dyDescent="0.25">
      <c r="A23" s="1" t="s">
        <v>34</v>
      </c>
      <c r="B23">
        <f t="shared" ca="1" si="2"/>
        <v>262.85437129474968</v>
      </c>
      <c r="C23" t="s">
        <v>305</v>
      </c>
      <c r="D23">
        <f t="shared" si="17"/>
        <v>125</v>
      </c>
      <c r="E23">
        <f t="shared" si="18"/>
        <v>183.29</v>
      </c>
      <c r="F23">
        <f t="shared" si="19"/>
        <v>5.85</v>
      </c>
      <c r="G23">
        <f t="shared" si="20"/>
        <v>53.41</v>
      </c>
      <c r="H23">
        <f t="shared" si="21"/>
        <v>12.87</v>
      </c>
      <c r="I23">
        <f t="shared" si="22"/>
        <v>10.28</v>
      </c>
      <c r="J23">
        <f t="shared" si="23"/>
        <v>9.7799999999999994</v>
      </c>
      <c r="K23">
        <f t="shared" si="24"/>
        <v>0.01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47</v>
      </c>
      <c r="Q23">
        <f t="shared" ca="1" si="25"/>
        <v>162.67482299999998</v>
      </c>
      <c r="R23">
        <f t="shared" ca="1" si="26"/>
        <v>20.979246</v>
      </c>
      <c r="S23" t="e">
        <f t="shared" si="27"/>
        <v>#VALUE!</v>
      </c>
      <c r="T23">
        <f t="shared" ca="1" si="28"/>
        <v>1000000</v>
      </c>
      <c r="U23">
        <f t="shared" ca="1" si="29"/>
        <v>100</v>
      </c>
      <c r="V23">
        <f t="shared" si="30"/>
        <v>47</v>
      </c>
      <c r="W23">
        <f t="shared" ca="1" si="31"/>
        <v>106.79482299999998</v>
      </c>
      <c r="X23">
        <f t="shared" ca="1" si="32"/>
        <v>20.979246</v>
      </c>
      <c r="Y23" t="e">
        <f>GetFollowingCarRow($B$45:$E$54,L23,$E$15,E23)</f>
        <v>#VALUE!</v>
      </c>
      <c r="Z23">
        <f t="shared" ca="1" si="33"/>
        <v>1000000000</v>
      </c>
      <c r="AA23">
        <f t="shared" ca="1" si="34"/>
        <v>100</v>
      </c>
      <c r="AB23">
        <f t="shared" si="35"/>
        <v>0.33000000000000007</v>
      </c>
      <c r="AC23">
        <f t="shared" si="36"/>
        <v>55.879999999999995</v>
      </c>
      <c r="AD23">
        <f t="shared" si="37"/>
        <v>6.9324212598425197</v>
      </c>
      <c r="AE23">
        <f t="shared" si="38"/>
        <v>-387.38369999999998</v>
      </c>
      <c r="AF23">
        <f t="shared" si="39"/>
        <v>55.880974400953313</v>
      </c>
      <c r="AG23">
        <f t="shared" si="40"/>
        <v>11.729704813071725</v>
      </c>
      <c r="AH23">
        <f t="shared" si="41"/>
        <v>0.6351489523872873</v>
      </c>
      <c r="AI23">
        <f>IF(G23&lt;=0,1,0)</f>
        <v>0</v>
      </c>
      <c r="AJ23">
        <f>IF(G23&lt;0,1,0)</f>
        <v>0</v>
      </c>
      <c r="AK23">
        <f>MAX(($B$3-G23)/(G23 + 1),0) / $B$3</f>
        <v>0</v>
      </c>
      <c r="AL23">
        <f>IF(H23+ABS(K23)&lt;0,Logistic(SQRT(H23^2+K23^2)/$B$4),0)</f>
        <v>0</v>
      </c>
      <c r="AM23">
        <f>IF(G23&gt;$B$3,1,0)</f>
        <v>1</v>
      </c>
      <c r="AN23">
        <f>IF(H23&gt;$B$4,1,0)</f>
        <v>1</v>
      </c>
      <c r="AO23">
        <f>ABS(H23)/$B$4</f>
        <v>1.6087499999999999</v>
      </c>
      <c r="AP23">
        <f>Logistic(I23/$B$5)</f>
        <v>0.5665993699780818</v>
      </c>
      <c r="AQ23">
        <f>IF(I23&gt;$B$5,1,0)</f>
        <v>1</v>
      </c>
      <c r="AR23">
        <f>Logistic(ABS(F23-O23)/($B$6/2))</f>
        <v>0.77689891963420721</v>
      </c>
      <c r="AS23">
        <f>IF(OR(F23&lt;M23,F23&gt;N23),1,0)</f>
        <v>1</v>
      </c>
      <c r="AT23">
        <f>ABS(K23)/$B$4</f>
        <v>1.25E-3</v>
      </c>
      <c r="AU23">
        <f t="shared" ca="1" si="42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0.49839333676916664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0.67069892053696933</v>
      </c>
      <c r="AZ23">
        <f ca="1">MAX(1-(IF(Z23/(G23-AA23)&gt;0,Z23/(G23-AA23),Collision_Time_Buffer)/Collision_Time_Buffer),0)*IF($L$15&lt;&gt;L23,Lane_Change_Multiplier,1)</f>
        <v>0</v>
      </c>
      <c r="BA23">
        <f t="shared" ca="1" si="43"/>
        <v>0</v>
      </c>
      <c r="BB23">
        <f t="shared" ca="1" si="44"/>
        <v>0</v>
      </c>
      <c r="BC23">
        <f t="shared" si="45"/>
        <v>0</v>
      </c>
      <c r="BE23">
        <f t="shared" si="7"/>
        <v>0.6351489523872873</v>
      </c>
      <c r="BF23">
        <f t="shared" si="46"/>
        <v>0</v>
      </c>
      <c r="BG23">
        <f t="shared" si="47"/>
        <v>0</v>
      </c>
      <c r="BH23">
        <f t="shared" si="8"/>
        <v>-0.28747315244986521</v>
      </c>
      <c r="BI23">
        <f t="shared" si="9"/>
        <v>1</v>
      </c>
      <c r="BJ23">
        <f t="shared" si="10"/>
        <v>1</v>
      </c>
      <c r="BK23">
        <f t="shared" si="11"/>
        <v>1.4599458973139912</v>
      </c>
      <c r="BL23">
        <f t="shared" si="48"/>
        <v>0</v>
      </c>
      <c r="BM23">
        <f t="shared" si="12"/>
        <v>1.2483090596869844</v>
      </c>
      <c r="BN23">
        <f t="shared" si="13"/>
        <v>0.53750000000000009</v>
      </c>
      <c r="BO23">
        <f t="shared" si="14"/>
        <v>1.25E-3</v>
      </c>
      <c r="BP23">
        <f t="shared" si="15"/>
        <v>0.6664755360599135</v>
      </c>
      <c r="BQ23">
        <f t="shared" si="16"/>
        <v>-0.29254578893696409</v>
      </c>
    </row>
    <row r="24" spans="1:69" x14ac:dyDescent="0.25">
      <c r="A24" s="1" t="s">
        <v>35</v>
      </c>
      <c r="B24">
        <f t="shared" ca="1" si="2"/>
        <v>262.85437129474968</v>
      </c>
      <c r="C24" t="s">
        <v>304</v>
      </c>
      <c r="D24">
        <f t="shared" si="17"/>
        <v>125</v>
      </c>
      <c r="E24">
        <f t="shared" si="18"/>
        <v>183.29</v>
      </c>
      <c r="F24">
        <f t="shared" si="19"/>
        <v>5.98</v>
      </c>
      <c r="G24">
        <f t="shared" si="20"/>
        <v>53.41</v>
      </c>
      <c r="H24">
        <f t="shared" si="21"/>
        <v>12.87</v>
      </c>
      <c r="I24">
        <f t="shared" si="22"/>
        <v>10.28</v>
      </c>
      <c r="J24">
        <f t="shared" si="23"/>
        <v>11.01</v>
      </c>
      <c r="K24">
        <f t="shared" si="24"/>
        <v>0.02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47</v>
      </c>
      <c r="Q24">
        <f t="shared" ca="1" si="25"/>
        <v>162.67482299999998</v>
      </c>
      <c r="R24">
        <f t="shared" ca="1" si="26"/>
        <v>20.979246</v>
      </c>
      <c r="S24" t="e">
        <f t="shared" si="27"/>
        <v>#VALUE!</v>
      </c>
      <c r="T24">
        <f t="shared" ca="1" si="28"/>
        <v>1000000</v>
      </c>
      <c r="U24">
        <f t="shared" ca="1" si="29"/>
        <v>100</v>
      </c>
      <c r="V24">
        <f t="shared" si="30"/>
        <v>47</v>
      </c>
      <c r="W24">
        <f t="shared" ca="1" si="31"/>
        <v>106.79482299999998</v>
      </c>
      <c r="X24">
        <f t="shared" ca="1" si="32"/>
        <v>20.979246</v>
      </c>
      <c r="Y24" t="e">
        <f>GetFollowingCarRow($B$45:$E$54,L24,$E$15,E24)</f>
        <v>#VALUE!</v>
      </c>
      <c r="Z24">
        <f t="shared" ca="1" si="33"/>
        <v>1000000000</v>
      </c>
      <c r="AA24">
        <f t="shared" ca="1" si="34"/>
        <v>100</v>
      </c>
      <c r="AB24">
        <f t="shared" si="35"/>
        <v>0.19999999999999929</v>
      </c>
      <c r="AC24">
        <f t="shared" si="36"/>
        <v>55.879999999999995</v>
      </c>
      <c r="AD24">
        <f t="shared" si="37"/>
        <v>6.6360128847530406</v>
      </c>
      <c r="AE24">
        <f t="shared" si="38"/>
        <v>-370.82039999999989</v>
      </c>
      <c r="AF24">
        <f t="shared" si="39"/>
        <v>55.880357908660528</v>
      </c>
      <c r="AG24">
        <f t="shared" si="40"/>
        <v>11.05498122273583</v>
      </c>
      <c r="AH24">
        <f t="shared" si="41"/>
        <v>0.6351489523872873</v>
      </c>
      <c r="AI24">
        <f>IF(G24&lt;=0,1,0)</f>
        <v>0</v>
      </c>
      <c r="AJ24">
        <f>IF(G24&lt;0,1,0)</f>
        <v>0</v>
      </c>
      <c r="AK24">
        <f>MAX(($B$3-G24)/(G24 + 1),0) / $B$3</f>
        <v>0</v>
      </c>
      <c r="AL24">
        <f>IF(H24+ABS(K24)&lt;0,Logistic(SQRT(H24^2+K24^2)/$B$4),0)</f>
        <v>0</v>
      </c>
      <c r="AM24">
        <f>IF(G24&gt;$B$3,1,0)</f>
        <v>1</v>
      </c>
      <c r="AN24">
        <f>IF(H24&gt;$B$4,1,0)</f>
        <v>1</v>
      </c>
      <c r="AO24">
        <f>ABS(H24)/$B$4</f>
        <v>1.6087499999999999</v>
      </c>
      <c r="AP24">
        <f>Logistic(I24/$B$5)</f>
        <v>0.5665993699780818</v>
      </c>
      <c r="AQ24">
        <f>IF(I24&gt;$B$5,1,0)</f>
        <v>1</v>
      </c>
      <c r="AR24">
        <f>Logistic(ABS(F24-O24)/($B$6/2))</f>
        <v>0.76368604438146093</v>
      </c>
      <c r="AS24">
        <f>IF(OR(F24&lt;M24,F24&gt;N24),1,0)</f>
        <v>1</v>
      </c>
      <c r="AT24">
        <f>ABS(K24)/$B$4</f>
        <v>2.5000000000000001E-3</v>
      </c>
      <c r="AU24">
        <f t="shared" ca="1" si="42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0.49839333676916664</v>
      </c>
      <c r="AX24">
        <f ca="1">MAX(1-(IF(T24/(G24-U24)&gt;0,T24/(G24-U24),Collision_Time_Buffer)/Collision_Time_Buffer),0)*IF($L$15&lt;&gt;L24,Lane_Change_Multiplier,1)</f>
        <v>0</v>
      </c>
      <c r="AY24">
        <f ca="1">MAX(1-(IF(W24/(G24-X24)&gt;0,W24/(G24-X24),Collision_Time_Buffer)/Collision_Time_Buffer),0)*IF($L$15&lt;&gt;L24,Lane_Change_Multiplier,1)</f>
        <v>0.67069892053696933</v>
      </c>
      <c r="AZ24">
        <f ca="1">MAX(1-(IF(Z24/(G24-AA24)&gt;0,Z24/(G24-AA24),Collision_Time_Buffer)/Collision_Time_Buffer),0)*IF($L$15&lt;&gt;L24,Lane_Change_Multiplier,1)</f>
        <v>0</v>
      </c>
      <c r="BA24">
        <f t="shared" ca="1" si="43"/>
        <v>0</v>
      </c>
      <c r="BB24">
        <f t="shared" ca="1" si="44"/>
        <v>0</v>
      </c>
      <c r="BC24">
        <f t="shared" si="45"/>
        <v>0</v>
      </c>
      <c r="BE24">
        <f t="shared" si="7"/>
        <v>0.6351489523872873</v>
      </c>
      <c r="BF24">
        <f t="shared" si="46"/>
        <v>0</v>
      </c>
      <c r="BG24">
        <f t="shared" si="47"/>
        <v>0</v>
      </c>
      <c r="BH24">
        <f t="shared" si="8"/>
        <v>-0.28747315244986521</v>
      </c>
      <c r="BI24">
        <f t="shared" si="9"/>
        <v>1</v>
      </c>
      <c r="BJ24">
        <f t="shared" si="10"/>
        <v>1</v>
      </c>
      <c r="BK24">
        <f t="shared" si="11"/>
        <v>1.4599458973139912</v>
      </c>
      <c r="BL24">
        <f t="shared" si="48"/>
        <v>0</v>
      </c>
      <c r="BM24">
        <f t="shared" si="12"/>
        <v>1.2483090596869844</v>
      </c>
      <c r="BN24">
        <f t="shared" si="13"/>
        <v>0.50499999999999989</v>
      </c>
      <c r="BO24">
        <f t="shared" si="14"/>
        <v>2.5000000000000001E-3</v>
      </c>
      <c r="BP24">
        <f t="shared" si="15"/>
        <v>0.6664755360599135</v>
      </c>
      <c r="BQ24">
        <f t="shared" si="16"/>
        <v>-0.29254578893696409</v>
      </c>
    </row>
    <row r="25" spans="1:69" x14ac:dyDescent="0.25">
      <c r="A25" s="1" t="s">
        <v>36</v>
      </c>
      <c r="B25">
        <f t="shared" ca="1" si="2"/>
        <v>191.79087450641663</v>
      </c>
      <c r="C25" t="s">
        <v>303</v>
      </c>
      <c r="D25">
        <f t="shared" si="17"/>
        <v>77</v>
      </c>
      <c r="E25">
        <f t="shared" si="18"/>
        <v>143.62</v>
      </c>
      <c r="F25">
        <f t="shared" si="19"/>
        <v>9.06</v>
      </c>
      <c r="G25">
        <f t="shared" si="20"/>
        <v>28.71</v>
      </c>
      <c r="H25">
        <f t="shared" si="21"/>
        <v>12.86</v>
      </c>
      <c r="I25">
        <f t="shared" si="22"/>
        <v>10.28</v>
      </c>
      <c r="J25">
        <f t="shared" si="23"/>
        <v>-6.57</v>
      </c>
      <c r="K25">
        <f t="shared" si="24"/>
        <v>0.05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47</v>
      </c>
      <c r="Q25">
        <f t="shared" ca="1" si="25"/>
        <v>162.67482299999998</v>
      </c>
      <c r="R25">
        <f t="shared" ca="1" si="26"/>
        <v>20.979246</v>
      </c>
      <c r="S25" t="e">
        <f t="shared" si="27"/>
        <v>#VALUE!</v>
      </c>
      <c r="T25">
        <f t="shared" ca="1" si="28"/>
        <v>1000000</v>
      </c>
      <c r="U25">
        <f t="shared" ca="1" si="29"/>
        <v>100</v>
      </c>
      <c r="V25">
        <f t="shared" si="30"/>
        <v>47</v>
      </c>
      <c r="W25">
        <f t="shared" ca="1" si="31"/>
        <v>146.46482299999997</v>
      </c>
      <c r="X25">
        <f t="shared" ca="1" si="32"/>
        <v>20.979246</v>
      </c>
      <c r="Y25" t="e">
        <f>GetFollowingCarRow($B$45:$E$54,L25,$E$15,E25)</f>
        <v>#VALUE!</v>
      </c>
      <c r="Z25">
        <f t="shared" ca="1" si="33"/>
        <v>1000000000</v>
      </c>
      <c r="AA25">
        <f t="shared" ca="1" si="34"/>
        <v>100</v>
      </c>
      <c r="AB25">
        <f t="shared" si="35"/>
        <v>-2.8800000000000008</v>
      </c>
      <c r="AC25">
        <f t="shared" si="36"/>
        <v>16.210000000000008</v>
      </c>
      <c r="AD25">
        <f t="shared" si="37"/>
        <v>-16.456693399136331</v>
      </c>
      <c r="AE25">
        <f t="shared" si="38"/>
        <v>266.76300000000003</v>
      </c>
      <c r="AF25">
        <f t="shared" si="39"/>
        <v>16.463854348238151</v>
      </c>
      <c r="AG25">
        <f t="shared" si="40"/>
        <v>40.881787818538832</v>
      </c>
      <c r="AH25">
        <f t="shared" si="41"/>
        <v>0.26362483547220333</v>
      </c>
      <c r="AI25">
        <f>IF(G25&lt;=0,1,0)</f>
        <v>0</v>
      </c>
      <c r="AJ25">
        <f>IF(G25&lt;0,1,0)</f>
        <v>0</v>
      </c>
      <c r="AK25">
        <f>MAX(($B$3-G25)/(G25 + 1),0) / $B$3</f>
        <v>0</v>
      </c>
      <c r="AL25">
        <f>IF(H25+ABS(K25)&lt;0,Logistic(SQRT(H25^2+K25^2)/$B$4),0)</f>
        <v>0</v>
      </c>
      <c r="AM25">
        <f>IF(G25&gt;$B$3,1,0)</f>
        <v>1</v>
      </c>
      <c r="AN25">
        <f>IF(H25&gt;$B$4,1,0)</f>
        <v>1</v>
      </c>
      <c r="AO25">
        <f>ABS(H25)/$B$4</f>
        <v>1.6074999999999999</v>
      </c>
      <c r="AP25">
        <f>Logistic(I25/$B$5)</f>
        <v>0.5665993699780818</v>
      </c>
      <c r="AQ25">
        <f>IF(I25&gt;$B$5,1,0)</f>
        <v>1</v>
      </c>
      <c r="AR25">
        <f>Logistic(ABS(F25-O25)/($B$6/2))</f>
        <v>0.23076751278236418</v>
      </c>
      <c r="AS25">
        <f>IF(OR(F25&lt;M25,F25&gt;N25),1,0)</f>
        <v>0</v>
      </c>
      <c r="AT25">
        <f>ABS(K25)/$B$4</f>
        <v>6.2500000000000003E-3</v>
      </c>
      <c r="AU25">
        <f t="shared" ca="1" si="42"/>
        <v>0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</v>
      </c>
      <c r="BA25">
        <f t="shared" ca="1" si="43"/>
        <v>0</v>
      </c>
      <c r="BB25">
        <f t="shared" ca="1" si="44"/>
        <v>0</v>
      </c>
      <c r="BC25">
        <f t="shared" si="45"/>
        <v>0</v>
      </c>
      <c r="BE25">
        <f t="shared" si="7"/>
        <v>0.26362483547220333</v>
      </c>
      <c r="BF25">
        <f t="shared" si="46"/>
        <v>0</v>
      </c>
      <c r="BG25">
        <f t="shared" si="47"/>
        <v>0</v>
      </c>
      <c r="BH25">
        <f t="shared" si="8"/>
        <v>-0.12538843513648659</v>
      </c>
      <c r="BI25">
        <f t="shared" si="9"/>
        <v>1</v>
      </c>
      <c r="BJ25">
        <f t="shared" si="10"/>
        <v>1</v>
      </c>
      <c r="BK25">
        <f t="shared" si="11"/>
        <v>1.4592403887701852</v>
      </c>
      <c r="BL25">
        <f t="shared" si="48"/>
        <v>0</v>
      </c>
      <c r="BM25">
        <f t="shared" si="12"/>
        <v>1.2483090596869844</v>
      </c>
      <c r="BN25">
        <f t="shared" si="13"/>
        <v>0</v>
      </c>
      <c r="BO25">
        <f t="shared" si="14"/>
        <v>6.2500000000000003E-3</v>
      </c>
      <c r="BP25">
        <f t="shared" si="15"/>
        <v>0.66612800986920317</v>
      </c>
      <c r="BQ25">
        <f t="shared" si="16"/>
        <v>-0.1297075209216616</v>
      </c>
    </row>
    <row r="26" spans="1:69" x14ac:dyDescent="0.25">
      <c r="A26" s="1" t="s">
        <v>79</v>
      </c>
      <c r="B26">
        <f t="shared" ca="1" si="2"/>
        <v>214.67592730087421</v>
      </c>
      <c r="C26" t="s">
        <v>302</v>
      </c>
      <c r="D26">
        <f t="shared" si="17"/>
        <v>125</v>
      </c>
      <c r="E26">
        <f t="shared" si="18"/>
        <v>131.82</v>
      </c>
      <c r="F26">
        <f t="shared" si="19"/>
        <v>6.27</v>
      </c>
      <c r="G26">
        <f t="shared" si="20"/>
        <v>2.21</v>
      </c>
      <c r="H26">
        <f t="shared" si="21"/>
        <v>0</v>
      </c>
      <c r="I26">
        <f t="shared" si="22"/>
        <v>2.59</v>
      </c>
      <c r="J26">
        <f t="shared" si="23"/>
        <v>-0.08</v>
      </c>
      <c r="K26">
        <f t="shared" si="24"/>
        <v>0.01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>
        <f t="shared" si="5"/>
        <v>47</v>
      </c>
      <c r="Q26">
        <f t="shared" ca="1" si="25"/>
        <v>162.67482299999998</v>
      </c>
      <c r="R26">
        <f t="shared" ca="1" si="26"/>
        <v>20.979246</v>
      </c>
      <c r="S26" t="e">
        <f t="shared" si="27"/>
        <v>#VALUE!</v>
      </c>
      <c r="T26">
        <f t="shared" ca="1" si="28"/>
        <v>1000000</v>
      </c>
      <c r="U26">
        <f t="shared" ca="1" si="29"/>
        <v>100</v>
      </c>
      <c r="V26">
        <f t="shared" si="30"/>
        <v>47</v>
      </c>
      <c r="W26">
        <f t="shared" ca="1" si="31"/>
        <v>158.26482299999998</v>
      </c>
      <c r="X26">
        <f t="shared" ca="1" si="32"/>
        <v>20.979246</v>
      </c>
      <c r="Y26" t="e">
        <f>GetFollowingCarRow($B$45:$E$54,L26,$E$15,E26)</f>
        <v>#VALUE!</v>
      </c>
      <c r="Z26">
        <f t="shared" ca="1" si="33"/>
        <v>1000000000</v>
      </c>
      <c r="AA26">
        <f t="shared" ca="1" si="34"/>
        <v>100</v>
      </c>
      <c r="AB26">
        <f t="shared" si="35"/>
        <v>-8.9999999999999858E-2</v>
      </c>
      <c r="AC26">
        <f t="shared" si="36"/>
        <v>4.4099999999999966</v>
      </c>
      <c r="AD26">
        <f t="shared" si="37"/>
        <v>3.5797959183673487</v>
      </c>
      <c r="AE26">
        <f t="shared" si="38"/>
        <v>-15.786899999999996</v>
      </c>
      <c r="AF26">
        <f t="shared" si="39"/>
        <v>4.4109182717434212</v>
      </c>
      <c r="AG26">
        <f t="shared" si="40"/>
        <v>4.0958587117188188</v>
      </c>
      <c r="AH26">
        <f t="shared" si="41"/>
        <v>0.6351489523872873</v>
      </c>
      <c r="AI26">
        <f>IF(G26&lt;=0,1,0)</f>
        <v>0</v>
      </c>
      <c r="AJ26">
        <f>IF(G26&lt;0,1,0)</f>
        <v>0</v>
      </c>
      <c r="AK26">
        <f>MAX(($B$3-G26)/(G26 + 1),0) / $B$3</f>
        <v>0.27908192177484942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0.16047576608068073</v>
      </c>
      <c r="AQ26">
        <f>IF(I26&gt;$B$5,1,0)</f>
        <v>0</v>
      </c>
      <c r="AR26">
        <f>Logistic(ABS(F26-O26)/($B$6/2))</f>
        <v>0.73175735003867848</v>
      </c>
      <c r="AS26">
        <f>IF(OR(F26&lt;M26,F26&gt;N26),1,0)</f>
        <v>1</v>
      </c>
      <c r="AT26">
        <f>ABS(K26)/$B$4</f>
        <v>1.25E-3</v>
      </c>
      <c r="AU26">
        <f t="shared" ca="1" si="42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3"/>
        <v>0</v>
      </c>
      <c r="BB26">
        <f t="shared" ca="1" si="44"/>
        <v>0</v>
      </c>
      <c r="BC26">
        <f t="shared" si="45"/>
        <v>0</v>
      </c>
      <c r="BE26">
        <f t="shared" si="7"/>
        <v>0.6351489523872873</v>
      </c>
      <c r="BF26">
        <f t="shared" si="46"/>
        <v>0</v>
      </c>
      <c r="BG26">
        <f t="shared" si="47"/>
        <v>0</v>
      </c>
      <c r="BH26">
        <f t="shared" si="8"/>
        <v>0.99465528541223758</v>
      </c>
      <c r="BI26">
        <f t="shared" si="9"/>
        <v>0</v>
      </c>
      <c r="BJ26">
        <f t="shared" si="10"/>
        <v>0</v>
      </c>
      <c r="BK26">
        <f t="shared" si="11"/>
        <v>0</v>
      </c>
      <c r="BL26">
        <f t="shared" si="48"/>
        <v>0</v>
      </c>
      <c r="BM26">
        <f t="shared" si="12"/>
        <v>0.12383526696746028</v>
      </c>
      <c r="BN26">
        <f t="shared" si="13"/>
        <v>0.43250000000000011</v>
      </c>
      <c r="BO26">
        <f t="shared" si="14"/>
        <v>1.25E-3</v>
      </c>
      <c r="BP26">
        <f t="shared" si="15"/>
        <v>0</v>
      </c>
      <c r="BQ26">
        <f t="shared" si="16"/>
        <v>0.99963252178874784</v>
      </c>
    </row>
    <row r="27" spans="1:69" x14ac:dyDescent="0.25">
      <c r="A27" s="1" t="s">
        <v>80</v>
      </c>
      <c r="B27">
        <f t="shared" ca="1" si="2"/>
        <v>214.67592730087421</v>
      </c>
      <c r="C27" t="s">
        <v>301</v>
      </c>
      <c r="D27">
        <f t="shared" si="17"/>
        <v>125</v>
      </c>
      <c r="E27">
        <f t="shared" si="18"/>
        <v>131.82</v>
      </c>
      <c r="F27">
        <f t="shared" si="19"/>
        <v>6.33</v>
      </c>
      <c r="G27">
        <f t="shared" si="20"/>
        <v>2.21</v>
      </c>
      <c r="H27">
        <f t="shared" si="21"/>
        <v>0</v>
      </c>
      <c r="I27">
        <f t="shared" si="22"/>
        <v>2.59</v>
      </c>
      <c r="J27">
        <f t="shared" si="23"/>
        <v>-0.14000000000000001</v>
      </c>
      <c r="K27">
        <f t="shared" si="24"/>
        <v>0.02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>
        <f t="shared" si="5"/>
        <v>47</v>
      </c>
      <c r="Q27">
        <f t="shared" ca="1" si="25"/>
        <v>162.67482299999998</v>
      </c>
      <c r="R27">
        <f t="shared" ca="1" si="26"/>
        <v>20.979246</v>
      </c>
      <c r="S27" t="e">
        <f t="shared" si="27"/>
        <v>#VALUE!</v>
      </c>
      <c r="T27">
        <f t="shared" ca="1" si="28"/>
        <v>1000000</v>
      </c>
      <c r="U27">
        <f t="shared" ca="1" si="29"/>
        <v>100</v>
      </c>
      <c r="V27">
        <f t="shared" si="30"/>
        <v>47</v>
      </c>
      <c r="W27">
        <f t="shared" ca="1" si="31"/>
        <v>158.26482299999998</v>
      </c>
      <c r="X27">
        <f t="shared" ca="1" si="32"/>
        <v>20.979246</v>
      </c>
      <c r="Y27" t="e">
        <f>GetFollowingCarRow($B$45:$E$54,L27,$E$15,E27)</f>
        <v>#VALUE!</v>
      </c>
      <c r="Z27">
        <f t="shared" ca="1" si="33"/>
        <v>1000000000</v>
      </c>
      <c r="AA27">
        <f t="shared" ca="1" si="34"/>
        <v>100</v>
      </c>
      <c r="AB27">
        <f t="shared" si="35"/>
        <v>-0.15000000000000036</v>
      </c>
      <c r="AC27">
        <f t="shared" si="36"/>
        <v>4.4099999999999966</v>
      </c>
      <c r="AD27">
        <f t="shared" si="37"/>
        <v>1.846326530612231</v>
      </c>
      <c r="AE27">
        <f t="shared" si="38"/>
        <v>-8.142299999999933</v>
      </c>
      <c r="AF27">
        <f t="shared" si="39"/>
        <v>4.4125502829996135</v>
      </c>
      <c r="AG27">
        <f t="shared" si="40"/>
        <v>0.1498926035014484</v>
      </c>
      <c r="AH27">
        <f t="shared" si="41"/>
        <v>0.6351489523872873</v>
      </c>
      <c r="AI27">
        <f>IF(G27&lt;=0,1,0)</f>
        <v>0</v>
      </c>
      <c r="AJ27">
        <f>IF(G27&lt;0,1,0)</f>
        <v>0</v>
      </c>
      <c r="AK27">
        <f>MAX(($B$3-G27)/(G27 + 1),0) / $B$3</f>
        <v>0.27908192177484942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0</v>
      </c>
      <c r="AP27">
        <f>Logistic(I27/$B$5)</f>
        <v>0.16047576608068073</v>
      </c>
      <c r="AQ27">
        <f>IF(I27&gt;$B$5,1,0)</f>
        <v>0</v>
      </c>
      <c r="AR27">
        <f>Logistic(ABS(F27-O27)/($B$6/2))</f>
        <v>0.7247125847970074</v>
      </c>
      <c r="AS27">
        <f>IF(OR(F27&lt;M27,F27&gt;N27),1,0)</f>
        <v>1</v>
      </c>
      <c r="AT27">
        <f>ABS(K27)/$B$4</f>
        <v>2.5000000000000001E-3</v>
      </c>
      <c r="AU27">
        <f t="shared" ca="1" si="42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</v>
      </c>
      <c r="BA27">
        <f t="shared" ca="1" si="43"/>
        <v>0</v>
      </c>
      <c r="BB27">
        <f t="shared" ca="1" si="44"/>
        <v>0</v>
      </c>
      <c r="BC27">
        <f t="shared" si="45"/>
        <v>0</v>
      </c>
      <c r="BE27">
        <f t="shared" si="7"/>
        <v>0.6351489523872873</v>
      </c>
      <c r="BF27">
        <f t="shared" si="46"/>
        <v>0</v>
      </c>
      <c r="BG27">
        <f t="shared" si="47"/>
        <v>0</v>
      </c>
      <c r="BH27">
        <f t="shared" si="8"/>
        <v>0.99465528541223758</v>
      </c>
      <c r="BI27">
        <f t="shared" si="9"/>
        <v>0</v>
      </c>
      <c r="BJ27">
        <f t="shared" si="10"/>
        <v>0</v>
      </c>
      <c r="BK27">
        <f t="shared" si="11"/>
        <v>0</v>
      </c>
      <c r="BL27">
        <f t="shared" si="48"/>
        <v>0</v>
      </c>
      <c r="BM27">
        <f t="shared" si="12"/>
        <v>0.12383526696746028</v>
      </c>
      <c r="BN27">
        <f t="shared" si="13"/>
        <v>0.41749999999999998</v>
      </c>
      <c r="BO27">
        <f t="shared" si="14"/>
        <v>2.5000000000000001E-3</v>
      </c>
      <c r="BP27">
        <f t="shared" si="15"/>
        <v>0</v>
      </c>
      <c r="BQ27">
        <f t="shared" si="16"/>
        <v>0.99963252178874784</v>
      </c>
    </row>
    <row r="28" spans="1:69" x14ac:dyDescent="0.25">
      <c r="A28" s="1" t="s">
        <v>81</v>
      </c>
      <c r="B28">
        <f t="shared" ca="1" si="2"/>
        <v>214.93077673463594</v>
      </c>
      <c r="C28" t="s">
        <v>300</v>
      </c>
      <c r="D28">
        <f t="shared" si="17"/>
        <v>125</v>
      </c>
      <c r="E28">
        <f t="shared" si="18"/>
        <v>131.82</v>
      </c>
      <c r="F28">
        <f t="shared" si="19"/>
        <v>6.51</v>
      </c>
      <c r="G28">
        <f t="shared" si="20"/>
        <v>2.2000000000000002</v>
      </c>
      <c r="H28">
        <f t="shared" si="21"/>
        <v>0</v>
      </c>
      <c r="I28">
        <f t="shared" si="22"/>
        <v>2.59</v>
      </c>
      <c r="J28">
        <f t="shared" si="23"/>
        <v>-0.3</v>
      </c>
      <c r="K28">
        <f t="shared" si="24"/>
        <v>0.05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>
        <f t="shared" si="5"/>
        <v>47</v>
      </c>
      <c r="Q28">
        <f t="shared" ca="1" si="25"/>
        <v>162.67482299999998</v>
      </c>
      <c r="R28">
        <f t="shared" ca="1" si="26"/>
        <v>20.979246</v>
      </c>
      <c r="S28" t="e">
        <f t="shared" si="27"/>
        <v>#VALUE!</v>
      </c>
      <c r="T28">
        <f t="shared" ca="1" si="28"/>
        <v>1000000</v>
      </c>
      <c r="U28">
        <f t="shared" ca="1" si="29"/>
        <v>100</v>
      </c>
      <c r="V28">
        <f t="shared" si="30"/>
        <v>47</v>
      </c>
      <c r="W28">
        <f t="shared" ca="1" si="31"/>
        <v>158.26482299999998</v>
      </c>
      <c r="X28">
        <f t="shared" ca="1" si="32"/>
        <v>20.979246</v>
      </c>
      <c r="Y28" t="e">
        <f>GetFollowingCarRow($B$45:$E$54,L28,$E$15,E28)</f>
        <v>#VALUE!</v>
      </c>
      <c r="Z28">
        <f t="shared" ca="1" si="33"/>
        <v>1000000000</v>
      </c>
      <c r="AA28">
        <f t="shared" ca="1" si="34"/>
        <v>100</v>
      </c>
      <c r="AB28">
        <f t="shared" si="35"/>
        <v>-0.33000000000000007</v>
      </c>
      <c r="AC28">
        <f t="shared" si="36"/>
        <v>4.4099999999999966</v>
      </c>
      <c r="AD28">
        <f t="shared" si="37"/>
        <v>-3.3540816326530702</v>
      </c>
      <c r="AE28">
        <f t="shared" si="38"/>
        <v>14.791500000000028</v>
      </c>
      <c r="AF28">
        <f t="shared" si="39"/>
        <v>4.422329702769793</v>
      </c>
      <c r="AG28">
        <f t="shared" si="40"/>
        <v>11.657624590430434</v>
      </c>
      <c r="AH28">
        <f t="shared" si="41"/>
        <v>0.6351489523872873</v>
      </c>
      <c r="AI28">
        <f>IF(G28&lt;=0,1,0)</f>
        <v>0</v>
      </c>
      <c r="AJ28">
        <f>IF(G28&lt;0,1,0)</f>
        <v>0</v>
      </c>
      <c r="AK28">
        <f>MAX(($B$3-G28)/(G28 + 1),0) / $B$3</f>
        <v>0.28010131950989631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0</v>
      </c>
      <c r="AP28">
        <f>Logistic(I28/$B$5)</f>
        <v>0.16047576608068073</v>
      </c>
      <c r="AQ28">
        <f>IF(I28&gt;$B$5,1,0)</f>
        <v>0</v>
      </c>
      <c r="AR28">
        <f>Logistic(ABS(F28-O28)/($B$6/2))</f>
        <v>0.70264209083218521</v>
      </c>
      <c r="AS28">
        <f>IF(OR(F28&lt;M28,F28&gt;N28),1,0)</f>
        <v>1</v>
      </c>
      <c r="AT28">
        <f>ABS(K28)/$B$4</f>
        <v>6.2500000000000003E-3</v>
      </c>
      <c r="AU28">
        <f t="shared" ca="1" si="42"/>
        <v>0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</v>
      </c>
      <c r="BA28">
        <f t="shared" ca="1" si="43"/>
        <v>0</v>
      </c>
      <c r="BB28">
        <f t="shared" ca="1" si="44"/>
        <v>0</v>
      </c>
      <c r="BC28">
        <f t="shared" si="45"/>
        <v>0</v>
      </c>
      <c r="BE28">
        <f t="shared" si="7"/>
        <v>0.6351489523872873</v>
      </c>
      <c r="BF28">
        <f t="shared" si="46"/>
        <v>0</v>
      </c>
      <c r="BG28">
        <f t="shared" si="47"/>
        <v>0</v>
      </c>
      <c r="BH28">
        <f t="shared" si="8"/>
        <v>0.99476935962390334</v>
      </c>
      <c r="BI28">
        <f t="shared" si="9"/>
        <v>0</v>
      </c>
      <c r="BJ28">
        <f t="shared" si="10"/>
        <v>0</v>
      </c>
      <c r="BK28">
        <f t="shared" si="11"/>
        <v>0</v>
      </c>
      <c r="BL28">
        <f t="shared" si="48"/>
        <v>0</v>
      </c>
      <c r="BM28">
        <f t="shared" si="12"/>
        <v>0.12383526696746028</v>
      </c>
      <c r="BN28">
        <f t="shared" si="13"/>
        <v>0.37250000000000005</v>
      </c>
      <c r="BO28">
        <f t="shared" si="14"/>
        <v>6.2500000000000003E-3</v>
      </c>
      <c r="BP28">
        <f t="shared" si="15"/>
        <v>0</v>
      </c>
      <c r="BQ28">
        <f t="shared" si="16"/>
        <v>0.99964821250572311</v>
      </c>
    </row>
    <row r="29" spans="1:69" x14ac:dyDescent="0.25">
      <c r="A29" s="1" t="s">
        <v>22</v>
      </c>
      <c r="B29">
        <f t="shared" ca="1" si="2"/>
        <v>151.90544685716185</v>
      </c>
      <c r="C29" t="s">
        <v>299</v>
      </c>
      <c r="D29">
        <f t="shared" si="17"/>
        <v>125</v>
      </c>
      <c r="E29">
        <f t="shared" si="18"/>
        <v>158.59</v>
      </c>
      <c r="F29">
        <f t="shared" si="19"/>
        <v>8.02</v>
      </c>
      <c r="G29">
        <f t="shared" si="20"/>
        <v>28.84</v>
      </c>
      <c r="H29">
        <f t="shared" si="21"/>
        <v>6.69</v>
      </c>
      <c r="I29">
        <f t="shared" si="22"/>
        <v>4.1100000000000003</v>
      </c>
      <c r="J29">
        <f t="shared" si="23"/>
        <v>-0.96</v>
      </c>
      <c r="K29">
        <f t="shared" si="24"/>
        <v>0.01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>
        <f t="shared" si="5"/>
        <v>47</v>
      </c>
      <c r="Q29">
        <f t="shared" ca="1" si="25"/>
        <v>162.67482299999998</v>
      </c>
      <c r="R29">
        <f t="shared" ca="1" si="26"/>
        <v>20.979246</v>
      </c>
      <c r="S29" t="e">
        <f t="shared" si="27"/>
        <v>#VALUE!</v>
      </c>
      <c r="T29">
        <f t="shared" ca="1" si="28"/>
        <v>1000000</v>
      </c>
      <c r="U29">
        <f t="shared" ca="1" si="29"/>
        <v>100</v>
      </c>
      <c r="V29">
        <f t="shared" si="30"/>
        <v>47</v>
      </c>
      <c r="W29">
        <f t="shared" ca="1" si="31"/>
        <v>131.49482299999997</v>
      </c>
      <c r="X29">
        <f t="shared" ca="1" si="32"/>
        <v>20.979246</v>
      </c>
      <c r="Y29" t="e">
        <f>GetFollowingCarRow($B$45:$E$54,L29,$E$15,E29)</f>
        <v>#VALUE!</v>
      </c>
      <c r="Z29">
        <f t="shared" ca="1" si="33"/>
        <v>1000000000</v>
      </c>
      <c r="AA29">
        <f t="shared" ca="1" si="34"/>
        <v>100</v>
      </c>
      <c r="AB29">
        <f t="shared" si="35"/>
        <v>-1.8399999999999999</v>
      </c>
      <c r="AC29">
        <f t="shared" si="36"/>
        <v>31.180000000000007</v>
      </c>
      <c r="AD29">
        <f t="shared" si="37"/>
        <v>-1.3387427838357899</v>
      </c>
      <c r="AE29">
        <f t="shared" si="38"/>
        <v>41.74199999999994</v>
      </c>
      <c r="AF29">
        <f t="shared" si="39"/>
        <v>31.234244027989543</v>
      </c>
      <c r="AG29">
        <f t="shared" si="40"/>
        <v>7.0893964432617889</v>
      </c>
      <c r="AH29">
        <f t="shared" si="41"/>
        <v>0.6351489523872873</v>
      </c>
      <c r="AI29">
        <f>IF(G29&lt;=0,1,0)</f>
        <v>0</v>
      </c>
      <c r="AJ29">
        <f>IF(G29&lt;0,1,0)</f>
        <v>0</v>
      </c>
      <c r="AK29">
        <f>MAX(($B$3-G29)/(G29 + 1),0) / $B$3</f>
        <v>0</v>
      </c>
      <c r="AL29">
        <f>IF(H29+ABS(K29)&lt;0,Logistic(SQRT(H29^2+K29^2)/$B$4),0)</f>
        <v>0</v>
      </c>
      <c r="AM29">
        <f>IF(G29&gt;$B$3,1,0)</f>
        <v>1</v>
      </c>
      <c r="AN29">
        <f>IF(H29&gt;$B$4,1,0)</f>
        <v>0</v>
      </c>
      <c r="AO29">
        <f>ABS(H29)/$B$4</f>
        <v>0.83625000000000005</v>
      </c>
      <c r="AP29">
        <f>Logistic(I29/$B$5)</f>
        <v>0.25137029947422596</v>
      </c>
      <c r="AQ29">
        <f>IF(I29&gt;$B$5,1,0)</f>
        <v>0</v>
      </c>
      <c r="AR29">
        <f>Logistic(ABS(F29-O29)/($B$6/2))</f>
        <v>0.45817584469861311</v>
      </c>
      <c r="AS29">
        <f>IF(OR(F29&lt;M29,F29&gt;N29),1,0)</f>
        <v>0</v>
      </c>
      <c r="AT29">
        <f>ABS(K29)/$B$4</f>
        <v>1.25E-3</v>
      </c>
      <c r="AU29">
        <f t="shared" ca="1" si="42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3"/>
        <v>0</v>
      </c>
      <c r="BB29">
        <f t="shared" ca="1" si="44"/>
        <v>0</v>
      </c>
      <c r="BC29">
        <f t="shared" si="45"/>
        <v>0</v>
      </c>
      <c r="BE29">
        <f t="shared" si="7"/>
        <v>0.6351489523872873</v>
      </c>
      <c r="BF29">
        <f t="shared" si="46"/>
        <v>0</v>
      </c>
      <c r="BG29">
        <f t="shared" si="47"/>
        <v>0</v>
      </c>
      <c r="BH29">
        <f t="shared" si="8"/>
        <v>-0.12699162335985087</v>
      </c>
      <c r="BI29">
        <f t="shared" si="9"/>
        <v>1</v>
      </c>
      <c r="BJ29">
        <f t="shared" si="10"/>
        <v>0</v>
      </c>
      <c r="BK29">
        <f t="shared" si="11"/>
        <v>0.82216460981132045</v>
      </c>
      <c r="BL29">
        <f t="shared" si="48"/>
        <v>0</v>
      </c>
      <c r="BM29">
        <f t="shared" si="12"/>
        <v>0.38810784790477265</v>
      </c>
      <c r="BN29">
        <f t="shared" si="13"/>
        <v>0</v>
      </c>
      <c r="BO29">
        <f t="shared" si="14"/>
        <v>1.25E-3</v>
      </c>
      <c r="BP29">
        <f t="shared" si="15"/>
        <v>0.39534967069925125</v>
      </c>
      <c r="BQ29">
        <f t="shared" si="16"/>
        <v>-0.13134496813485455</v>
      </c>
    </row>
    <row r="30" spans="1:69" x14ac:dyDescent="0.25">
      <c r="A30" s="1" t="s">
        <v>21</v>
      </c>
      <c r="B30">
        <f t="shared" ca="1" si="2"/>
        <v>151.90544685716185</v>
      </c>
      <c r="C30" t="s">
        <v>298</v>
      </c>
      <c r="D30">
        <f t="shared" si="17"/>
        <v>125</v>
      </c>
      <c r="E30">
        <f t="shared" si="18"/>
        <v>158.59</v>
      </c>
      <c r="F30">
        <f t="shared" si="19"/>
        <v>8.98</v>
      </c>
      <c r="G30">
        <f t="shared" si="20"/>
        <v>28.84</v>
      </c>
      <c r="H30">
        <f t="shared" si="21"/>
        <v>6.69</v>
      </c>
      <c r="I30">
        <f t="shared" si="22"/>
        <v>4.0999999999999996</v>
      </c>
      <c r="J30">
        <f t="shared" si="23"/>
        <v>-0.55000000000000004</v>
      </c>
      <c r="K30">
        <f t="shared" si="24"/>
        <v>0.02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>
        <f t="shared" si="5"/>
        <v>47</v>
      </c>
      <c r="Q30">
        <f t="shared" ca="1" si="25"/>
        <v>162.67482299999998</v>
      </c>
      <c r="R30">
        <f t="shared" ca="1" si="26"/>
        <v>20.979246</v>
      </c>
      <c r="S30" t="e">
        <f t="shared" si="27"/>
        <v>#VALUE!</v>
      </c>
      <c r="T30">
        <f t="shared" ca="1" si="28"/>
        <v>1000000</v>
      </c>
      <c r="U30">
        <f t="shared" ca="1" si="29"/>
        <v>100</v>
      </c>
      <c r="V30">
        <f t="shared" si="30"/>
        <v>47</v>
      </c>
      <c r="W30">
        <f t="shared" ca="1" si="31"/>
        <v>131.49482299999997</v>
      </c>
      <c r="X30">
        <f t="shared" ca="1" si="32"/>
        <v>20.979246</v>
      </c>
      <c r="Y30" t="e">
        <f>GetFollowingCarRow($B$45:$E$54,L30,$E$15,E30)</f>
        <v>#VALUE!</v>
      </c>
      <c r="Z30">
        <f t="shared" ca="1" si="33"/>
        <v>1000000000</v>
      </c>
      <c r="AA30">
        <f t="shared" ca="1" si="34"/>
        <v>100</v>
      </c>
      <c r="AB30">
        <f t="shared" si="35"/>
        <v>-2.8000000000000007</v>
      </c>
      <c r="AC30">
        <f t="shared" si="36"/>
        <v>31.180000000000007</v>
      </c>
      <c r="AD30">
        <f t="shared" si="37"/>
        <v>-5.2615651058370769</v>
      </c>
      <c r="AE30">
        <f t="shared" si="38"/>
        <v>164.05560000000008</v>
      </c>
      <c r="AF30">
        <f t="shared" si="39"/>
        <v>31.30546917073757</v>
      </c>
      <c r="AG30">
        <f t="shared" si="40"/>
        <v>15.968882813207872</v>
      </c>
      <c r="AH30">
        <f t="shared" si="41"/>
        <v>0.6351489523872873</v>
      </c>
      <c r="AI30">
        <f>IF(G30&lt;=0,1,0)</f>
        <v>0</v>
      </c>
      <c r="AJ30">
        <f>IF(G30&lt;0,1,0)</f>
        <v>0</v>
      </c>
      <c r="AK30">
        <f>MAX(($B$3-G30)/(G30 + 1),0) / $B$3</f>
        <v>0</v>
      </c>
      <c r="AL30">
        <f>IF(H30+ABS(K30)&lt;0,Logistic(SQRT(H30^2+K30^2)/$B$4),0)</f>
        <v>0</v>
      </c>
      <c r="AM30">
        <f>IF(G30&gt;$B$3,1,0)</f>
        <v>1</v>
      </c>
      <c r="AN30">
        <f>IF(H30&gt;$B$4,1,0)</f>
        <v>0</v>
      </c>
      <c r="AO30">
        <f>ABS(H30)/$B$4</f>
        <v>0.83625000000000005</v>
      </c>
      <c r="AP30">
        <f>Logistic(I30/$B$5)</f>
        <v>0.25078469944110221</v>
      </c>
      <c r="AQ30">
        <f>IF(I30&gt;$B$5,1,0)</f>
        <v>0</v>
      </c>
      <c r="AR30">
        <f>Logistic(ABS(F30-O30)/($B$6/2))</f>
        <v>0.24961294893685845</v>
      </c>
      <c r="AS30">
        <f>IF(OR(F30&lt;M30,F30&gt;N30),1,0)</f>
        <v>0</v>
      </c>
      <c r="AT30">
        <f>ABS(K30)/$B$4</f>
        <v>2.5000000000000001E-3</v>
      </c>
      <c r="AU30">
        <f t="shared" ca="1" si="42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</v>
      </c>
      <c r="BA30">
        <f t="shared" ca="1" si="43"/>
        <v>0</v>
      </c>
      <c r="BB30">
        <f t="shared" ca="1" si="44"/>
        <v>0</v>
      </c>
      <c r="BC30">
        <f t="shared" si="45"/>
        <v>0</v>
      </c>
      <c r="BE30">
        <f t="shared" si="7"/>
        <v>0.6351489523872873</v>
      </c>
      <c r="BF30">
        <f t="shared" si="46"/>
        <v>0</v>
      </c>
      <c r="BG30">
        <f t="shared" si="47"/>
        <v>0</v>
      </c>
      <c r="BH30">
        <f t="shared" si="8"/>
        <v>-0.12699162335985087</v>
      </c>
      <c r="BI30">
        <f t="shared" si="9"/>
        <v>1</v>
      </c>
      <c r="BJ30">
        <f t="shared" si="10"/>
        <v>0</v>
      </c>
      <c r="BK30">
        <f t="shared" si="11"/>
        <v>0.82216460981132045</v>
      </c>
      <c r="BL30">
        <f t="shared" si="48"/>
        <v>0</v>
      </c>
      <c r="BM30">
        <f t="shared" si="12"/>
        <v>0.38626967552573416</v>
      </c>
      <c r="BN30">
        <f t="shared" si="13"/>
        <v>0</v>
      </c>
      <c r="BO30">
        <f t="shared" si="14"/>
        <v>2.5000000000000001E-3</v>
      </c>
      <c r="BP30">
        <f t="shared" si="15"/>
        <v>0.39534967069925125</v>
      </c>
      <c r="BQ30">
        <f t="shared" si="16"/>
        <v>-0.13134496813485455</v>
      </c>
    </row>
    <row r="31" spans="1:69" x14ac:dyDescent="0.25">
      <c r="A31" s="1" t="s">
        <v>20</v>
      </c>
      <c r="B31">
        <f t="shared" ca="1" si="2"/>
        <v>121.4871710518626</v>
      </c>
      <c r="C31" t="s">
        <v>297</v>
      </c>
      <c r="D31">
        <f t="shared" si="17"/>
        <v>95</v>
      </c>
      <c r="E31">
        <f t="shared" si="18"/>
        <v>143.61000000000001</v>
      </c>
      <c r="F31">
        <f t="shared" si="19"/>
        <v>9.06</v>
      </c>
      <c r="G31">
        <f t="shared" si="20"/>
        <v>20.81</v>
      </c>
      <c r="H31">
        <f t="shared" si="21"/>
        <v>6.69</v>
      </c>
      <c r="I31">
        <f t="shared" si="22"/>
        <v>4.0999999999999996</v>
      </c>
      <c r="J31">
        <f t="shared" si="23"/>
        <v>-4.75</v>
      </c>
      <c r="K31">
        <f t="shared" si="24"/>
        <v>0.05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>
        <f t="shared" si="5"/>
        <v>47</v>
      </c>
      <c r="Q31">
        <f t="shared" ca="1" si="25"/>
        <v>162.67482299999998</v>
      </c>
      <c r="R31">
        <f t="shared" ca="1" si="26"/>
        <v>20.979246</v>
      </c>
      <c r="S31" t="e">
        <f t="shared" si="27"/>
        <v>#VALUE!</v>
      </c>
      <c r="T31">
        <f t="shared" ca="1" si="28"/>
        <v>1000000</v>
      </c>
      <c r="U31">
        <f t="shared" ca="1" si="29"/>
        <v>100</v>
      </c>
      <c r="V31">
        <f t="shared" si="30"/>
        <v>47</v>
      </c>
      <c r="W31">
        <f t="shared" ca="1" si="31"/>
        <v>146.47482299999996</v>
      </c>
      <c r="X31">
        <f t="shared" ca="1" si="32"/>
        <v>20.979246</v>
      </c>
      <c r="Y31" t="e">
        <f>GetFollowingCarRow($B$45:$E$54,L31,$E$15,E31)</f>
        <v>#VALUE!</v>
      </c>
      <c r="Z31">
        <f t="shared" ca="1" si="33"/>
        <v>1000000000</v>
      </c>
      <c r="AA31">
        <f t="shared" ca="1" si="34"/>
        <v>100</v>
      </c>
      <c r="AB31">
        <f t="shared" si="35"/>
        <v>-2.8800000000000008</v>
      </c>
      <c r="AC31">
        <f t="shared" si="36"/>
        <v>16.200000000000017</v>
      </c>
      <c r="AD31">
        <f t="shared" si="37"/>
        <v>-16.470666666666649</v>
      </c>
      <c r="AE31">
        <f t="shared" si="38"/>
        <v>266.82479999999998</v>
      </c>
      <c r="AF31">
        <f t="shared" si="39"/>
        <v>16.454008630118089</v>
      </c>
      <c r="AG31">
        <f t="shared" si="40"/>
        <v>40.912338347009161</v>
      </c>
      <c r="AH31">
        <f t="shared" si="41"/>
        <v>0.42189900525000795</v>
      </c>
      <c r="AI31">
        <f>IF(G31&lt;=0,1,0)</f>
        <v>0</v>
      </c>
      <c r="AJ31">
        <f>IF(G31&lt;0,1,0)</f>
        <v>0</v>
      </c>
      <c r="AK31">
        <f>MAX(($B$3-G31)/(G31 + 1),0) / $B$3</f>
        <v>8.8589614445033652E-4</v>
      </c>
      <c r="AL31">
        <f>IF(H31+ABS(K31)&lt;0,Logistic(SQRT(H31^2+K31^2)/$B$4),0)</f>
        <v>0</v>
      </c>
      <c r="AM31">
        <f>IF(G31&gt;$B$3,1,0)</f>
        <v>0</v>
      </c>
      <c r="AN31">
        <f>IF(H31&gt;$B$4,1,0)</f>
        <v>0</v>
      </c>
      <c r="AO31">
        <f>ABS(H31)/$B$4</f>
        <v>0.83625000000000005</v>
      </c>
      <c r="AP31">
        <f>Logistic(I31/$B$5)</f>
        <v>0.25078469944110221</v>
      </c>
      <c r="AQ31">
        <f>IF(I31&gt;$B$5,1,0)</f>
        <v>0</v>
      </c>
      <c r="AR31">
        <f>Logistic(ABS(F31-O31)/($B$6/2))</f>
        <v>0.23076751278236418</v>
      </c>
      <c r="AS31">
        <f>IF(OR(F31&lt;M31,F31&gt;N31),1,0)</f>
        <v>0</v>
      </c>
      <c r="AT31">
        <f>ABS(K31)/$B$4</f>
        <v>6.2500000000000003E-3</v>
      </c>
      <c r="AU31">
        <f t="shared" ca="1" si="42"/>
        <v>0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</v>
      </c>
      <c r="BA31">
        <f t="shared" ca="1" si="43"/>
        <v>0</v>
      </c>
      <c r="BB31">
        <f t="shared" ca="1" si="44"/>
        <v>0</v>
      </c>
      <c r="BC31">
        <f t="shared" si="45"/>
        <v>0</v>
      </c>
      <c r="BE31">
        <f t="shared" si="7"/>
        <v>0.42189900525000795</v>
      </c>
      <c r="BF31">
        <f t="shared" si="46"/>
        <v>0</v>
      </c>
      <c r="BG31">
        <f t="shared" si="47"/>
        <v>0</v>
      </c>
      <c r="BH31">
        <f t="shared" si="8"/>
        <v>9.3990812977815131E-3</v>
      </c>
      <c r="BI31">
        <f t="shared" si="9"/>
        <v>0</v>
      </c>
      <c r="BJ31">
        <f t="shared" si="10"/>
        <v>0</v>
      </c>
      <c r="BK31">
        <f t="shared" si="11"/>
        <v>0.82216460981132045</v>
      </c>
      <c r="BL31">
        <f t="shared" si="48"/>
        <v>0</v>
      </c>
      <c r="BM31">
        <f t="shared" si="12"/>
        <v>0.38626967552573416</v>
      </c>
      <c r="BN31">
        <f t="shared" si="13"/>
        <v>0</v>
      </c>
      <c r="BO31">
        <f t="shared" si="14"/>
        <v>6.2500000000000003E-3</v>
      </c>
      <c r="BP31">
        <f t="shared" si="15"/>
        <v>0.39534967069925125</v>
      </c>
      <c r="BQ31">
        <f t="shared" si="16"/>
        <v>9.8507145120465198E-3</v>
      </c>
    </row>
    <row r="32" spans="1:69" x14ac:dyDescent="0.25">
      <c r="A32" s="1" t="s">
        <v>37</v>
      </c>
      <c r="B32">
        <f t="shared" ca="1" si="2"/>
        <v>224.83719350691848</v>
      </c>
      <c r="C32" t="s">
        <v>296</v>
      </c>
      <c r="D32">
        <f t="shared" si="17"/>
        <v>91</v>
      </c>
      <c r="E32">
        <f t="shared" si="18"/>
        <v>152.74</v>
      </c>
      <c r="F32">
        <f t="shared" si="19"/>
        <v>2.93</v>
      </c>
      <c r="G32">
        <f t="shared" si="20"/>
        <v>35.92</v>
      </c>
      <c r="H32">
        <f t="shared" si="21"/>
        <v>12.87</v>
      </c>
      <c r="I32">
        <f t="shared" si="22"/>
        <v>10.28</v>
      </c>
      <c r="J32">
        <f t="shared" si="23"/>
        <v>7.35</v>
      </c>
      <c r="K32">
        <f t="shared" si="24"/>
        <v>0.01</v>
      </c>
      <c r="L32">
        <f t="shared" si="3"/>
        <v>1</v>
      </c>
      <c r="M32">
        <f t="shared" ref="M32:M37" si="49">$B$6*(L32-1)</f>
        <v>0</v>
      </c>
      <c r="N32">
        <f t="shared" ref="N32:N37" si="50">$B$6*L32</f>
        <v>4</v>
      </c>
      <c r="O32">
        <f t="shared" si="4"/>
        <v>2</v>
      </c>
      <c r="P32">
        <f t="shared" si="5"/>
        <v>48</v>
      </c>
      <c r="Q32">
        <f t="shared" ca="1" si="25"/>
        <v>127.976293</v>
      </c>
      <c r="R32">
        <f t="shared" ca="1" si="26"/>
        <v>16.671185999999999</v>
      </c>
      <c r="S32">
        <f t="shared" si="27"/>
        <v>46</v>
      </c>
      <c r="T32">
        <f t="shared" ca="1" si="28"/>
        <v>-33.40673799999999</v>
      </c>
      <c r="U32">
        <f t="shared" ca="1" si="29"/>
        <v>22.084384</v>
      </c>
      <c r="V32">
        <f t="shared" si="30"/>
        <v>48</v>
      </c>
      <c r="W32">
        <f t="shared" ca="1" si="31"/>
        <v>102.64629299999999</v>
      </c>
      <c r="X32">
        <f t="shared" ca="1" si="32"/>
        <v>16.671185999999999</v>
      </c>
      <c r="Y32">
        <f>GetFollowingCarRow($B$45:$E$54,L32,$E$15,E32)</f>
        <v>46</v>
      </c>
      <c r="Z32">
        <f t="shared" ca="1" si="33"/>
        <v>-58.736738000000003</v>
      </c>
      <c r="AA32">
        <f t="shared" ca="1" si="34"/>
        <v>22.084384</v>
      </c>
      <c r="AB32">
        <f t="shared" si="35"/>
        <v>3.2499999999999996</v>
      </c>
      <c r="AC32">
        <f t="shared" si="36"/>
        <v>25.330000000000013</v>
      </c>
      <c r="AD32">
        <f t="shared" si="37"/>
        <v>22.527512830635601</v>
      </c>
      <c r="AE32">
        <f t="shared" si="38"/>
        <v>-570.6219000000001</v>
      </c>
      <c r="AF32">
        <f t="shared" si="39"/>
        <v>25.537646720087594</v>
      </c>
      <c r="AG32">
        <f t="shared" si="40"/>
        <v>13.933807397378684</v>
      </c>
      <c r="AH32">
        <f t="shared" si="41"/>
        <v>0.38847268021606096</v>
      </c>
      <c r="AI32">
        <f>IF(G32&lt;=0,1,0)</f>
        <v>0</v>
      </c>
      <c r="AJ32">
        <f>IF(G32&lt;0,1,0)</f>
        <v>0</v>
      </c>
      <c r="AK32">
        <f>MAX(($B$3-G32)/(G32 + 1),0) / $B$3</f>
        <v>0</v>
      </c>
      <c r="AL32">
        <f>IF(H32+ABS(K32)&lt;0,Logistic(SQRT(H32^2+K32^2)/$B$4),0)</f>
        <v>0</v>
      </c>
      <c r="AM32">
        <f>IF(G32&gt;$B$3,1,0)</f>
        <v>1</v>
      </c>
      <c r="AN32">
        <f>IF(H32&gt;$B$4,1,0)</f>
        <v>1</v>
      </c>
      <c r="AO32">
        <f>ABS(H32)/$B$4</f>
        <v>1.6087499999999999</v>
      </c>
      <c r="AP32">
        <f>Logistic(I32/$B$5)</f>
        <v>0.5665993699780818</v>
      </c>
      <c r="AQ32">
        <f>IF(I32&gt;$B$5,1,0)</f>
        <v>1</v>
      </c>
      <c r="AR32">
        <f>Logistic(ABS(F32-O32)/($B$6/2))</f>
        <v>0.22839928555379033</v>
      </c>
      <c r="AS32">
        <f>IF(OR(F32&lt;M32,F32&gt;N32),1,0)</f>
        <v>0</v>
      </c>
      <c r="AT32">
        <f>ABS(K32)/$B$4</f>
        <v>1.25E-3</v>
      </c>
      <c r="AU32">
        <f t="shared" ca="1" si="42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0.33514712646711653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0.46673964951814706</v>
      </c>
      <c r="AZ32">
        <f ca="1">MAX(1-(IF(Z32/(G32-AA32)&gt;0,Z32/(G32-AA32),Collision_Time_Buffer)/Collision_Time_Buffer),0)*IF($L$15&lt;&gt;L32,Lane_Change_Multiplier,1)</f>
        <v>0</v>
      </c>
      <c r="BA32">
        <f t="shared" ca="1" si="43"/>
        <v>0</v>
      </c>
      <c r="BB32">
        <f t="shared" ca="1" si="44"/>
        <v>0</v>
      </c>
      <c r="BC32">
        <f t="shared" si="45"/>
        <v>0</v>
      </c>
      <c r="BE32">
        <f t="shared" ref="BE32:BE37" si="51">Logistic((D32-$B$2)/$B$2)</f>
        <v>0.38847268021606096</v>
      </c>
      <c r="BF32">
        <f t="shared" si="46"/>
        <v>0</v>
      </c>
      <c r="BG32">
        <f t="shared" si="47"/>
        <v>0</v>
      </c>
      <c r="BH32">
        <f t="shared" ref="BH32:BH37" si="52">Logistic(($B$3-G32)/(G32+1))</f>
        <v>-0.19649012541144736</v>
      </c>
      <c r="BI32">
        <f t="shared" ref="BI32:BI37" si="53">IF(G32&gt;$B$3,1,0)</f>
        <v>1</v>
      </c>
      <c r="BJ32">
        <f t="shared" ref="BJ32:BJ37" si="54">IF(H32&gt;$B$5,1,0)</f>
        <v>1</v>
      </c>
      <c r="BK32">
        <f t="shared" ref="BK32:BK37" si="55">EXP(-($B$4-ABS(H32))/MAX(ABS(H32),0.000000001))</f>
        <v>1.4599458973139912</v>
      </c>
      <c r="BL32">
        <f t="shared" si="48"/>
        <v>0</v>
      </c>
      <c r="BM32">
        <f t="shared" ref="BM32:BM37" si="56">EXP(-($B$5-I32)/MAX(I32,0.000000001))</f>
        <v>1.2483090596869844</v>
      </c>
      <c r="BN32">
        <f t="shared" ref="BN32:BN37" si="57">IF(F32&gt;N32,(F32-N32)/$B$6,0)+IF(F32&lt;M32,(M32-F32)/$B$6,0)</f>
        <v>0</v>
      </c>
      <c r="BO32">
        <f t="shared" ref="BO32:BO37" si="58">ABS(K32/$B$4)</f>
        <v>1.25E-3</v>
      </c>
      <c r="BP32">
        <f t="shared" ref="BP32:BP37" si="59">Logistic(ABS(H32)/$B$4)</f>
        <v>0.6664755360599135</v>
      </c>
      <c r="BQ32">
        <f t="shared" ref="BQ32:BQ37" si="60">Logistic(($B$3-G32)/G32)</f>
        <v>-0.20181258683247075</v>
      </c>
    </row>
    <row r="33" spans="1:69" x14ac:dyDescent="0.25">
      <c r="A33" s="1" t="s">
        <v>38</v>
      </c>
      <c r="B33">
        <f t="shared" ca="1" si="2"/>
        <v>217.46414163452687</v>
      </c>
      <c r="C33" t="s">
        <v>295</v>
      </c>
      <c r="D33">
        <f t="shared" si="17"/>
        <v>86</v>
      </c>
      <c r="E33">
        <f t="shared" si="18"/>
        <v>149.25</v>
      </c>
      <c r="F33">
        <f t="shared" si="19"/>
        <v>2.87</v>
      </c>
      <c r="G33">
        <f t="shared" si="20"/>
        <v>33.340000000000003</v>
      </c>
      <c r="H33">
        <f t="shared" si="21"/>
        <v>12.87</v>
      </c>
      <c r="I33">
        <f t="shared" si="22"/>
        <v>10.28</v>
      </c>
      <c r="J33">
        <f t="shared" si="23"/>
        <v>7.69</v>
      </c>
      <c r="K33">
        <f t="shared" si="24"/>
        <v>0.02</v>
      </c>
      <c r="L33">
        <f t="shared" si="3"/>
        <v>1</v>
      </c>
      <c r="M33">
        <f t="shared" si="49"/>
        <v>0</v>
      </c>
      <c r="N33">
        <f t="shared" si="50"/>
        <v>4</v>
      </c>
      <c r="O33">
        <f t="shared" si="4"/>
        <v>2</v>
      </c>
      <c r="P33">
        <f t="shared" si="5"/>
        <v>48</v>
      </c>
      <c r="Q33">
        <f t="shared" ca="1" si="25"/>
        <v>127.976293</v>
      </c>
      <c r="R33">
        <f t="shared" ca="1" si="26"/>
        <v>16.671185999999999</v>
      </c>
      <c r="S33">
        <f t="shared" si="27"/>
        <v>46</v>
      </c>
      <c r="T33">
        <f t="shared" ca="1" si="28"/>
        <v>-33.40673799999999</v>
      </c>
      <c r="U33">
        <f t="shared" ca="1" si="29"/>
        <v>22.084384</v>
      </c>
      <c r="V33">
        <f t="shared" si="30"/>
        <v>48</v>
      </c>
      <c r="W33">
        <f t="shared" ca="1" si="31"/>
        <v>106.13629299999999</v>
      </c>
      <c r="X33">
        <f t="shared" ca="1" si="32"/>
        <v>16.671185999999999</v>
      </c>
      <c r="Y33">
        <f>GetFollowingCarRow($B$45:$E$54,L33,$E$15,E33)</f>
        <v>46</v>
      </c>
      <c r="Z33">
        <f t="shared" ca="1" si="33"/>
        <v>-55.246737999999993</v>
      </c>
      <c r="AA33">
        <f t="shared" ca="1" si="34"/>
        <v>22.084384</v>
      </c>
      <c r="AB33">
        <f t="shared" si="35"/>
        <v>3.3099999999999996</v>
      </c>
      <c r="AC33">
        <f t="shared" si="36"/>
        <v>21.840000000000003</v>
      </c>
      <c r="AD33">
        <f t="shared" si="37"/>
        <v>25.489848901098895</v>
      </c>
      <c r="AE33">
        <f t="shared" si="38"/>
        <v>-556.69830000000002</v>
      </c>
      <c r="AF33">
        <f t="shared" si="39"/>
        <v>22.089402436462606</v>
      </c>
      <c r="AG33">
        <f t="shared" si="40"/>
        <v>16.050359880933765</v>
      </c>
      <c r="AH33">
        <f t="shared" si="41"/>
        <v>0.34521403413552088</v>
      </c>
      <c r="AI33">
        <f>IF(G33&lt;=0,1,0)</f>
        <v>0</v>
      </c>
      <c r="AJ33">
        <f>IF(G33&lt;0,1,0)</f>
        <v>0</v>
      </c>
      <c r="AK33">
        <f>MAX(($B$3-G33)/(G33 + 1),0) / $B$3</f>
        <v>0</v>
      </c>
      <c r="AL33">
        <f>IF(H33+ABS(K33)&lt;0,Logistic(SQRT(H33^2+K33^2)/$B$4),0)</f>
        <v>0</v>
      </c>
      <c r="AM33">
        <f>IF(G33&gt;$B$3,1,0)</f>
        <v>1</v>
      </c>
      <c r="AN33">
        <f>IF(H33&gt;$B$4,1,0)</f>
        <v>1</v>
      </c>
      <c r="AO33">
        <f>ABS(H33)/$B$4</f>
        <v>1.6087499999999999</v>
      </c>
      <c r="AP33">
        <f>Logistic(I33/$B$5)</f>
        <v>0.5665993699780818</v>
      </c>
      <c r="AQ33">
        <f>IF(I33&gt;$B$5,1,0)</f>
        <v>1</v>
      </c>
      <c r="AR33">
        <f>Logistic(ABS(F33-O33)/($B$6/2))</f>
        <v>0.21413397614340721</v>
      </c>
      <c r="AS33">
        <f>IF(OR(F33&lt;M33,F33&gt;N33),1,0)</f>
        <v>0</v>
      </c>
      <c r="AT33">
        <f>ABS(K33)/$B$4</f>
        <v>2.5000000000000001E-3</v>
      </c>
      <c r="AU33">
        <f t="shared" ca="1" si="42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0.23224116004893947</v>
      </c>
      <c r="AX33">
        <f ca="1">MAX(1-(IF(T33/(G33-U33)&gt;0,T33/(G33-U33),Collision_Time_Buffer)/Collision_Time_Buffer),0)*IF($L$15&lt;&gt;L33,Lane_Change_Multiplier,1)</f>
        <v>0</v>
      </c>
      <c r="AY33">
        <f ca="1">MAX(1-(IF(W33/(G33-X33)&gt;0,W33/(G33-X33),Collision_Time_Buffer)/Collision_Time_Buffer),0)*IF($L$15&lt;&gt;L33,Lane_Change_Multiplier,1)</f>
        <v>0.3632642790302899</v>
      </c>
      <c r="AZ33">
        <f ca="1">MAX(1-(IF(Z33/(G33-AA33)&gt;0,Z33/(G33-AA33),Collision_Time_Buffer)/Collision_Time_Buffer),0)*IF($L$15&lt;&gt;L33,Lane_Change_Multiplier,1)</f>
        <v>0</v>
      </c>
      <c r="BA33">
        <f t="shared" ca="1" si="43"/>
        <v>0</v>
      </c>
      <c r="BB33">
        <f t="shared" ca="1" si="44"/>
        <v>0</v>
      </c>
      <c r="BC33">
        <f t="shared" si="45"/>
        <v>0</v>
      </c>
      <c r="BE33">
        <f t="shared" si="51"/>
        <v>0.34521403413552088</v>
      </c>
      <c r="BF33">
        <f t="shared" si="46"/>
        <v>0</v>
      </c>
      <c r="BG33">
        <f t="shared" si="47"/>
        <v>0</v>
      </c>
      <c r="BH33">
        <f t="shared" si="52"/>
        <v>-0.17466124876398176</v>
      </c>
      <c r="BI33">
        <f t="shared" si="53"/>
        <v>1</v>
      </c>
      <c r="BJ33">
        <f t="shared" si="54"/>
        <v>1</v>
      </c>
      <c r="BK33">
        <f t="shared" si="55"/>
        <v>1.4599458973139912</v>
      </c>
      <c r="BL33">
        <f t="shared" si="48"/>
        <v>0</v>
      </c>
      <c r="BM33">
        <f t="shared" si="56"/>
        <v>1.2483090596869844</v>
      </c>
      <c r="BN33">
        <f t="shared" si="57"/>
        <v>0</v>
      </c>
      <c r="BO33">
        <f t="shared" si="58"/>
        <v>2.5000000000000001E-3</v>
      </c>
      <c r="BP33">
        <f t="shared" si="59"/>
        <v>0.6664755360599135</v>
      </c>
      <c r="BQ33">
        <f t="shared" si="60"/>
        <v>-0.1797880472555731</v>
      </c>
    </row>
    <row r="34" spans="1:69" x14ac:dyDescent="0.25">
      <c r="A34" s="1" t="s">
        <v>39</v>
      </c>
      <c r="B34">
        <f t="shared" ca="1" si="2"/>
        <v>196.80407007534893</v>
      </c>
      <c r="C34" t="s">
        <v>294</v>
      </c>
      <c r="D34">
        <f t="shared" si="17"/>
        <v>77</v>
      </c>
      <c r="E34">
        <f t="shared" si="18"/>
        <v>143.62</v>
      </c>
      <c r="F34">
        <f t="shared" si="19"/>
        <v>2.9</v>
      </c>
      <c r="G34">
        <f t="shared" si="20"/>
        <v>28.71</v>
      </c>
      <c r="H34">
        <f t="shared" si="21"/>
        <v>12.86</v>
      </c>
      <c r="I34">
        <f t="shared" si="22"/>
        <v>10.28</v>
      </c>
      <c r="J34">
        <f t="shared" si="23"/>
        <v>8.5</v>
      </c>
      <c r="K34">
        <f t="shared" si="24"/>
        <v>0.05</v>
      </c>
      <c r="L34">
        <f t="shared" si="3"/>
        <v>1</v>
      </c>
      <c r="M34">
        <f t="shared" si="49"/>
        <v>0</v>
      </c>
      <c r="N34">
        <f t="shared" si="50"/>
        <v>4</v>
      </c>
      <c r="O34">
        <f t="shared" si="4"/>
        <v>2</v>
      </c>
      <c r="P34">
        <f t="shared" si="5"/>
        <v>48</v>
      </c>
      <c r="Q34">
        <f t="shared" ca="1" si="25"/>
        <v>127.976293</v>
      </c>
      <c r="R34">
        <f t="shared" ca="1" si="26"/>
        <v>16.671185999999999</v>
      </c>
      <c r="S34">
        <f t="shared" si="27"/>
        <v>46</v>
      </c>
      <c r="T34">
        <f t="shared" ca="1" si="28"/>
        <v>-33.40673799999999</v>
      </c>
      <c r="U34">
        <f t="shared" ca="1" si="29"/>
        <v>22.084384</v>
      </c>
      <c r="V34">
        <f t="shared" si="30"/>
        <v>48</v>
      </c>
      <c r="W34">
        <f t="shared" ca="1" si="31"/>
        <v>111.76629299999999</v>
      </c>
      <c r="X34">
        <f t="shared" ca="1" si="32"/>
        <v>16.671185999999999</v>
      </c>
      <c r="Y34">
        <f>GetFollowingCarRow($B$45:$E$54,L34,$E$15,E34)</f>
        <v>46</v>
      </c>
      <c r="Z34">
        <f t="shared" ca="1" si="33"/>
        <v>-49.616737999999998</v>
      </c>
      <c r="AA34">
        <f t="shared" ca="1" si="34"/>
        <v>22.084384</v>
      </c>
      <c r="AB34">
        <f t="shared" si="35"/>
        <v>3.28</v>
      </c>
      <c r="AC34">
        <f t="shared" si="36"/>
        <v>16.210000000000008</v>
      </c>
      <c r="AD34">
        <f t="shared" si="37"/>
        <v>31.960678593460809</v>
      </c>
      <c r="AE34">
        <f t="shared" si="38"/>
        <v>-518.08259999999996</v>
      </c>
      <c r="AF34">
        <f t="shared" si="39"/>
        <v>16.538515652863175</v>
      </c>
      <c r="AG34">
        <f t="shared" si="40"/>
        <v>20.590541126406691</v>
      </c>
      <c r="AH34">
        <f t="shared" si="41"/>
        <v>0.26362483547220333</v>
      </c>
      <c r="AI34">
        <f>IF(G34&lt;=0,1,0)</f>
        <v>0</v>
      </c>
      <c r="AJ34">
        <f>IF(G34&lt;0,1,0)</f>
        <v>0</v>
      </c>
      <c r="AK34">
        <f>MAX(($B$3-G34)/(G34 + 1),0) / $B$3</f>
        <v>0</v>
      </c>
      <c r="AL34">
        <f>IF(H34+ABS(K34)&lt;0,Logistic(SQRT(H34^2+K34^2)/$B$4),0)</f>
        <v>0</v>
      </c>
      <c r="AM34">
        <f>IF(G34&gt;$B$3,1,0)</f>
        <v>1</v>
      </c>
      <c r="AN34">
        <f>IF(H34&gt;$B$4,1,0)</f>
        <v>1</v>
      </c>
      <c r="AO34">
        <f>ABS(H34)/$B$4</f>
        <v>1.6074999999999999</v>
      </c>
      <c r="AP34">
        <f>Logistic(I34/$B$5)</f>
        <v>0.5665993699780818</v>
      </c>
      <c r="AQ34">
        <f>IF(I34&gt;$B$5,1,0)</f>
        <v>1</v>
      </c>
      <c r="AR34">
        <f>Logistic(ABS(F34-O34)/($B$6/2))</f>
        <v>0.22127846789844394</v>
      </c>
      <c r="AS34">
        <f>IF(OR(F34&lt;M34,F34&gt;N34),1,0)</f>
        <v>0</v>
      </c>
      <c r="AT34">
        <f>ABS(K34)/$B$4</f>
        <v>6.2500000000000003E-3</v>
      </c>
      <c r="AU34">
        <f t="shared" ca="1" si="42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</v>
      </c>
      <c r="AY34">
        <f ca="1">MAX(1-(IF(W34/(G34-X34)&gt;0,W34/(G34-X34),Collision_Time_Buffer)/Collision_Time_Buffer),0)*IF($L$15&lt;&gt;L34,Lane_Change_Multiplier,1)</f>
        <v>7.1617079556175911E-2</v>
      </c>
      <c r="AZ34">
        <f ca="1">MAX(1-(IF(Z34/(G34-AA34)&gt;0,Z34/(G34-AA34),Collision_Time_Buffer)/Collision_Time_Buffer),0)*IF($L$15&lt;&gt;L34,Lane_Change_Multiplier,1)</f>
        <v>0</v>
      </c>
      <c r="BA34">
        <f t="shared" ca="1" si="43"/>
        <v>0</v>
      </c>
      <c r="BB34">
        <f t="shared" ca="1" si="44"/>
        <v>0</v>
      </c>
      <c r="BC34">
        <f t="shared" si="45"/>
        <v>0</v>
      </c>
      <c r="BE34">
        <f t="shared" si="51"/>
        <v>0.26362483547220333</v>
      </c>
      <c r="BF34">
        <f t="shared" si="46"/>
        <v>0</v>
      </c>
      <c r="BG34">
        <f t="shared" si="47"/>
        <v>0</v>
      </c>
      <c r="BH34">
        <f t="shared" si="52"/>
        <v>-0.12538843513648659</v>
      </c>
      <c r="BI34">
        <f t="shared" si="53"/>
        <v>1</v>
      </c>
      <c r="BJ34">
        <f t="shared" si="54"/>
        <v>1</v>
      </c>
      <c r="BK34">
        <f t="shared" si="55"/>
        <v>1.4592403887701852</v>
      </c>
      <c r="BL34">
        <f t="shared" si="48"/>
        <v>0</v>
      </c>
      <c r="BM34">
        <f t="shared" si="56"/>
        <v>1.2483090596869844</v>
      </c>
      <c r="BN34">
        <f t="shared" si="57"/>
        <v>0</v>
      </c>
      <c r="BO34">
        <f t="shared" si="58"/>
        <v>6.2500000000000003E-3</v>
      </c>
      <c r="BP34">
        <f t="shared" si="59"/>
        <v>0.66612800986920317</v>
      </c>
      <c r="BQ34">
        <f t="shared" si="60"/>
        <v>-0.1297075209216616</v>
      </c>
    </row>
    <row r="35" spans="1:69" x14ac:dyDescent="0.25">
      <c r="A35" s="1" t="s">
        <v>82</v>
      </c>
      <c r="B35">
        <f t="shared" ca="1" si="2"/>
        <v>222.99503304020178</v>
      </c>
      <c r="C35" t="s">
        <v>293</v>
      </c>
      <c r="D35">
        <f t="shared" si="17"/>
        <v>125</v>
      </c>
      <c r="E35">
        <f t="shared" si="18"/>
        <v>131.82</v>
      </c>
      <c r="F35">
        <f t="shared" si="19"/>
        <v>6.05</v>
      </c>
      <c r="G35">
        <f t="shared" si="20"/>
        <v>2.21</v>
      </c>
      <c r="H35">
        <f t="shared" si="21"/>
        <v>0</v>
      </c>
      <c r="I35">
        <f t="shared" si="22"/>
        <v>2.59</v>
      </c>
      <c r="J35">
        <f t="shared" si="23"/>
        <v>0.13</v>
      </c>
      <c r="K35">
        <f t="shared" si="24"/>
        <v>0.01</v>
      </c>
      <c r="L35">
        <f t="shared" si="3"/>
        <v>1</v>
      </c>
      <c r="M35">
        <f t="shared" si="49"/>
        <v>0</v>
      </c>
      <c r="N35">
        <f t="shared" si="50"/>
        <v>4</v>
      </c>
      <c r="O35">
        <f t="shared" si="4"/>
        <v>2</v>
      </c>
      <c r="P35">
        <f t="shared" si="5"/>
        <v>48</v>
      </c>
      <c r="Q35">
        <f t="shared" ca="1" si="25"/>
        <v>127.976293</v>
      </c>
      <c r="R35">
        <f t="shared" ca="1" si="26"/>
        <v>16.671185999999999</v>
      </c>
      <c r="S35">
        <f t="shared" si="27"/>
        <v>46</v>
      </c>
      <c r="T35">
        <f t="shared" ca="1" si="28"/>
        <v>-33.40673799999999</v>
      </c>
      <c r="U35">
        <f t="shared" ca="1" si="29"/>
        <v>22.084384</v>
      </c>
      <c r="V35">
        <f t="shared" si="30"/>
        <v>48</v>
      </c>
      <c r="W35">
        <f t="shared" ca="1" si="31"/>
        <v>123.566293</v>
      </c>
      <c r="X35">
        <f t="shared" ca="1" si="32"/>
        <v>16.671185999999999</v>
      </c>
      <c r="Y35">
        <f>GetFollowingCarRow($B$45:$E$54,L35,$E$15,E35)</f>
        <v>46</v>
      </c>
      <c r="Z35">
        <f t="shared" ca="1" si="33"/>
        <v>-37.816737999999987</v>
      </c>
      <c r="AA35">
        <f t="shared" ca="1" si="34"/>
        <v>22.084384</v>
      </c>
      <c r="AB35">
        <f t="shared" si="35"/>
        <v>0.12999999999999989</v>
      </c>
      <c r="AC35">
        <f t="shared" si="36"/>
        <v>4.4099999999999966</v>
      </c>
      <c r="AD35">
        <f t="shared" si="37"/>
        <v>9.9358503401360547</v>
      </c>
      <c r="AE35">
        <f t="shared" si="38"/>
        <v>-43.817099999999968</v>
      </c>
      <c r="AF35">
        <f t="shared" si="39"/>
        <v>4.4119156836911522</v>
      </c>
      <c r="AG35">
        <f t="shared" si="40"/>
        <v>4.7558213085444834</v>
      </c>
      <c r="AH35">
        <f t="shared" si="41"/>
        <v>0.6351489523872873</v>
      </c>
      <c r="AI35">
        <f>IF(G35&lt;=0,1,0)</f>
        <v>0</v>
      </c>
      <c r="AJ35">
        <f>IF(G35&lt;0,1,0)</f>
        <v>0</v>
      </c>
      <c r="AK35">
        <f>MAX(($B$3-G35)/(G35 + 1),0) / $B$3</f>
        <v>0.27908192177484942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</v>
      </c>
      <c r="AP35">
        <f>Logistic(I35/$B$5)</f>
        <v>0.16047576608068073</v>
      </c>
      <c r="AQ35">
        <f>IF(I35&gt;$B$5,1,0)</f>
        <v>0</v>
      </c>
      <c r="AR35">
        <f>Logistic(ABS(F35-O35)/($B$6/2))</f>
        <v>0.76679406167772124</v>
      </c>
      <c r="AS35">
        <f>IF(OR(F35&lt;M35,F35&gt;N35),1,0)</f>
        <v>1</v>
      </c>
      <c r="AT35">
        <f>ABS(K35)/$B$4</f>
        <v>1.25E-3</v>
      </c>
      <c r="AU35">
        <f t="shared" ca="1" si="42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0.83191057393275691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0.80972120695665339</v>
      </c>
      <c r="BA35">
        <f t="shared" ca="1" si="43"/>
        <v>0</v>
      </c>
      <c r="BB35">
        <f t="shared" ca="1" si="44"/>
        <v>0</v>
      </c>
      <c r="BC35">
        <f t="shared" si="45"/>
        <v>0</v>
      </c>
      <c r="BE35">
        <f t="shared" si="51"/>
        <v>0.6351489523872873</v>
      </c>
      <c r="BF35">
        <f t="shared" si="46"/>
        <v>0</v>
      </c>
      <c r="BG35">
        <f t="shared" si="47"/>
        <v>0</v>
      </c>
      <c r="BH35">
        <f t="shared" si="52"/>
        <v>0.99465528541223758</v>
      </c>
      <c r="BI35">
        <f t="shared" si="53"/>
        <v>0</v>
      </c>
      <c r="BJ35">
        <f t="shared" si="54"/>
        <v>0</v>
      </c>
      <c r="BK35">
        <f t="shared" si="55"/>
        <v>0</v>
      </c>
      <c r="BL35">
        <f t="shared" si="48"/>
        <v>0</v>
      </c>
      <c r="BM35">
        <f t="shared" si="56"/>
        <v>0.12383526696746028</v>
      </c>
      <c r="BN35">
        <f t="shared" si="57"/>
        <v>0.51249999999999996</v>
      </c>
      <c r="BO35">
        <f t="shared" si="58"/>
        <v>1.25E-3</v>
      </c>
      <c r="BP35">
        <f t="shared" si="59"/>
        <v>0</v>
      </c>
      <c r="BQ35">
        <f t="shared" si="60"/>
        <v>0.99963252178874784</v>
      </c>
    </row>
    <row r="36" spans="1:69" x14ac:dyDescent="0.25">
      <c r="A36" s="1" t="s">
        <v>83</v>
      </c>
      <c r="B36">
        <f t="shared" ca="1" si="2"/>
        <v>222.99503304020178</v>
      </c>
      <c r="C36" t="s">
        <v>292</v>
      </c>
      <c r="D36">
        <f t="shared" si="17"/>
        <v>125</v>
      </c>
      <c r="E36">
        <f t="shared" si="18"/>
        <v>131.82</v>
      </c>
      <c r="F36">
        <f t="shared" si="19"/>
        <v>6</v>
      </c>
      <c r="G36">
        <f t="shared" si="20"/>
        <v>2.21</v>
      </c>
      <c r="H36">
        <f t="shared" si="21"/>
        <v>0</v>
      </c>
      <c r="I36">
        <f t="shared" si="22"/>
        <v>2.59</v>
      </c>
      <c r="J36">
        <f t="shared" si="23"/>
        <v>0.18</v>
      </c>
      <c r="K36">
        <f t="shared" si="24"/>
        <v>0.02</v>
      </c>
      <c r="L36">
        <f t="shared" si="3"/>
        <v>1</v>
      </c>
      <c r="M36">
        <f t="shared" si="49"/>
        <v>0</v>
      </c>
      <c r="N36">
        <f t="shared" si="50"/>
        <v>4</v>
      </c>
      <c r="O36">
        <f t="shared" si="4"/>
        <v>2</v>
      </c>
      <c r="P36">
        <f t="shared" si="5"/>
        <v>48</v>
      </c>
      <c r="Q36">
        <f t="shared" ca="1" si="25"/>
        <v>127.976293</v>
      </c>
      <c r="R36">
        <f t="shared" ca="1" si="26"/>
        <v>16.671185999999999</v>
      </c>
      <c r="S36">
        <f t="shared" si="27"/>
        <v>46</v>
      </c>
      <c r="T36">
        <f t="shared" ca="1" si="28"/>
        <v>-33.40673799999999</v>
      </c>
      <c r="U36">
        <f t="shared" ca="1" si="29"/>
        <v>22.084384</v>
      </c>
      <c r="V36">
        <f t="shared" si="30"/>
        <v>48</v>
      </c>
      <c r="W36">
        <f t="shared" ca="1" si="31"/>
        <v>123.566293</v>
      </c>
      <c r="X36">
        <f t="shared" ca="1" si="32"/>
        <v>16.671185999999999</v>
      </c>
      <c r="Y36">
        <f>GetFollowingCarRow($B$45:$E$54,L36,$E$15,E36)</f>
        <v>46</v>
      </c>
      <c r="Z36">
        <f t="shared" ca="1" si="33"/>
        <v>-37.816737999999987</v>
      </c>
      <c r="AA36">
        <f t="shared" ca="1" si="34"/>
        <v>22.084384</v>
      </c>
      <c r="AB36">
        <f t="shared" si="35"/>
        <v>0.17999999999999972</v>
      </c>
      <c r="AC36">
        <f t="shared" si="36"/>
        <v>4.4099999999999966</v>
      </c>
      <c r="AD36">
        <f t="shared" si="37"/>
        <v>11.380408163265301</v>
      </c>
      <c r="AE36">
        <f t="shared" si="38"/>
        <v>-50.187599999999939</v>
      </c>
      <c r="AF36">
        <f t="shared" si="39"/>
        <v>4.4136719406861182</v>
      </c>
      <c r="AG36">
        <f t="shared" si="40"/>
        <v>5.8188388410235028</v>
      </c>
      <c r="AH36">
        <f t="shared" si="41"/>
        <v>0.6351489523872873</v>
      </c>
      <c r="AI36">
        <f>IF(G36&lt;=0,1,0)</f>
        <v>0</v>
      </c>
      <c r="AJ36">
        <f>IF(G36&lt;0,1,0)</f>
        <v>0</v>
      </c>
      <c r="AK36">
        <f>MAX(($B$3-G36)/(G36 + 1),0) / $B$3</f>
        <v>0.27908192177484942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0</v>
      </c>
      <c r="AP36">
        <f>Logistic(I36/$B$5)</f>
        <v>0.16047576608068073</v>
      </c>
      <c r="AQ36">
        <f>IF(I36&gt;$B$5,1,0)</f>
        <v>0</v>
      </c>
      <c r="AR36">
        <f>Logistic(ABS(F36-O36)/($B$6/2))</f>
        <v>0.76159415595576485</v>
      </c>
      <c r="AS36">
        <f>IF(OR(F36&lt;M36,F36&gt;N36),1,0)</f>
        <v>1</v>
      </c>
      <c r="AT36">
        <f>ABS(K36)/$B$4</f>
        <v>2.5000000000000001E-3</v>
      </c>
      <c r="AU36">
        <f t="shared" ca="1" si="42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0.83191057393275691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0.80972120695665339</v>
      </c>
      <c r="BA36">
        <f t="shared" ca="1" si="43"/>
        <v>0</v>
      </c>
      <c r="BB36">
        <f t="shared" ca="1" si="44"/>
        <v>0</v>
      </c>
      <c r="BC36">
        <f t="shared" si="45"/>
        <v>0</v>
      </c>
      <c r="BE36">
        <f t="shared" si="51"/>
        <v>0.6351489523872873</v>
      </c>
      <c r="BF36">
        <f t="shared" si="46"/>
        <v>0</v>
      </c>
      <c r="BG36">
        <f t="shared" si="47"/>
        <v>0</v>
      </c>
      <c r="BH36">
        <f t="shared" si="52"/>
        <v>0.99465528541223758</v>
      </c>
      <c r="BI36">
        <f t="shared" si="53"/>
        <v>0</v>
      </c>
      <c r="BJ36">
        <f t="shared" si="54"/>
        <v>0</v>
      </c>
      <c r="BK36">
        <f t="shared" si="55"/>
        <v>0</v>
      </c>
      <c r="BL36">
        <f t="shared" si="48"/>
        <v>0</v>
      </c>
      <c r="BM36">
        <f t="shared" si="56"/>
        <v>0.12383526696746028</v>
      </c>
      <c r="BN36">
        <f t="shared" si="57"/>
        <v>0.5</v>
      </c>
      <c r="BO36">
        <f t="shared" si="58"/>
        <v>2.5000000000000001E-3</v>
      </c>
      <c r="BP36">
        <f t="shared" si="59"/>
        <v>0</v>
      </c>
      <c r="BQ36">
        <f t="shared" si="60"/>
        <v>0.99963252178874784</v>
      </c>
    </row>
    <row r="37" spans="1:69" x14ac:dyDescent="0.25">
      <c r="A37" s="1" t="s">
        <v>84</v>
      </c>
      <c r="B37">
        <f t="shared" ca="1" si="2"/>
        <v>223.25072780779968</v>
      </c>
      <c r="C37" t="s">
        <v>291</v>
      </c>
      <c r="D37">
        <f t="shared" si="17"/>
        <v>125</v>
      </c>
      <c r="E37">
        <f t="shared" si="18"/>
        <v>131.81</v>
      </c>
      <c r="F37">
        <f t="shared" si="19"/>
        <v>5.85</v>
      </c>
      <c r="G37">
        <f t="shared" si="20"/>
        <v>2.2000000000000002</v>
      </c>
      <c r="H37">
        <f t="shared" si="21"/>
        <v>0</v>
      </c>
      <c r="I37">
        <f t="shared" si="22"/>
        <v>2.59</v>
      </c>
      <c r="J37">
        <f t="shared" si="23"/>
        <v>0.32</v>
      </c>
      <c r="K37">
        <f t="shared" si="24"/>
        <v>0.05</v>
      </c>
      <c r="L37">
        <f t="shared" si="3"/>
        <v>1</v>
      </c>
      <c r="M37">
        <f t="shared" si="49"/>
        <v>0</v>
      </c>
      <c r="N37">
        <f t="shared" si="50"/>
        <v>4</v>
      </c>
      <c r="O37">
        <f t="shared" si="4"/>
        <v>2</v>
      </c>
      <c r="P37">
        <f t="shared" si="5"/>
        <v>48</v>
      </c>
      <c r="Q37">
        <f t="shared" ca="1" si="25"/>
        <v>127.976293</v>
      </c>
      <c r="R37">
        <f t="shared" ca="1" si="26"/>
        <v>16.671185999999999</v>
      </c>
      <c r="S37">
        <f t="shared" si="27"/>
        <v>46</v>
      </c>
      <c r="T37">
        <f t="shared" ca="1" si="28"/>
        <v>-33.40673799999999</v>
      </c>
      <c r="U37">
        <f t="shared" ca="1" si="29"/>
        <v>22.084384</v>
      </c>
      <c r="V37">
        <f t="shared" si="30"/>
        <v>48</v>
      </c>
      <c r="W37">
        <f t="shared" ca="1" si="31"/>
        <v>123.57629299999999</v>
      </c>
      <c r="X37">
        <f t="shared" ca="1" si="32"/>
        <v>16.671185999999999</v>
      </c>
      <c r="Y37">
        <f>GetFollowingCarRow($B$45:$E$54,L37,$E$15,E37)</f>
        <v>46</v>
      </c>
      <c r="Z37">
        <f t="shared" ca="1" si="33"/>
        <v>-37.806737999999996</v>
      </c>
      <c r="AA37">
        <f t="shared" ca="1" si="34"/>
        <v>22.084384</v>
      </c>
      <c r="AB37">
        <f t="shared" si="35"/>
        <v>0.33000000000000007</v>
      </c>
      <c r="AC37">
        <f t="shared" si="36"/>
        <v>4.4000000000000057</v>
      </c>
      <c r="AD37">
        <f t="shared" si="37"/>
        <v>15.735749999999989</v>
      </c>
      <c r="AE37">
        <f t="shared" si="38"/>
        <v>-69.237300000000033</v>
      </c>
      <c r="AF37">
        <f t="shared" si="39"/>
        <v>4.4123576464289531</v>
      </c>
      <c r="AG37">
        <f t="shared" si="40"/>
        <v>9.0117506436001182</v>
      </c>
      <c r="AH37">
        <f t="shared" si="41"/>
        <v>0.6351489523872873</v>
      </c>
      <c r="AI37">
        <f>IF(G37&lt;=0,1,0)</f>
        <v>0</v>
      </c>
      <c r="AJ37">
        <f>IF(G37&lt;0,1,0)</f>
        <v>0</v>
      </c>
      <c r="AK37">
        <f>MAX(($B$3-G37)/(G37 + 1),0) / $B$3</f>
        <v>0.28010131950989631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0</v>
      </c>
      <c r="AP37">
        <f>Logistic(I37/$B$5)</f>
        <v>0.16047576608068073</v>
      </c>
      <c r="AQ37">
        <f>IF(I37&gt;$B$5,1,0)</f>
        <v>0</v>
      </c>
      <c r="AR37">
        <f>Logistic(ABS(F37-O37)/($B$6/2))</f>
        <v>0.74538992384925651</v>
      </c>
      <c r="AS37">
        <f>IF(OR(F37&lt;M37,F37&gt;N37),1,0)</f>
        <v>1</v>
      </c>
      <c r="AT37">
        <f>ABS(K37)/$B$4</f>
        <v>6.2500000000000003E-3</v>
      </c>
      <c r="AU37">
        <f t="shared" ca="1" si="42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0.83199510731637449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0.80986719025341691</v>
      </c>
      <c r="BA37">
        <f t="shared" ca="1" si="43"/>
        <v>0</v>
      </c>
      <c r="BB37">
        <f t="shared" ca="1" si="44"/>
        <v>0</v>
      </c>
      <c r="BC37">
        <f t="shared" si="45"/>
        <v>0</v>
      </c>
      <c r="BE37">
        <f t="shared" si="51"/>
        <v>0.6351489523872873</v>
      </c>
      <c r="BF37">
        <f t="shared" si="46"/>
        <v>0</v>
      </c>
      <c r="BG37">
        <f t="shared" si="47"/>
        <v>0</v>
      </c>
      <c r="BH37">
        <f t="shared" si="52"/>
        <v>0.99476935962390334</v>
      </c>
      <c r="BI37">
        <f t="shared" si="53"/>
        <v>0</v>
      </c>
      <c r="BJ37">
        <f t="shared" si="54"/>
        <v>0</v>
      </c>
      <c r="BK37">
        <f t="shared" si="55"/>
        <v>0</v>
      </c>
      <c r="BL37">
        <f t="shared" si="48"/>
        <v>0</v>
      </c>
      <c r="BM37">
        <f t="shared" si="56"/>
        <v>0.12383526696746028</v>
      </c>
      <c r="BN37">
        <f t="shared" si="57"/>
        <v>0.46249999999999991</v>
      </c>
      <c r="BO37">
        <f t="shared" si="58"/>
        <v>6.2500000000000003E-3</v>
      </c>
      <c r="BP37">
        <f t="shared" si="59"/>
        <v>0</v>
      </c>
      <c r="BQ37">
        <f t="shared" si="60"/>
        <v>0.99964821250572311</v>
      </c>
    </row>
    <row r="38" spans="1:69" x14ac:dyDescent="0.25">
      <c r="A38" s="1" t="s">
        <v>19</v>
      </c>
      <c r="B38">
        <f t="shared" ca="1" si="2"/>
        <v>151.69469865853867</v>
      </c>
      <c r="C38" t="s">
        <v>290</v>
      </c>
      <c r="D38">
        <f t="shared" si="17"/>
        <v>114</v>
      </c>
      <c r="E38">
        <f t="shared" si="18"/>
        <v>152.54</v>
      </c>
      <c r="F38">
        <f t="shared" si="19"/>
        <v>2.98</v>
      </c>
      <c r="G38">
        <f t="shared" si="20"/>
        <v>25.9</v>
      </c>
      <c r="H38">
        <f t="shared" si="21"/>
        <v>6.69</v>
      </c>
      <c r="I38">
        <f t="shared" si="22"/>
        <v>4.1100000000000003</v>
      </c>
      <c r="J38">
        <f t="shared" si="23"/>
        <v>5.3</v>
      </c>
      <c r="K38">
        <f t="shared" si="24"/>
        <v>0.01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>
        <f t="shared" si="5"/>
        <v>48</v>
      </c>
      <c r="Q38">
        <f t="shared" ca="1" si="25"/>
        <v>127.976293</v>
      </c>
      <c r="R38">
        <f t="shared" ca="1" si="26"/>
        <v>16.671185999999999</v>
      </c>
      <c r="S38">
        <f t="shared" si="27"/>
        <v>46</v>
      </c>
      <c r="T38">
        <f t="shared" ca="1" si="28"/>
        <v>-33.40673799999999</v>
      </c>
      <c r="U38">
        <f t="shared" ca="1" si="29"/>
        <v>22.084384</v>
      </c>
      <c r="V38">
        <f t="shared" si="30"/>
        <v>48</v>
      </c>
      <c r="W38">
        <f t="shared" ca="1" si="31"/>
        <v>102.846293</v>
      </c>
      <c r="X38">
        <f t="shared" ca="1" si="32"/>
        <v>16.671185999999999</v>
      </c>
      <c r="Y38">
        <f>GetFollowingCarRow($B$45:$E$54,L38,$E$15,E38)</f>
        <v>46</v>
      </c>
      <c r="Z38">
        <f t="shared" ca="1" si="33"/>
        <v>-58.536737999999986</v>
      </c>
      <c r="AA38">
        <f t="shared" ca="1" si="34"/>
        <v>22.084384</v>
      </c>
      <c r="AB38">
        <f t="shared" si="35"/>
        <v>3.1999999999999997</v>
      </c>
      <c r="AC38">
        <f t="shared" si="36"/>
        <v>25.129999999999995</v>
      </c>
      <c r="AD38">
        <f t="shared" si="37"/>
        <v>22.404114604058893</v>
      </c>
      <c r="AE38">
        <f t="shared" si="38"/>
        <v>-563.01539999999989</v>
      </c>
      <c r="AF38">
        <f t="shared" si="39"/>
        <v>25.332921268578556</v>
      </c>
      <c r="AG38">
        <f t="shared" si="40"/>
        <v>13.845190641911318</v>
      </c>
      <c r="AH38">
        <f t="shared" si="41"/>
        <v>0.56489955284622495</v>
      </c>
      <c r="AI38">
        <f>IF(G38&lt;=0,1,0)</f>
        <v>0</v>
      </c>
      <c r="AJ38">
        <f>IF(G38&lt;0,1,0)</f>
        <v>0</v>
      </c>
      <c r="AK38">
        <f>MAX(($B$3-G38)/(G38 + 1),0) / $B$3</f>
        <v>0</v>
      </c>
      <c r="AL38">
        <f>IF(H38+ABS(K38)&lt;0,Logistic(SQRT(H38^2+K38^2)/$B$4),0)</f>
        <v>0</v>
      </c>
      <c r="AM38">
        <f>IF(G38&gt;$B$3,1,0)</f>
        <v>1</v>
      </c>
      <c r="AN38">
        <f>IF(H38&gt;$B$4,1,0)</f>
        <v>0</v>
      </c>
      <c r="AO38">
        <f>ABS(H38)/$B$4</f>
        <v>0.83625000000000005</v>
      </c>
      <c r="AP38">
        <f>Logistic(I38/$B$5)</f>
        <v>0.25137029947422596</v>
      </c>
      <c r="AQ38">
        <f>IF(I38&gt;$B$5,1,0)</f>
        <v>0</v>
      </c>
      <c r="AR38">
        <f>Logistic(ABS(F38-O38)/($B$6/2))</f>
        <v>0.24021286468618022</v>
      </c>
      <c r="AS38">
        <f>IF(OR(F38&lt;M38,F38&gt;N38),1,0)</f>
        <v>0</v>
      </c>
      <c r="AT38">
        <f>ABS(K38)/$B$4</f>
        <v>1.25E-3</v>
      </c>
      <c r="AU38">
        <f t="shared" ca="1" si="42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3"/>
        <v>0</v>
      </c>
      <c r="BB38">
        <f t="shared" ca="1" si="44"/>
        <v>0</v>
      </c>
      <c r="BC38">
        <f t="shared" si="45"/>
        <v>0</v>
      </c>
      <c r="BE38">
        <f>Logistic((D38-$B$2)/$B$2)</f>
        <v>0.56489955284622495</v>
      </c>
      <c r="BF38">
        <f t="shared" si="46"/>
        <v>0</v>
      </c>
      <c r="BG38">
        <f t="shared" si="47"/>
        <v>0</v>
      </c>
      <c r="BH38">
        <f>Logistic(($B$3-G38)/(G38+1))</f>
        <v>-8.677009309291922E-2</v>
      </c>
      <c r="BI38">
        <f>IF(G38&gt;$B$3,1,0)</f>
        <v>1</v>
      </c>
      <c r="BJ38">
        <f>IF(H38&gt;$B$5,1,0)</f>
        <v>0</v>
      </c>
      <c r="BK38">
        <f>EXP(-($B$4-ABS(H38))/MAX(ABS(H38),0.000000001))</f>
        <v>0.82216460981132045</v>
      </c>
      <c r="BL38">
        <f t="shared" si="48"/>
        <v>0</v>
      </c>
      <c r="BM38">
        <f>EXP(-($B$5-I38)/MAX(I38,0.000000001))</f>
        <v>0.38810784790477265</v>
      </c>
      <c r="BN38">
        <f>IF(F38&gt;N38,(F38-N38)/$B$6,0)+IF(F38&lt;M38,(M38-F38)/$B$6,0)</f>
        <v>0</v>
      </c>
      <c r="BO38">
        <f>ABS(K38/$B$4)</f>
        <v>1.25E-3</v>
      </c>
      <c r="BP38">
        <f>Logistic(ABS(H38)/$B$4)</f>
        <v>0.39534967069925125</v>
      </c>
      <c r="BQ38">
        <f>Logistic(($B$3-G38)/G38)</f>
        <v>-9.0102464788161071E-2</v>
      </c>
    </row>
    <row r="39" spans="1:69" x14ac:dyDescent="0.25">
      <c r="A39" s="1" t="s">
        <v>18</v>
      </c>
      <c r="B39">
        <f t="shared" ca="1" si="2"/>
        <v>151.54607783402224</v>
      </c>
      <c r="C39" t="s">
        <v>289</v>
      </c>
      <c r="D39">
        <f t="shared" si="17"/>
        <v>107</v>
      </c>
      <c r="E39">
        <f t="shared" si="18"/>
        <v>149.03</v>
      </c>
      <c r="F39">
        <f t="shared" si="19"/>
        <v>2.93</v>
      </c>
      <c r="G39">
        <f t="shared" si="20"/>
        <v>24.02</v>
      </c>
      <c r="H39">
        <f t="shared" si="21"/>
        <v>6.69</v>
      </c>
      <c r="I39">
        <f t="shared" si="22"/>
        <v>4.0999999999999996</v>
      </c>
      <c r="J39">
        <f t="shared" si="23"/>
        <v>5.54</v>
      </c>
      <c r="K39">
        <f t="shared" si="24"/>
        <v>0.02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>
        <f t="shared" si="5"/>
        <v>48</v>
      </c>
      <c r="Q39">
        <f t="shared" ca="1" si="25"/>
        <v>127.976293</v>
      </c>
      <c r="R39">
        <f t="shared" ca="1" si="26"/>
        <v>16.671185999999999</v>
      </c>
      <c r="S39">
        <f t="shared" si="27"/>
        <v>46</v>
      </c>
      <c r="T39">
        <f t="shared" ca="1" si="28"/>
        <v>-33.40673799999999</v>
      </c>
      <c r="U39">
        <f t="shared" ca="1" si="29"/>
        <v>22.084384</v>
      </c>
      <c r="V39">
        <f t="shared" si="30"/>
        <v>48</v>
      </c>
      <c r="W39">
        <f t="shared" ca="1" si="31"/>
        <v>106.35629299999999</v>
      </c>
      <c r="X39">
        <f t="shared" ca="1" si="32"/>
        <v>16.671185999999999</v>
      </c>
      <c r="Y39">
        <f>GetFollowingCarRow($B$45:$E$54,L39,$E$15,E39)</f>
        <v>46</v>
      </c>
      <c r="Z39">
        <f t="shared" ca="1" si="33"/>
        <v>-55.026737999999995</v>
      </c>
      <c r="AA39">
        <f t="shared" ca="1" si="34"/>
        <v>22.084384</v>
      </c>
      <c r="AB39">
        <f t="shared" si="35"/>
        <v>3.2499999999999996</v>
      </c>
      <c r="AC39">
        <f t="shared" si="36"/>
        <v>21.620000000000005</v>
      </c>
      <c r="AD39">
        <f t="shared" si="37"/>
        <v>25.332752081406095</v>
      </c>
      <c r="AE39">
        <f t="shared" si="38"/>
        <v>-547.69409999999993</v>
      </c>
      <c r="AF39">
        <f t="shared" si="39"/>
        <v>21.862911516996089</v>
      </c>
      <c r="AG39">
        <f t="shared" si="40"/>
        <v>15.938662293405207</v>
      </c>
      <c r="AH39">
        <f t="shared" si="41"/>
        <v>0.51535927800740966</v>
      </c>
      <c r="AI39">
        <f>IF(G39&lt;=0,1,0)</f>
        <v>0</v>
      </c>
      <c r="AJ39">
        <f>IF(G39&lt;0,1,0)</f>
        <v>0</v>
      </c>
      <c r="AK39">
        <f>MAX(($B$3-G39)/(G39 + 1),0) / $B$3</f>
        <v>0</v>
      </c>
      <c r="AL39">
        <f>IF(H39+ABS(K39)&lt;0,Logistic(SQRT(H39^2+K39^2)/$B$4),0)</f>
        <v>0</v>
      </c>
      <c r="AM39">
        <f>IF(G39&gt;$B$3,1,0)</f>
        <v>1</v>
      </c>
      <c r="AN39">
        <f>IF(H39&gt;$B$4,1,0)</f>
        <v>0</v>
      </c>
      <c r="AO39">
        <f>ABS(H39)/$B$4</f>
        <v>0.83625000000000005</v>
      </c>
      <c r="AP39">
        <f>Logistic(I39/$B$5)</f>
        <v>0.25078469944110221</v>
      </c>
      <c r="AQ39">
        <f>IF(I39&gt;$B$5,1,0)</f>
        <v>0</v>
      </c>
      <c r="AR39">
        <f>Logistic(ABS(F39-O39)/($B$6/2))</f>
        <v>0.22839928555379033</v>
      </c>
      <c r="AS39">
        <f>IF(OR(F39&lt;M39,F39&gt;N39),1,0)</f>
        <v>0</v>
      </c>
      <c r="AT39">
        <f>ABS(K39)/$B$4</f>
        <v>2.5000000000000001E-3</v>
      </c>
      <c r="AU39">
        <f t="shared" ca="1" si="42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</v>
      </c>
      <c r="BA39">
        <f t="shared" ca="1" si="43"/>
        <v>0</v>
      </c>
      <c r="BB39">
        <f t="shared" ca="1" si="44"/>
        <v>0</v>
      </c>
      <c r="BC39">
        <f t="shared" si="45"/>
        <v>0</v>
      </c>
      <c r="BE39">
        <f>Logistic((D39-$B$2)/$B$2)</f>
        <v>0.51535927800740966</v>
      </c>
      <c r="BF39">
        <f t="shared" si="46"/>
        <v>0</v>
      </c>
      <c r="BG39">
        <f t="shared" si="47"/>
        <v>0</v>
      </c>
      <c r="BH39">
        <f>Logistic(($B$3-G39)/(G39+1))</f>
        <v>-5.5896910458308108E-2</v>
      </c>
      <c r="BI39">
        <f>IF(G39&gt;$B$3,1,0)</f>
        <v>1</v>
      </c>
      <c r="BJ39">
        <f>IF(H39&gt;$B$5,1,0)</f>
        <v>0</v>
      </c>
      <c r="BK39">
        <f>EXP(-($B$4-ABS(H39))/MAX(ABS(H39),0.000000001))</f>
        <v>0.82216460981132045</v>
      </c>
      <c r="BL39">
        <f t="shared" si="48"/>
        <v>0</v>
      </c>
      <c r="BM39">
        <f>EXP(-($B$5-I39)/MAX(I39,0.000000001))</f>
        <v>0.38626967552573416</v>
      </c>
      <c r="BN39">
        <f>IF(F39&gt;N39,(F39-N39)/$B$6,0)+IF(F39&lt;M39,(M39-F39)/$B$6,0)</f>
        <v>0</v>
      </c>
      <c r="BO39">
        <f>ABS(K39/$B$4)</f>
        <v>2.5000000000000001E-3</v>
      </c>
      <c r="BP39">
        <f>Logistic(ABS(H39)/$B$4)</f>
        <v>0.39534967069925125</v>
      </c>
      <c r="BQ39">
        <f>Logistic(($B$3-G39)/G39)</f>
        <v>-5.8218852272429442E-2</v>
      </c>
    </row>
    <row r="40" spans="1:69" x14ac:dyDescent="0.25">
      <c r="A40" s="1" t="s">
        <v>17</v>
      </c>
      <c r="B40">
        <f t="shared" ca="1" si="2"/>
        <v>121.4871710518626</v>
      </c>
      <c r="C40" t="s">
        <v>288</v>
      </c>
      <c r="D40">
        <f t="shared" si="17"/>
        <v>95</v>
      </c>
      <c r="E40">
        <f t="shared" si="18"/>
        <v>143.61000000000001</v>
      </c>
      <c r="F40">
        <f t="shared" si="19"/>
        <v>2.91</v>
      </c>
      <c r="G40">
        <f t="shared" si="20"/>
        <v>20.81</v>
      </c>
      <c r="H40">
        <f t="shared" si="21"/>
        <v>6.69</v>
      </c>
      <c r="I40">
        <f t="shared" si="22"/>
        <v>4.0999999999999996</v>
      </c>
      <c r="J40">
        <f t="shared" si="23"/>
        <v>6.16</v>
      </c>
      <c r="K40">
        <f t="shared" si="24"/>
        <v>0.05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>
        <f t="shared" si="5"/>
        <v>48</v>
      </c>
      <c r="Q40">
        <f t="shared" ca="1" si="25"/>
        <v>127.976293</v>
      </c>
      <c r="R40">
        <f t="shared" ca="1" si="26"/>
        <v>16.671185999999999</v>
      </c>
      <c r="S40">
        <f t="shared" si="27"/>
        <v>46</v>
      </c>
      <c r="T40">
        <f t="shared" ca="1" si="28"/>
        <v>-33.40673799999999</v>
      </c>
      <c r="U40">
        <f t="shared" ca="1" si="29"/>
        <v>22.084384</v>
      </c>
      <c r="V40">
        <f t="shared" si="30"/>
        <v>48</v>
      </c>
      <c r="W40">
        <f t="shared" ca="1" si="31"/>
        <v>111.77629299999998</v>
      </c>
      <c r="X40">
        <f t="shared" ca="1" si="32"/>
        <v>16.671185999999999</v>
      </c>
      <c r="Y40">
        <f>GetFollowingCarRow($B$45:$E$54,L40,$E$15,E40)</f>
        <v>46</v>
      </c>
      <c r="Z40">
        <f t="shared" ca="1" si="33"/>
        <v>-49.606738000000007</v>
      </c>
      <c r="AA40">
        <f t="shared" ca="1" si="34"/>
        <v>22.084384</v>
      </c>
      <c r="AB40">
        <f t="shared" si="35"/>
        <v>3.2699999999999996</v>
      </c>
      <c r="AC40">
        <f t="shared" si="36"/>
        <v>16.200000000000017</v>
      </c>
      <c r="AD40">
        <f t="shared" si="37"/>
        <v>31.897944444444413</v>
      </c>
      <c r="AE40">
        <f t="shared" si="38"/>
        <v>-516.74670000000003</v>
      </c>
      <c r="AF40">
        <f t="shared" si="39"/>
        <v>16.526732889473362</v>
      </c>
      <c r="AG40">
        <f t="shared" si="40"/>
        <v>20.547139486733784</v>
      </c>
      <c r="AH40">
        <f t="shared" si="41"/>
        <v>0.42189900525000795</v>
      </c>
      <c r="AI40">
        <f>IF(G40&lt;=0,1,0)</f>
        <v>0</v>
      </c>
      <c r="AJ40">
        <f>IF(G40&lt;0,1,0)</f>
        <v>0</v>
      </c>
      <c r="AK40">
        <f>MAX(($B$3-G40)/(G40 + 1),0) / $B$3</f>
        <v>8.8589614445033652E-4</v>
      </c>
      <c r="AL40">
        <f>IF(H40+ABS(K40)&lt;0,Logistic(SQRT(H40^2+K40^2)/$B$4),0)</f>
        <v>0</v>
      </c>
      <c r="AM40">
        <f>IF(G40&gt;$B$3,1,0)</f>
        <v>0</v>
      </c>
      <c r="AN40">
        <f>IF(H40&gt;$B$4,1,0)</f>
        <v>0</v>
      </c>
      <c r="AO40">
        <f>ABS(H40)/$B$4</f>
        <v>0.83625000000000005</v>
      </c>
      <c r="AP40">
        <f>Logistic(I40/$B$5)</f>
        <v>0.25078469944110221</v>
      </c>
      <c r="AQ40">
        <f>IF(I40&gt;$B$5,1,0)</f>
        <v>0</v>
      </c>
      <c r="AR40">
        <f>Logistic(ABS(F40-O40)/($B$6/2))</f>
        <v>0.2236547380034743</v>
      </c>
      <c r="AS40">
        <f>IF(OR(F40&lt;M40,F40&gt;N40),1,0)</f>
        <v>0</v>
      </c>
      <c r="AT40">
        <f>ABS(K40)/$B$4</f>
        <v>6.2500000000000003E-3</v>
      </c>
      <c r="AU40">
        <f t="shared" ca="1" si="42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</v>
      </c>
      <c r="BA40">
        <f t="shared" ca="1" si="43"/>
        <v>0</v>
      </c>
      <c r="BB40">
        <f t="shared" ca="1" si="44"/>
        <v>0</v>
      </c>
      <c r="BC40">
        <f t="shared" si="45"/>
        <v>0</v>
      </c>
      <c r="BE40">
        <f>Logistic((D40-$B$2)/$B$2)</f>
        <v>0.42189900525000795</v>
      </c>
      <c r="BF40">
        <f t="shared" si="46"/>
        <v>0</v>
      </c>
      <c r="BG40">
        <f t="shared" si="47"/>
        <v>0</v>
      </c>
      <c r="BH40">
        <f>Logistic(($B$3-G40)/(G40+1))</f>
        <v>9.3990812977815131E-3</v>
      </c>
      <c r="BI40">
        <f>IF(G40&gt;$B$3,1,0)</f>
        <v>0</v>
      </c>
      <c r="BJ40">
        <f>IF(H40&gt;$B$5,1,0)</f>
        <v>0</v>
      </c>
      <c r="BK40">
        <f>EXP(-($B$4-ABS(H40))/MAX(ABS(H40),0.000000001))</f>
        <v>0.82216460981132045</v>
      </c>
      <c r="BL40">
        <f t="shared" si="48"/>
        <v>0</v>
      </c>
      <c r="BM40">
        <f>EXP(-($B$5-I40)/MAX(I40,0.000000001))</f>
        <v>0.38626967552573416</v>
      </c>
      <c r="BN40">
        <f>IF(F40&gt;N40,(F40-N40)/$B$6,0)+IF(F40&lt;M40,(M40-F40)/$B$6,0)</f>
        <v>0</v>
      </c>
      <c r="BO40">
        <f>ABS(K40/$B$4)</f>
        <v>6.2500000000000003E-3</v>
      </c>
      <c r="BP40">
        <f>Logistic(ABS(H40)/$B$4)</f>
        <v>0.39534967069925125</v>
      </c>
      <c r="BQ40">
        <f>Logistic(($B$3-G40)/G40)</f>
        <v>9.8507145120465198E-3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271.025463</v>
      </c>
      <c r="C45">
        <v>1.9550019999999999</v>
      </c>
      <c r="D45">
        <v>17.769925000000001</v>
      </c>
      <c r="E45">
        <v>1</v>
      </c>
    </row>
    <row r="46" spans="1:69" x14ac:dyDescent="0.25">
      <c r="B46">
        <v>94.003262000000007</v>
      </c>
      <c r="C46">
        <v>1.9868159999999999</v>
      </c>
      <c r="D46">
        <v>22.084384</v>
      </c>
      <c r="E46">
        <v>1</v>
      </c>
    </row>
    <row r="47" spans="1:69" x14ac:dyDescent="0.25">
      <c r="B47">
        <v>290.08482299999997</v>
      </c>
      <c r="C47">
        <v>10.01681</v>
      </c>
      <c r="D47">
        <v>20.979246</v>
      </c>
      <c r="E47">
        <v>3</v>
      </c>
    </row>
    <row r="48" spans="1:69" x14ac:dyDescent="0.25">
      <c r="B48">
        <v>255.38629299999999</v>
      </c>
      <c r="C48">
        <v>1.9851110000000001</v>
      </c>
      <c r="D48">
        <v>16.671185999999999</v>
      </c>
      <c r="E48">
        <v>1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92D050"/>
  </sheetPr>
  <dimension ref="A1:BQ56"/>
  <sheetViews>
    <sheetView topLeftCell="A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Change Lane Left in 40 Keep Accel</v>
      </c>
    </row>
    <row r="12" spans="1:69" x14ac:dyDescent="0.25">
      <c r="A12" t="s">
        <v>183</v>
      </c>
      <c r="B12">
        <f ca="1">INDEX(A16:F40,MATCH(MIN(B16:B40),B16:B40,0),5)</f>
        <v>677.45</v>
      </c>
      <c r="C12">
        <f ca="1">INDEX(A16:F40,MATCH(MIN(B16:B40),B16:B40,0),6)</f>
        <v>6.99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313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648.11</v>
      </c>
      <c r="F15">
        <f>VALUE(MID(C15,FIND("d[",C15)+2,FIND("]",C15,FIND("d[",C15))-(FIND("d[",C15)+2)))</f>
        <v>10.02</v>
      </c>
      <c r="G15">
        <f>VALUE(MID(C15,FIND("s_dot[",C15)+6,FIND("]",C15,FIND("s_dot[",C15))-(FIND("s_dot[",C15)+6)))</f>
        <v>16.7</v>
      </c>
      <c r="H15">
        <f>VALUE(MID(C15,FIND("s_dot2[",C15)+7,FIND("]",C15,FIND("s_dot2[",C15))-(FIND("s_dot2[",C15)+7)))</f>
        <v>-1.0900000000000001</v>
      </c>
      <c r="I15">
        <f>VALUE(MID(C15,FIND("s_dot3[",C15)+7,FIND("]",C15,FIND("s_dot3[",C15))-(FIND("s_dot3[",C15)+7)))</f>
        <v>1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3</v>
      </c>
      <c r="M15">
        <f t="shared" ref="M15:M31" si="0">$B$6*(L15-1)</f>
        <v>8</v>
      </c>
      <c r="N15">
        <f t="shared" ref="N15:N31" si="1">$B$6*L15</f>
        <v>12</v>
      </c>
      <c r="O15">
        <f>(N15+M15)/2</f>
        <v>10</v>
      </c>
      <c r="P15">
        <f>GetLeadingCarRow($B$45:$E$56,L15,$E$15, $E$15)</f>
        <v>54</v>
      </c>
      <c r="Q15">
        <f ca="1">IFERROR(INDIRECT(CONCATENATE("B", P15))-$E$15,1000000)</f>
        <v>24.688322999999968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5.2591201064444171</v>
      </c>
      <c r="C16" t="s">
        <v>329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652.55999999999995</v>
      </c>
      <c r="F16">
        <f>VALUE(MID(C16,FIND("d[",C16)+2,FIND("]",C16,FIND("d[",C16))-(FIND("d[",C16)+2)))</f>
        <v>9.99</v>
      </c>
      <c r="G16">
        <f>VALUE(MID(C16,FIND("s_dot[",C16)+6,FIND("]",C16,FIND("s_dot[",C16))-(FIND("s_dot[",C16)+6)))</f>
        <v>15.88</v>
      </c>
      <c r="H16">
        <f>VALUE(MID(C16,FIND("s_dot2[",C16)+7,FIND("]",C16,FIND("s_dot2[",C16))-(FIND("s_dot2[",C16)+7)))</f>
        <v>-2.9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3</v>
      </c>
      <c r="M16">
        <f t="shared" si="0"/>
        <v>8</v>
      </c>
      <c r="N16">
        <f t="shared" si="1"/>
        <v>12</v>
      </c>
      <c r="O16">
        <f t="shared" ref="O16:O40" si="4">(N16+M16)/2</f>
        <v>10</v>
      </c>
      <c r="P16">
        <f t="shared" ref="P16:P40" si="5">GetLeadingCarRow($B$45:$E$56,L16,$E$15, $E$15)</f>
        <v>54</v>
      </c>
      <c r="Q16">
        <f ca="1">IFERROR(INDIRECT(CONCATENATE("B", P16))-$E$15,1000000)</f>
        <v>24.688322999999968</v>
      </c>
      <c r="R16">
        <f ca="1">IFERROR(INDIRECT(CONCATENATE("D", P16)),100)</f>
        <v>14.863891000000001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>
        <f>GetLeadingCarRow($B$45:$E$56,L16,$E$15,E16)</f>
        <v>54</v>
      </c>
      <c r="W16">
        <f ca="1">IFERROR(INDIRECT(CONCATENATE("B", V16))-E16,1000000000)</f>
        <v>20.238323000000037</v>
      </c>
      <c r="X16">
        <f ca="1">IFERROR(INDIRECT(CONCATENATE("D", V16)),100)</f>
        <v>14.863891000000001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2.9999999999999361E-2</v>
      </c>
      <c r="AC16">
        <f>E16-$E$15</f>
        <v>4.4499999999999318</v>
      </c>
      <c r="AD16">
        <f>$F$15-(-AB16/AC16)*$E$15</f>
        <v>14.389280898876379</v>
      </c>
      <c r="AE16">
        <f>AD16*-AC16</f>
        <v>-64.032299999998898</v>
      </c>
      <c r="AF16">
        <f>SQRT(AB16^2+AC16^2)</f>
        <v>4.450101122446477</v>
      </c>
      <c r="AG16">
        <f>GetSmallestNormalDistance($B$45:$E$56,AB16,AC16,AF16,$L$15,L16)</f>
        <v>14.518878102365186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1.4908139062227795E-2</v>
      </c>
      <c r="AL16">
        <f>IF(H16+ABS(K16)&lt;0,Logistic(SQRT(H16^2+K16^2)/$B$4),0)</f>
        <v>0.17929095712546245</v>
      </c>
      <c r="AM16">
        <f>IF(G16&gt;$B$3,1,0)</f>
        <v>0</v>
      </c>
      <c r="AN16">
        <f>IF(H16&gt;$B$4,1,0)</f>
        <v>0</v>
      </c>
      <c r="AO16">
        <f>ABS(H16)/$B$4</f>
        <v>0.36249999999999999</v>
      </c>
      <c r="AP16">
        <f>Logistic(I16/$B$5)</f>
        <v>0.12435300177159621</v>
      </c>
      <c r="AQ16">
        <f>IF(I16&gt;$B$5,1,0)</f>
        <v>0</v>
      </c>
      <c r="AR16">
        <f>Logistic(ABS(F16-O16)/($B$6/2))</f>
        <v>2.4999947916796283E-3</v>
      </c>
      <c r="AS16">
        <f>IF(OR(F16&lt;M16,F16&gt;N16),1,0)</f>
        <v>0</v>
      </c>
      <c r="AT16">
        <f>ABS(K16)/$B$4</f>
        <v>0</v>
      </c>
      <c r="AU16">
        <f ca="1">MAX(($B$7-W16)/(W16+1),0)/$B$7</f>
        <v>1.5320853408874681E-2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1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1" si="8">Logistic(($B$3-G16)/(G16+1))</f>
        <v>0.15686927178866253</v>
      </c>
      <c r="BI16">
        <f t="shared" ref="BI16:BI31" si="9">IF(G16&gt;$B$3,1,0)</f>
        <v>0</v>
      </c>
      <c r="BJ16">
        <f t="shared" ref="BJ16:BJ31" si="10">IF(H16&gt;$B$5,1,0)</f>
        <v>0</v>
      </c>
      <c r="BK16">
        <f t="shared" ref="BK16:BK31" si="11">EXP(-($B$4-ABS(H16))/MAX(ABS(H16),0.000000001))</f>
        <v>0.17228233081618785</v>
      </c>
      <c r="BL16">
        <f>IF(G16&lt;ABS(H16),1,0)</f>
        <v>0</v>
      </c>
      <c r="BM16">
        <f t="shared" ref="BM16:BM31" si="12">EXP(-($B$5-I16)/MAX(I16,0.000000001))</f>
        <v>4.9787068367863944E-2</v>
      </c>
      <c r="BN16">
        <f t="shared" ref="BN16:BN31" si="13">IF(F16&gt;N16,(F16-N16)/$B$6,0)+IF(F16&lt;M16,(M16-F16)/$B$6,0)</f>
        <v>0</v>
      </c>
      <c r="BO16">
        <f t="shared" ref="BO16:BO31" si="14">ABS(K16/$B$4)</f>
        <v>0</v>
      </c>
      <c r="BP16">
        <f t="shared" ref="BP16:BP31" si="15">Logistic(ABS(H16)/$B$4)</f>
        <v>0.17929095712546245</v>
      </c>
      <c r="BQ16">
        <f t="shared" ref="BQ16:BQ31" si="16">Logistic(($B$3-G16)/G16)</f>
        <v>0.1665693473883684</v>
      </c>
    </row>
    <row r="17" spans="1:69" x14ac:dyDescent="0.25">
      <c r="A17" s="1" t="s">
        <v>15</v>
      </c>
      <c r="B17">
        <f t="shared" ca="1" si="2"/>
        <v>5.0244659646625447</v>
      </c>
      <c r="C17" t="s">
        <v>328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652.64</v>
      </c>
      <c r="F17">
        <f t="shared" ref="F17:F40" si="19">VALUE(MID(C17,FIND("d[",C17)+2,FIND("]",C17,FIND("d[",C17))-(FIND("d[",C17)+2)))</f>
        <v>9.99</v>
      </c>
      <c r="G17">
        <f t="shared" ref="G17:G40" si="20">VALUE(MID(C17,FIND("s_dot[",C17)+6,FIND("]",C17,FIND("s_dot[",C17))-(FIND("s_dot[",C17)+6)))</f>
        <v>16.16</v>
      </c>
      <c r="H17">
        <f t="shared" ref="H17:H40" si="21">VALUE(MID(C17,FIND("s_dot2[",C17)+7,FIND("]",C17,FIND("s_dot2[",C17))-(FIND("s_dot2[",C17)+7)))</f>
        <v>-1.9</v>
      </c>
      <c r="I17">
        <f t="shared" ref="I17:I40" si="22">VALUE(MID(C17,FIND("s_dot3[",C17)+7,FIND("]",C17,FIND("s_dot3[",C17))-(FIND("s_dot3[",C17)+7)))</f>
        <v>1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3</v>
      </c>
      <c r="M17">
        <f t="shared" si="0"/>
        <v>8</v>
      </c>
      <c r="N17">
        <f t="shared" si="1"/>
        <v>12</v>
      </c>
      <c r="O17">
        <f t="shared" si="4"/>
        <v>10</v>
      </c>
      <c r="P17">
        <f t="shared" si="5"/>
        <v>54</v>
      </c>
      <c r="Q17">
        <f t="shared" ref="Q17:Q40" ca="1" si="25">IFERROR(INDIRECT(CONCATENATE("B", P17))-$E$15,1000000)</f>
        <v>24.688322999999968</v>
      </c>
      <c r="R17">
        <f t="shared" ref="R17:R40" ca="1" si="26">IFERROR(INDIRECT(CONCATENATE("D", P17)),100)</f>
        <v>14.863891000000001</v>
      </c>
      <c r="S17" t="e">
        <f t="shared" ref="S17:S40" si="27">GetFollowingCarRow($B$45:$E$56,L17,$E$15, $E$15)</f>
        <v>#VALUE!</v>
      </c>
      <c r="T17">
        <f t="shared" ref="T17:T40" ca="1" si="28">IFERROR(INDIRECT(CONCATENATE("B", S17))-$E$15,1000000)</f>
        <v>1000000</v>
      </c>
      <c r="U17">
        <f t="shared" ref="U17:U40" ca="1" si="29">IFERROR(INDIRECT(CONCATENATE("D", S17)),100)</f>
        <v>100</v>
      </c>
      <c r="V17">
        <f t="shared" ref="V17:V40" si="30">GetLeadingCarRow($B$45:$E$56,L17,$E$15,E17)</f>
        <v>54</v>
      </c>
      <c r="W17">
        <f t="shared" ref="W17:W40" ca="1" si="31">IFERROR(INDIRECT(CONCATENATE("B", V17))-E17,1000000000)</f>
        <v>20.158322999999996</v>
      </c>
      <c r="X17">
        <f t="shared" ref="X17:X40" ca="1" si="32">IFERROR(INDIRECT(CONCATENATE("D", V17)),100)</f>
        <v>14.863891000000001</v>
      </c>
      <c r="Y17" t="e">
        <f>GetFollowingCarRow($B$45:$E$54,L17,$E$15,E17)</f>
        <v>#VALUE!</v>
      </c>
      <c r="Z17">
        <f t="shared" ref="Z17:Z40" ca="1" si="33">IFERROR(INDIRECT(CONCATENATE("B", Y17))-E17,1000000000)</f>
        <v>1000000000</v>
      </c>
      <c r="AA17">
        <f t="shared" ref="AA17:AA40" ca="1" si="34">IFERROR(INDIRECT(CONCATENATE("D", Y17)),100)</f>
        <v>100</v>
      </c>
      <c r="AB17">
        <f t="shared" ref="AB17:AB40" si="35">$F$15-F17</f>
        <v>2.9999999999999361E-2</v>
      </c>
      <c r="AC17">
        <f t="shared" ref="AC17:AC40" si="36">E17-$E$15</f>
        <v>4.5299999999999727</v>
      </c>
      <c r="AD17">
        <f t="shared" ref="AD17:AD40" si="37">$F$15-(-AB17/AC17)*$E$15</f>
        <v>14.312119205297947</v>
      </c>
      <c r="AE17">
        <f t="shared" ref="AE17:AE40" si="38">AD17*-AC17</f>
        <v>-64.833899999999304</v>
      </c>
      <c r="AF17">
        <f t="shared" ref="AF17:AF40" si="39">SQRT(AB17^2+AC17^2)</f>
        <v>4.5300993366591591</v>
      </c>
      <c r="AG17">
        <f t="shared" ref="AG17:AG40" si="40">GetSmallestNormalDistance($B$45:$E$56,AB17,AC17,AF17,$L$15,L17)</f>
        <v>14.438790410330604</v>
      </c>
      <c r="AH17">
        <f t="shared" ref="AH17:AH40" si="41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1.3895937552864975E-2</v>
      </c>
      <c r="AL17">
        <f>IF(H17+ABS(K17)&lt;0,Logistic(SQRT(H17^2+K17^2)/$B$4),0)</f>
        <v>0.11819494380478601</v>
      </c>
      <c r="AM17">
        <f>IF(G17&gt;$B$3,1,0)</f>
        <v>0</v>
      </c>
      <c r="AN17">
        <f>IF(H17&gt;$B$4,1,0)</f>
        <v>0</v>
      </c>
      <c r="AO17">
        <f>ABS(H17)/$B$4</f>
        <v>0.23749999999999999</v>
      </c>
      <c r="AP17">
        <f>Logistic(I17/$B$5)</f>
        <v>6.2418746747512487E-2</v>
      </c>
      <c r="AQ17">
        <f>IF(I17&gt;$B$5,1,0)</f>
        <v>0</v>
      </c>
      <c r="AR17">
        <f>Logistic(ABS(F17-O17)/($B$6/2))</f>
        <v>2.4999947916796283E-3</v>
      </c>
      <c r="AS17">
        <f>IF(OR(F17&lt;M17,F17&gt;N17),1,0)</f>
        <v>0</v>
      </c>
      <c r="AT17">
        <f>ABS(K17)/$B$4</f>
        <v>0</v>
      </c>
      <c r="AU17">
        <f t="shared" ref="AU17:AU40" ca="1" si="42">MAX(($B$7-W17)/(W17+1),0)/$B$7</f>
        <v>1.5504815764463005E-2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3">IF(OR(ABS(Q17)&lt;$B$8,ABS(W17)&lt;$B$8),1,0)</f>
        <v>0</v>
      </c>
      <c r="BB17">
        <f t="shared" ref="BB17:BB40" ca="1" si="44">IF(OR(ABS(T17)&lt;$B$8,ABS(Z17)&lt;$B$8),1,0)</f>
        <v>0</v>
      </c>
      <c r="BC17">
        <f t="shared" ref="BC17:BC40" si="45">IFERROR(IF(P17=Y17,1,0),0)</f>
        <v>0</v>
      </c>
      <c r="BE17">
        <f t="shared" si="7"/>
        <v>0</v>
      </c>
      <c r="BF17">
        <f t="shared" ref="BF17:BF40" si="46">IF(G17&lt;=0,1,0)</f>
        <v>0</v>
      </c>
      <c r="BG17">
        <f t="shared" ref="BG17:BG40" si="47">IF(G17&lt;0,1,0)</f>
        <v>0</v>
      </c>
      <c r="BH17">
        <f t="shared" si="8"/>
        <v>0.14637681685683965</v>
      </c>
      <c r="BI17">
        <f t="shared" si="9"/>
        <v>0</v>
      </c>
      <c r="BJ17">
        <f t="shared" si="10"/>
        <v>0</v>
      </c>
      <c r="BK17">
        <f t="shared" si="11"/>
        <v>4.0335378537834532E-2</v>
      </c>
      <c r="BL17">
        <f t="shared" ref="BL17:BL40" si="48">IF(G17&lt;ABS(H17),1,0)</f>
        <v>0</v>
      </c>
      <c r="BM17">
        <f t="shared" si="12"/>
        <v>9.1188196555451624E-4</v>
      </c>
      <c r="BN17">
        <f t="shared" si="13"/>
        <v>0</v>
      </c>
      <c r="BO17">
        <f t="shared" si="14"/>
        <v>0</v>
      </c>
      <c r="BP17">
        <f t="shared" si="15"/>
        <v>0.11819494380478601</v>
      </c>
      <c r="BQ17">
        <f t="shared" si="16"/>
        <v>0.15529268923348358</v>
      </c>
    </row>
    <row r="18" spans="1:69" x14ac:dyDescent="0.25">
      <c r="A18" s="1" t="s">
        <v>14</v>
      </c>
      <c r="B18">
        <f t="shared" ca="1" si="2"/>
        <v>4.6878610070245958</v>
      </c>
      <c r="C18" t="s">
        <v>327</v>
      </c>
      <c r="D18">
        <f t="shared" si="17"/>
        <v>50</v>
      </c>
      <c r="E18">
        <f t="shared" si="18"/>
        <v>652.76</v>
      </c>
      <c r="F18">
        <f t="shared" si="19"/>
        <v>9.99</v>
      </c>
      <c r="G18">
        <f t="shared" si="20"/>
        <v>16.579999999999998</v>
      </c>
      <c r="H18">
        <f t="shared" si="21"/>
        <v>-0.4</v>
      </c>
      <c r="I18">
        <f t="shared" si="22"/>
        <v>0.5</v>
      </c>
      <c r="J18">
        <f t="shared" si="23"/>
        <v>0</v>
      </c>
      <c r="K18">
        <f t="shared" si="24"/>
        <v>0</v>
      </c>
      <c r="L18">
        <f t="shared" si="3"/>
        <v>3</v>
      </c>
      <c r="M18">
        <f t="shared" si="0"/>
        <v>8</v>
      </c>
      <c r="N18">
        <f t="shared" si="1"/>
        <v>12</v>
      </c>
      <c r="O18">
        <f t="shared" si="4"/>
        <v>10</v>
      </c>
      <c r="P18">
        <f t="shared" si="5"/>
        <v>54</v>
      </c>
      <c r="Q18">
        <f t="shared" ca="1" si="25"/>
        <v>24.688322999999968</v>
      </c>
      <c r="R18">
        <f t="shared" ca="1" si="26"/>
        <v>14.863891000000001</v>
      </c>
      <c r="S18" t="e">
        <f t="shared" si="27"/>
        <v>#VALUE!</v>
      </c>
      <c r="T18">
        <f t="shared" ca="1" si="28"/>
        <v>1000000</v>
      </c>
      <c r="U18">
        <f t="shared" ca="1" si="29"/>
        <v>100</v>
      </c>
      <c r="V18">
        <f t="shared" si="30"/>
        <v>54</v>
      </c>
      <c r="W18">
        <f t="shared" ca="1" si="31"/>
        <v>20.038322999999991</v>
      </c>
      <c r="X18">
        <f t="shared" ca="1" si="32"/>
        <v>14.863891000000001</v>
      </c>
      <c r="Y18" t="e">
        <f>GetFollowingCarRow($B$45:$E$54,L18,$E$15,E18)</f>
        <v>#VALUE!</v>
      </c>
      <c r="Z18">
        <f t="shared" ca="1" si="33"/>
        <v>1000000000</v>
      </c>
      <c r="AA18">
        <f t="shared" ca="1" si="34"/>
        <v>100</v>
      </c>
      <c r="AB18">
        <f t="shared" si="35"/>
        <v>2.9999999999999361E-2</v>
      </c>
      <c r="AC18">
        <f t="shared" si="36"/>
        <v>4.6499999999999773</v>
      </c>
      <c r="AD18">
        <f t="shared" si="37"/>
        <v>14.201354838709609</v>
      </c>
      <c r="AE18">
        <f t="shared" si="38"/>
        <v>-66.036299999999358</v>
      </c>
      <c r="AF18">
        <f t="shared" si="39"/>
        <v>4.6500967731865313</v>
      </c>
      <c r="AG18">
        <f t="shared" si="40"/>
        <v>14.323825242534905</v>
      </c>
      <c r="AH18">
        <f t="shared" si="41"/>
        <v>0</v>
      </c>
      <c r="AI18">
        <f>IF(G18&lt;=0,1,0)</f>
        <v>0</v>
      </c>
      <c r="AJ18">
        <f>IF(G18&lt;0,1,0)</f>
        <v>0</v>
      </c>
      <c r="AK18">
        <f>MAX(($B$3-G18)/(G18 + 1),0) / $B$3</f>
        <v>1.2438091010369726E-2</v>
      </c>
      <c r="AL18">
        <f>IF(H18+ABS(K18)&lt;0,Logistic(SQRT(H18^2+K18^2)/$B$4),0)</f>
        <v>2.4994792968420682E-2</v>
      </c>
      <c r="AM18">
        <f>IF(G18&gt;$B$3,1,0)</f>
        <v>0</v>
      </c>
      <c r="AN18">
        <f>IF(H18&gt;$B$4,1,0)</f>
        <v>0</v>
      </c>
      <c r="AO18">
        <f>ABS(H18)/$B$4</f>
        <v>0.05</v>
      </c>
      <c r="AP18">
        <f>Logistic(I18/$B$5)</f>
        <v>3.1239831446031246E-2</v>
      </c>
      <c r="AQ18">
        <f>IF(I18&gt;$B$5,1,0)</f>
        <v>0</v>
      </c>
      <c r="AR18">
        <f>Logistic(ABS(F18-O18)/($B$6/2))</f>
        <v>2.4999947916796283E-3</v>
      </c>
      <c r="AS18">
        <f>IF(OR(F18&lt;M18,F18&gt;N18),1,0)</f>
        <v>0</v>
      </c>
      <c r="AT18">
        <f>ABS(K18)/$B$4</f>
        <v>0</v>
      </c>
      <c r="AU18">
        <f t="shared" ca="1" si="42"/>
        <v>1.5783382544321638E-2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43"/>
        <v>0</v>
      </c>
      <c r="BB18">
        <f t="shared" ca="1" si="44"/>
        <v>0</v>
      </c>
      <c r="BC18">
        <f t="shared" si="45"/>
        <v>0</v>
      </c>
      <c r="BE18">
        <f t="shared" si="7"/>
        <v>0</v>
      </c>
      <c r="BF18">
        <f t="shared" si="46"/>
        <v>0</v>
      </c>
      <c r="BG18">
        <f t="shared" si="47"/>
        <v>0</v>
      </c>
      <c r="BH18">
        <f t="shared" si="8"/>
        <v>0.13120734400168588</v>
      </c>
      <c r="BI18">
        <f t="shared" si="9"/>
        <v>0</v>
      </c>
      <c r="BJ18">
        <f t="shared" si="10"/>
        <v>0</v>
      </c>
      <c r="BK18">
        <f t="shared" si="11"/>
        <v>5.6027964375372877E-9</v>
      </c>
      <c r="BL18">
        <f t="shared" si="48"/>
        <v>0</v>
      </c>
      <c r="BM18">
        <f t="shared" si="12"/>
        <v>3.0590232050182579E-7</v>
      </c>
      <c r="BN18">
        <f t="shared" si="13"/>
        <v>0</v>
      </c>
      <c r="BO18">
        <f t="shared" si="14"/>
        <v>0</v>
      </c>
      <c r="BP18">
        <f t="shared" si="15"/>
        <v>2.4994792968420682E-2</v>
      </c>
      <c r="BQ18">
        <f t="shared" si="16"/>
        <v>0.13902147105132384</v>
      </c>
    </row>
    <row r="19" spans="1:69" x14ac:dyDescent="0.25">
      <c r="A19" s="1" t="s">
        <v>13</v>
      </c>
      <c r="B19">
        <f t="shared" ca="1" si="2"/>
        <v>4.5772270139870948</v>
      </c>
      <c r="C19" t="s">
        <v>326</v>
      </c>
      <c r="D19">
        <f t="shared" si="17"/>
        <v>50</v>
      </c>
      <c r="E19">
        <f t="shared" si="18"/>
        <v>652.79</v>
      </c>
      <c r="F19">
        <f t="shared" si="19"/>
        <v>9.99</v>
      </c>
      <c r="G19">
        <f t="shared" si="20"/>
        <v>16.72</v>
      </c>
      <c r="H19">
        <f t="shared" si="21"/>
        <v>0.1</v>
      </c>
      <c r="I19">
        <f t="shared" si="22"/>
        <v>1</v>
      </c>
      <c r="J19">
        <f t="shared" si="23"/>
        <v>0</v>
      </c>
      <c r="K19">
        <f t="shared" si="24"/>
        <v>0</v>
      </c>
      <c r="L19">
        <f t="shared" si="3"/>
        <v>3</v>
      </c>
      <c r="M19">
        <f t="shared" si="0"/>
        <v>8</v>
      </c>
      <c r="N19">
        <f t="shared" si="1"/>
        <v>12</v>
      </c>
      <c r="O19">
        <f t="shared" si="4"/>
        <v>10</v>
      </c>
      <c r="P19">
        <f t="shared" si="5"/>
        <v>54</v>
      </c>
      <c r="Q19">
        <f t="shared" ca="1" si="25"/>
        <v>24.688322999999968</v>
      </c>
      <c r="R19">
        <f t="shared" ca="1" si="26"/>
        <v>14.863891000000001</v>
      </c>
      <c r="S19" t="e">
        <f t="shared" si="27"/>
        <v>#VALUE!</v>
      </c>
      <c r="T19">
        <f t="shared" ca="1" si="28"/>
        <v>1000000</v>
      </c>
      <c r="U19">
        <f t="shared" ca="1" si="29"/>
        <v>100</v>
      </c>
      <c r="V19">
        <f t="shared" si="30"/>
        <v>54</v>
      </c>
      <c r="W19">
        <f t="shared" ca="1" si="31"/>
        <v>20.008323000000019</v>
      </c>
      <c r="X19">
        <f t="shared" ca="1" si="32"/>
        <v>14.863891000000001</v>
      </c>
      <c r="Y19" t="e">
        <f>GetFollowingCarRow($B$45:$E$54,L19,$E$15,E19)</f>
        <v>#VALUE!</v>
      </c>
      <c r="Z19">
        <f t="shared" ca="1" si="33"/>
        <v>1000000000</v>
      </c>
      <c r="AA19">
        <f t="shared" ca="1" si="34"/>
        <v>100</v>
      </c>
      <c r="AB19">
        <f t="shared" si="35"/>
        <v>2.9999999999999361E-2</v>
      </c>
      <c r="AC19">
        <f t="shared" si="36"/>
        <v>4.67999999999995</v>
      </c>
      <c r="AD19">
        <f t="shared" si="37"/>
        <v>14.174551282051237</v>
      </c>
      <c r="AE19">
        <f t="shared" si="38"/>
        <v>-66.336899999999076</v>
      </c>
      <c r="AF19">
        <f t="shared" si="39"/>
        <v>4.6800961528583507</v>
      </c>
      <c r="AG19">
        <f t="shared" si="40"/>
        <v>14.296005044498088</v>
      </c>
      <c r="AH19">
        <f t="shared" si="41"/>
        <v>0</v>
      </c>
      <c r="AI19">
        <f>IF(G19&lt;=0,1,0)</f>
        <v>0</v>
      </c>
      <c r="AJ19">
        <f>IF(G19&lt;0,1,0)</f>
        <v>0</v>
      </c>
      <c r="AK19">
        <f>MAX(($B$3-G19)/(G19 + 1),0) / $B$3</f>
        <v>1.1967499462792247E-2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1.2500000000000001E-2</v>
      </c>
      <c r="AP19">
        <f>Logistic(I19/$B$5)</f>
        <v>6.2418746747512487E-2</v>
      </c>
      <c r="AQ19">
        <f>IF(I19&gt;$B$5,1,0)</f>
        <v>0</v>
      </c>
      <c r="AR19">
        <f>Logistic(ABS(F19-O19)/($B$6/2))</f>
        <v>2.4999947916796283E-3</v>
      </c>
      <c r="AS19">
        <f>IF(OR(F19&lt;M19,F19&gt;N19),1,0)</f>
        <v>0</v>
      </c>
      <c r="AT19">
        <f>ABS(K19)/$B$4</f>
        <v>0</v>
      </c>
      <c r="AU19">
        <f t="shared" ca="1" si="42"/>
        <v>1.5853521482890334E-2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43"/>
        <v>0</v>
      </c>
      <c r="BB19">
        <f t="shared" ca="1" si="44"/>
        <v>0</v>
      </c>
      <c r="BC19">
        <f t="shared" si="45"/>
        <v>0</v>
      </c>
      <c r="BE19">
        <f t="shared" si="7"/>
        <v>0</v>
      </c>
      <c r="BF19">
        <f t="shared" si="46"/>
        <v>0</v>
      </c>
      <c r="BG19">
        <f t="shared" si="47"/>
        <v>0</v>
      </c>
      <c r="BH19">
        <f t="shared" si="8"/>
        <v>0.12629714766154362</v>
      </c>
      <c r="BI19">
        <f t="shared" si="9"/>
        <v>0</v>
      </c>
      <c r="BJ19">
        <f t="shared" si="10"/>
        <v>0</v>
      </c>
      <c r="BK19">
        <f t="shared" si="11"/>
        <v>4.9060947306492808E-35</v>
      </c>
      <c r="BL19">
        <f t="shared" si="48"/>
        <v>0</v>
      </c>
      <c r="BM19">
        <f t="shared" si="12"/>
        <v>9.1188196555451624E-4</v>
      </c>
      <c r="BN19">
        <f t="shared" si="13"/>
        <v>0</v>
      </c>
      <c r="BO19">
        <f t="shared" si="14"/>
        <v>0</v>
      </c>
      <c r="BP19">
        <f t="shared" si="15"/>
        <v>6.2499186210632053E-3</v>
      </c>
      <c r="BQ19">
        <f t="shared" si="16"/>
        <v>0.13376291721869776</v>
      </c>
    </row>
    <row r="20" spans="1:69" x14ac:dyDescent="0.25">
      <c r="A20" s="1" t="s">
        <v>12</v>
      </c>
      <c r="B20">
        <f t="shared" ca="1" si="2"/>
        <v>4.4708066292819391</v>
      </c>
      <c r="C20" t="s">
        <v>325</v>
      </c>
      <c r="D20">
        <f t="shared" si="17"/>
        <v>50</v>
      </c>
      <c r="E20">
        <f t="shared" si="18"/>
        <v>652.83000000000004</v>
      </c>
      <c r="F20">
        <f t="shared" si="19"/>
        <v>9.99</v>
      </c>
      <c r="G20">
        <f t="shared" si="20"/>
        <v>16.86</v>
      </c>
      <c r="H20">
        <f t="shared" si="21"/>
        <v>0.6</v>
      </c>
      <c r="I20">
        <f t="shared" si="22"/>
        <v>1.5</v>
      </c>
      <c r="J20">
        <f t="shared" si="23"/>
        <v>0</v>
      </c>
      <c r="K20">
        <f t="shared" si="24"/>
        <v>0</v>
      </c>
      <c r="L20">
        <f t="shared" si="3"/>
        <v>3</v>
      </c>
      <c r="M20">
        <f t="shared" si="0"/>
        <v>8</v>
      </c>
      <c r="N20">
        <f t="shared" si="1"/>
        <v>12</v>
      </c>
      <c r="O20">
        <f t="shared" si="4"/>
        <v>10</v>
      </c>
      <c r="P20">
        <f t="shared" si="5"/>
        <v>54</v>
      </c>
      <c r="Q20">
        <f t="shared" ca="1" si="25"/>
        <v>24.688322999999968</v>
      </c>
      <c r="R20">
        <f t="shared" ca="1" si="26"/>
        <v>14.863891000000001</v>
      </c>
      <c r="S20" t="e">
        <f t="shared" si="27"/>
        <v>#VALUE!</v>
      </c>
      <c r="T20">
        <f t="shared" ca="1" si="28"/>
        <v>1000000</v>
      </c>
      <c r="U20">
        <f t="shared" ca="1" si="29"/>
        <v>100</v>
      </c>
      <c r="V20">
        <f t="shared" si="30"/>
        <v>54</v>
      </c>
      <c r="W20">
        <f t="shared" ca="1" si="31"/>
        <v>19.968322999999941</v>
      </c>
      <c r="X20">
        <f t="shared" ca="1" si="32"/>
        <v>14.863891000000001</v>
      </c>
      <c r="Y20" t="e">
        <f>GetFollowingCarRow($B$45:$E$54,L20,$E$15,E20)</f>
        <v>#VALUE!</v>
      </c>
      <c r="Z20">
        <f t="shared" ca="1" si="33"/>
        <v>1000000000</v>
      </c>
      <c r="AA20">
        <f t="shared" ca="1" si="34"/>
        <v>100</v>
      </c>
      <c r="AB20">
        <f t="shared" si="35"/>
        <v>2.9999999999999361E-2</v>
      </c>
      <c r="AC20">
        <f t="shared" si="36"/>
        <v>4.7200000000000273</v>
      </c>
      <c r="AD20">
        <f t="shared" si="37"/>
        <v>14.139343220338871</v>
      </c>
      <c r="AE20">
        <f t="shared" si="38"/>
        <v>-66.737699999999862</v>
      </c>
      <c r="AF20">
        <f t="shared" si="39"/>
        <v>4.7200953380202249</v>
      </c>
      <c r="AG20">
        <f t="shared" si="40"/>
        <v>14.259461504485282</v>
      </c>
      <c r="AH20">
        <f t="shared" si="41"/>
        <v>0</v>
      </c>
      <c r="AI20">
        <f>IF(G20&lt;=0,1,0)</f>
        <v>0</v>
      </c>
      <c r="AJ20">
        <f>IF(G20&lt;0,1,0)</f>
        <v>0</v>
      </c>
      <c r="AK20">
        <f>MAX(($B$3-G20)/(G20 + 1),0) / $B$3</f>
        <v>1.150428561024958E-2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7.4999999999999997E-2</v>
      </c>
      <c r="AP20">
        <f>Logistic(I20/$B$5)</f>
        <v>9.3476303969227723E-2</v>
      </c>
      <c r="AQ20">
        <f>IF(I20&gt;$B$5,1,0)</f>
        <v>0</v>
      </c>
      <c r="AR20">
        <f>Logistic(ABS(F20-O20)/($B$6/2))</f>
        <v>2.4999947916796283E-3</v>
      </c>
      <c r="AS20">
        <f>IF(OR(F20&lt;M20,F20&gt;N20),1,0)</f>
        <v>0</v>
      </c>
      <c r="AT20">
        <f>ABS(K20)/$B$4</f>
        <v>0</v>
      </c>
      <c r="AU20">
        <f t="shared" ca="1" si="42"/>
        <v>1.5947352267195437E-2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43"/>
        <v>0</v>
      </c>
      <c r="BB20">
        <f t="shared" ca="1" si="44"/>
        <v>0</v>
      </c>
      <c r="BC20">
        <f t="shared" si="45"/>
        <v>0</v>
      </c>
      <c r="BE20">
        <f t="shared" si="7"/>
        <v>0</v>
      </c>
      <c r="BF20">
        <f t="shared" si="46"/>
        <v>0</v>
      </c>
      <c r="BG20">
        <f t="shared" si="47"/>
        <v>0</v>
      </c>
      <c r="BH20">
        <f t="shared" si="8"/>
        <v>0.12145787806755595</v>
      </c>
      <c r="BI20">
        <f t="shared" si="9"/>
        <v>0</v>
      </c>
      <c r="BJ20">
        <f t="shared" si="10"/>
        <v>0</v>
      </c>
      <c r="BK20">
        <f t="shared" si="11"/>
        <v>4.4025205299739253E-6</v>
      </c>
      <c r="BL20">
        <f t="shared" si="48"/>
        <v>0</v>
      </c>
      <c r="BM20">
        <f t="shared" si="12"/>
        <v>1.3123728736940968E-2</v>
      </c>
      <c r="BN20">
        <f t="shared" si="13"/>
        <v>0</v>
      </c>
      <c r="BO20">
        <f t="shared" si="14"/>
        <v>0</v>
      </c>
      <c r="BP20">
        <f t="shared" si="15"/>
        <v>3.7482431757070493E-2</v>
      </c>
      <c r="BQ20">
        <f t="shared" si="16"/>
        <v>0.12858433607111222</v>
      </c>
    </row>
    <row r="21" spans="1:69" x14ac:dyDescent="0.25">
      <c r="A21" s="1" t="s">
        <v>33</v>
      </c>
      <c r="B21">
        <f t="shared" ca="1" si="2"/>
        <v>4.7980769346931362</v>
      </c>
      <c r="C21" t="s">
        <v>324</v>
      </c>
      <c r="D21">
        <f t="shared" si="17"/>
        <v>50</v>
      </c>
      <c r="E21">
        <f t="shared" si="18"/>
        <v>652.72</v>
      </c>
      <c r="F21">
        <f t="shared" si="19"/>
        <v>9.99</v>
      </c>
      <c r="G21">
        <f t="shared" si="20"/>
        <v>16.440000000000001</v>
      </c>
      <c r="H21">
        <f t="shared" si="21"/>
        <v>-0.9</v>
      </c>
      <c r="I21">
        <f t="shared" si="22"/>
        <v>0</v>
      </c>
      <c r="J21">
        <f t="shared" si="23"/>
        <v>0</v>
      </c>
      <c r="K21">
        <f t="shared" si="24"/>
        <v>0</v>
      </c>
      <c r="L21">
        <f t="shared" si="3"/>
        <v>3</v>
      </c>
      <c r="M21">
        <f t="shared" si="0"/>
        <v>8</v>
      </c>
      <c r="N21">
        <f t="shared" si="1"/>
        <v>12</v>
      </c>
      <c r="O21">
        <f t="shared" si="4"/>
        <v>10</v>
      </c>
      <c r="P21">
        <f t="shared" si="5"/>
        <v>54</v>
      </c>
      <c r="Q21">
        <f t="shared" ca="1" si="25"/>
        <v>24.688322999999968</v>
      </c>
      <c r="R21">
        <f t="shared" ca="1" si="26"/>
        <v>14.863891000000001</v>
      </c>
      <c r="S21" t="e">
        <f t="shared" si="27"/>
        <v>#VALUE!</v>
      </c>
      <c r="T21">
        <f t="shared" ca="1" si="28"/>
        <v>1000000</v>
      </c>
      <c r="U21">
        <f t="shared" ca="1" si="29"/>
        <v>100</v>
      </c>
      <c r="V21">
        <f t="shared" si="30"/>
        <v>54</v>
      </c>
      <c r="W21">
        <f t="shared" ca="1" si="31"/>
        <v>20.078322999999955</v>
      </c>
      <c r="X21">
        <f t="shared" ca="1" si="32"/>
        <v>14.863891000000001</v>
      </c>
      <c r="Y21" t="e">
        <f>GetFollowingCarRow($B$45:$E$54,L21,$E$15,E21)</f>
        <v>#VALUE!</v>
      </c>
      <c r="Z21">
        <f t="shared" ca="1" si="33"/>
        <v>1000000000</v>
      </c>
      <c r="AA21">
        <f t="shared" ca="1" si="34"/>
        <v>100</v>
      </c>
      <c r="AB21">
        <f t="shared" si="35"/>
        <v>2.9999999999999361E-2</v>
      </c>
      <c r="AC21">
        <f t="shared" si="36"/>
        <v>4.6100000000000136</v>
      </c>
      <c r="AD21">
        <f t="shared" si="37"/>
        <v>14.237635574837206</v>
      </c>
      <c r="AE21">
        <f t="shared" si="38"/>
        <v>-65.635499999999709</v>
      </c>
      <c r="AF21">
        <f t="shared" si="39"/>
        <v>4.6100976128494429</v>
      </c>
      <c r="AG21">
        <f t="shared" si="40"/>
        <v>14.361482020567779</v>
      </c>
      <c r="AH21">
        <f t="shared" si="41"/>
        <v>0</v>
      </c>
      <c r="AI21">
        <f>IF(G21&lt;=0,1,0)</f>
        <v>0</v>
      </c>
      <c r="AJ21">
        <f>IF(G21&lt;0,1,0)</f>
        <v>0</v>
      </c>
      <c r="AK21">
        <f>MAX(($B$3-G21)/(G21 + 1),0) / $B$3</f>
        <v>1.2916237926830316E-2</v>
      </c>
      <c r="AL21">
        <f>IF(H21+ABS(K21)&lt;0,Logistic(SQRT(H21^2+K21^2)/$B$4),0)</f>
        <v>5.6190748816774057E-2</v>
      </c>
      <c r="AM21">
        <f>IF(G21&gt;$B$3,1,0)</f>
        <v>0</v>
      </c>
      <c r="AN21">
        <f>IF(H21&gt;$B$4,1,0)</f>
        <v>0</v>
      </c>
      <c r="AO21">
        <f>ABS(H21)/$B$4</f>
        <v>0.1125</v>
      </c>
      <c r="AP21">
        <f>Logistic(I21/$B$5)</f>
        <v>0</v>
      </c>
      <c r="AQ21">
        <f>IF(I21&gt;$B$5,1,0)</f>
        <v>0</v>
      </c>
      <c r="AR21">
        <f>Logistic(ABS(F21-O21)/($B$6/2))</f>
        <v>2.4999947916796283E-3</v>
      </c>
      <c r="AS21">
        <f>IF(OR(F21&lt;M21,F21&gt;N21),1,0)</f>
        <v>0</v>
      </c>
      <c r="AT21">
        <f>ABS(K21)/$B$4</f>
        <v>0</v>
      </c>
      <c r="AU21">
        <f t="shared" ca="1" si="42"/>
        <v>1.569017452985557E-2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3"/>
        <v>0</v>
      </c>
      <c r="BB21">
        <f t="shared" ca="1" si="44"/>
        <v>0</v>
      </c>
      <c r="BC21">
        <f t="shared" si="45"/>
        <v>0</v>
      </c>
      <c r="BE21">
        <f t="shared" si="7"/>
        <v>0</v>
      </c>
      <c r="BF21">
        <f t="shared" si="46"/>
        <v>0</v>
      </c>
      <c r="BG21">
        <f t="shared" si="47"/>
        <v>0</v>
      </c>
      <c r="BH21">
        <f t="shared" si="8"/>
        <v>0.13618978761563111</v>
      </c>
      <c r="BI21">
        <f t="shared" si="9"/>
        <v>0</v>
      </c>
      <c r="BJ21">
        <f t="shared" si="10"/>
        <v>0</v>
      </c>
      <c r="BK21">
        <f t="shared" si="11"/>
        <v>3.7488588353131353E-4</v>
      </c>
      <c r="BL21">
        <f t="shared" si="48"/>
        <v>0</v>
      </c>
      <c r="BM21">
        <f t="shared" si="12"/>
        <v>0</v>
      </c>
      <c r="BN21">
        <f t="shared" si="13"/>
        <v>0</v>
      </c>
      <c r="BO21">
        <f t="shared" si="14"/>
        <v>0</v>
      </c>
      <c r="BP21">
        <f t="shared" si="15"/>
        <v>5.6190748816774057E-2</v>
      </c>
      <c r="BQ21">
        <f t="shared" si="16"/>
        <v>0.14436155543954896</v>
      </c>
    </row>
    <row r="22" spans="1:69" x14ac:dyDescent="0.25">
      <c r="A22" s="1" t="s">
        <v>11</v>
      </c>
      <c r="B22">
        <f t="shared" ca="1" si="2"/>
        <v>4.5939199102873616</v>
      </c>
      <c r="C22" t="s">
        <v>323</v>
      </c>
      <c r="D22">
        <f t="shared" si="17"/>
        <v>50</v>
      </c>
      <c r="E22">
        <f t="shared" si="18"/>
        <v>652.79</v>
      </c>
      <c r="F22">
        <f t="shared" si="19"/>
        <v>9.99</v>
      </c>
      <c r="G22">
        <f t="shared" si="20"/>
        <v>16.7</v>
      </c>
      <c r="H22">
        <f t="shared" si="21"/>
        <v>0</v>
      </c>
      <c r="I22">
        <f t="shared" si="22"/>
        <v>0.9</v>
      </c>
      <c r="J22">
        <f t="shared" si="23"/>
        <v>0</v>
      </c>
      <c r="K22">
        <f t="shared" si="24"/>
        <v>0</v>
      </c>
      <c r="L22">
        <f t="shared" si="3"/>
        <v>3</v>
      </c>
      <c r="M22">
        <f t="shared" si="0"/>
        <v>8</v>
      </c>
      <c r="N22">
        <f t="shared" si="1"/>
        <v>12</v>
      </c>
      <c r="O22">
        <f t="shared" si="4"/>
        <v>10</v>
      </c>
      <c r="P22">
        <f t="shared" si="5"/>
        <v>54</v>
      </c>
      <c r="Q22">
        <f t="shared" ca="1" si="25"/>
        <v>24.688322999999968</v>
      </c>
      <c r="R22">
        <f t="shared" ca="1" si="26"/>
        <v>14.863891000000001</v>
      </c>
      <c r="S22" t="e">
        <f t="shared" si="27"/>
        <v>#VALUE!</v>
      </c>
      <c r="T22">
        <f t="shared" ca="1" si="28"/>
        <v>1000000</v>
      </c>
      <c r="U22">
        <f t="shared" ca="1" si="29"/>
        <v>100</v>
      </c>
      <c r="V22">
        <f t="shared" si="30"/>
        <v>54</v>
      </c>
      <c r="W22">
        <f t="shared" ca="1" si="31"/>
        <v>20.008323000000019</v>
      </c>
      <c r="X22">
        <f t="shared" ca="1" si="32"/>
        <v>14.863891000000001</v>
      </c>
      <c r="Y22" t="e">
        <f>GetFollowingCarRow($B$45:$E$54,L22,$E$15,E22)</f>
        <v>#VALUE!</v>
      </c>
      <c r="Z22">
        <f t="shared" ca="1" si="33"/>
        <v>1000000000</v>
      </c>
      <c r="AA22">
        <f t="shared" ca="1" si="34"/>
        <v>100</v>
      </c>
      <c r="AB22">
        <f t="shared" si="35"/>
        <v>2.9999999999999361E-2</v>
      </c>
      <c r="AC22">
        <f t="shared" si="36"/>
        <v>4.67999999999995</v>
      </c>
      <c r="AD22">
        <f t="shared" si="37"/>
        <v>14.174551282051237</v>
      </c>
      <c r="AE22">
        <f t="shared" si="38"/>
        <v>-66.336899999999076</v>
      </c>
      <c r="AF22">
        <f t="shared" si="39"/>
        <v>4.6800961528583507</v>
      </c>
      <c r="AG22">
        <f t="shared" si="40"/>
        <v>14.296005044498088</v>
      </c>
      <c r="AH22">
        <f t="shared" si="41"/>
        <v>0</v>
      </c>
      <c r="AI22">
        <f>IF(G22&lt;=0,1,0)</f>
        <v>0</v>
      </c>
      <c r="AJ22">
        <f>IF(G22&lt;0,1,0)</f>
        <v>0</v>
      </c>
      <c r="AK22">
        <f>MAX(($B$3-G22)/(G22 + 1),0) / $B$3</f>
        <v>1.2034271047993312E-2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5.6190748816774057E-2</v>
      </c>
      <c r="AQ22">
        <f>IF(I22&gt;$B$5,1,0)</f>
        <v>0</v>
      </c>
      <c r="AR22">
        <f>Logistic(ABS(F22-O22)/($B$6/2))</f>
        <v>2.4999947916796283E-3</v>
      </c>
      <c r="AS22">
        <f>IF(OR(F22&lt;M22,F22&gt;N22),1,0)</f>
        <v>0</v>
      </c>
      <c r="AT22">
        <f>ABS(K22)/$B$4</f>
        <v>0</v>
      </c>
      <c r="AU22">
        <f t="shared" ca="1" si="42"/>
        <v>1.5853521482890334E-2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3"/>
        <v>0</v>
      </c>
      <c r="BB22">
        <f t="shared" ca="1" si="44"/>
        <v>0</v>
      </c>
      <c r="BC22">
        <f t="shared" si="45"/>
        <v>0</v>
      </c>
      <c r="BE22">
        <f t="shared" si="7"/>
        <v>0</v>
      </c>
      <c r="BF22">
        <f t="shared" si="46"/>
        <v>0</v>
      </c>
      <c r="BG22">
        <f t="shared" si="47"/>
        <v>0</v>
      </c>
      <c r="BH22">
        <f t="shared" si="8"/>
        <v>0.12699423128368373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8"/>
        <v>0</v>
      </c>
      <c r="BM22">
        <f t="shared" si="12"/>
        <v>3.7488588353131353E-4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0.13450920688042717</v>
      </c>
    </row>
    <row r="23" spans="1:69" x14ac:dyDescent="0.25">
      <c r="A23" s="1" t="s">
        <v>34</v>
      </c>
      <c r="B23">
        <f t="shared" si="2"/>
        <v>1000000</v>
      </c>
      <c r="D23" t="e">
        <f t="shared" si="17"/>
        <v>#VALUE!</v>
      </c>
      <c r="E23" t="e">
        <f t="shared" si="18"/>
        <v>#VALUE!</v>
      </c>
      <c r="F23" t="e">
        <f t="shared" si="19"/>
        <v>#VALUE!</v>
      </c>
      <c r="G23" t="e">
        <f t="shared" si="20"/>
        <v>#VALUE!</v>
      </c>
      <c r="H23" t="e">
        <f t="shared" si="21"/>
        <v>#VALUE!</v>
      </c>
      <c r="I23" t="e">
        <f t="shared" si="22"/>
        <v>#VALUE!</v>
      </c>
      <c r="J23" t="e">
        <f t="shared" si="23"/>
        <v>#VALUE!</v>
      </c>
      <c r="K23" t="e">
        <f t="shared" si="24"/>
        <v>#VALUE!</v>
      </c>
      <c r="L23" t="e">
        <f t="shared" si="3"/>
        <v>#VALUE!</v>
      </c>
      <c r="M23" t="e">
        <f t="shared" si="0"/>
        <v>#VALUE!</v>
      </c>
      <c r="N23" t="e">
        <f t="shared" si="1"/>
        <v>#VALUE!</v>
      </c>
      <c r="O23" t="e">
        <f t="shared" si="4"/>
        <v>#VALUE!</v>
      </c>
      <c r="P23" t="e">
        <f t="shared" si="5"/>
        <v>#VALUE!</v>
      </c>
      <c r="Q23">
        <f t="shared" ca="1" si="25"/>
        <v>1000000</v>
      </c>
      <c r="R23">
        <f t="shared" ca="1" si="26"/>
        <v>100</v>
      </c>
      <c r="S23" t="e">
        <f t="shared" si="27"/>
        <v>#VALUE!</v>
      </c>
      <c r="T23">
        <f t="shared" ca="1" si="28"/>
        <v>1000000</v>
      </c>
      <c r="U23">
        <f t="shared" ca="1" si="29"/>
        <v>100</v>
      </c>
      <c r="V23" t="e">
        <f t="shared" si="30"/>
        <v>#VALUE!</v>
      </c>
      <c r="W23">
        <f t="shared" ca="1" si="31"/>
        <v>1000000000</v>
      </c>
      <c r="X23">
        <f t="shared" ca="1" si="32"/>
        <v>100</v>
      </c>
      <c r="Y23" t="e">
        <f>GetFollowingCarRow($B$45:$E$54,L23,$E$15,E23)</f>
        <v>#VALUE!</v>
      </c>
      <c r="Z23">
        <f t="shared" ca="1" si="33"/>
        <v>1000000000</v>
      </c>
      <c r="AA23">
        <f t="shared" ca="1" si="34"/>
        <v>100</v>
      </c>
      <c r="AB23" t="e">
        <f t="shared" si="35"/>
        <v>#VALUE!</v>
      </c>
      <c r="AC23" t="e">
        <f t="shared" si="36"/>
        <v>#VALUE!</v>
      </c>
      <c r="AD23" t="e">
        <f t="shared" si="37"/>
        <v>#VALUE!</v>
      </c>
      <c r="AE23" t="e">
        <f t="shared" si="38"/>
        <v>#VALUE!</v>
      </c>
      <c r="AF23" t="e">
        <f t="shared" si="39"/>
        <v>#VALUE!</v>
      </c>
      <c r="AG23" t="e">
        <f t="shared" si="40"/>
        <v>#VALUE!</v>
      </c>
      <c r="AH23" t="e">
        <f t="shared" si="41"/>
        <v>#VALUE!</v>
      </c>
      <c r="AI23" t="e">
        <f>IF(G23&lt;=0,1,0)</f>
        <v>#VALUE!</v>
      </c>
      <c r="AJ23" t="e">
        <f>IF(G23&lt;0,1,0)</f>
        <v>#VALUE!</v>
      </c>
      <c r="AK23" t="e">
        <f>MAX(($B$3-G23)/(G23 + 1),0) / $B$3</f>
        <v>#VALUE!</v>
      </c>
      <c r="AL23" t="e">
        <f>IF(H23+ABS(K23)&lt;0,Logistic(SQRT(H23^2+K23^2)/$B$4),0)</f>
        <v>#VALUE!</v>
      </c>
      <c r="AM23" t="e">
        <f>IF(G23&gt;$B$3,1,0)</f>
        <v>#VALUE!</v>
      </c>
      <c r="AN23" t="e">
        <f>IF(H23&gt;$B$4,1,0)</f>
        <v>#VALUE!</v>
      </c>
      <c r="AO23" t="e">
        <f>ABS(H23)/$B$4</f>
        <v>#VALUE!</v>
      </c>
      <c r="AP23" t="e">
        <f>Logistic(I23/$B$5)</f>
        <v>#VALUE!</v>
      </c>
      <c r="AQ23" t="e">
        <f>IF(I23&gt;$B$5,1,0)</f>
        <v>#VALUE!</v>
      </c>
      <c r="AR23" t="e">
        <f>Logistic(ABS(F23-O23)/($B$6/2))</f>
        <v>#VALUE!</v>
      </c>
      <c r="AS23" t="e">
        <f>IF(OR(F23&lt;M23,F23&gt;N23),1,0)</f>
        <v>#VALUE!</v>
      </c>
      <c r="AT23" t="e">
        <f>ABS(K23)/$B$4</f>
        <v>#VALUE!</v>
      </c>
      <c r="AU23">
        <f t="shared" ca="1" si="42"/>
        <v>0</v>
      </c>
      <c r="AV23" t="e">
        <f ca="1">IF(AND(L23&lt;&gt;$L$15,$Q$15&gt;Safety_Distance),1,0)</f>
        <v>#VALUE!</v>
      </c>
      <c r="AW23" t="e">
        <f ca="1">MAX(1-(IF(Q23/(G23-R23)&gt;0,Q23/(G23-R23),Collision_Time_Buffer)/Collision_Time_Buffer),0)*IF($L$15&lt;&gt;L23,Lane_Change_Multiplier,1)</f>
        <v>#VALUE!</v>
      </c>
      <c r="AX23" t="e">
        <f ca="1">MAX(1-(IF(T23/(G23-U23)&gt;0,T23/(G23-U23),Collision_Time_Buffer)/Collision_Time_Buffer),0)*IF($L$15&lt;&gt;L23,Lane_Change_Multiplier,1)</f>
        <v>#VALUE!</v>
      </c>
      <c r="AY23" t="e">
        <f ca="1">MAX(1-(IF(W23/(G23-X23)&gt;0,W23/(G23-X23),Collision_Time_Buffer)/Collision_Time_Buffer),0)*IF($L$15&lt;&gt;L23,Lane_Change_Multiplier,1)</f>
        <v>#VALUE!</v>
      </c>
      <c r="AZ23" t="e">
        <f ca="1">MAX(1-(IF(Z23/(G23-AA23)&gt;0,Z23/(G23-AA23),Collision_Time_Buffer)/Collision_Time_Buffer),0)*IF($L$15&lt;&gt;L23,Lane_Change_Multiplier,1)</f>
        <v>#VALUE!</v>
      </c>
      <c r="BA23">
        <f t="shared" ca="1" si="43"/>
        <v>0</v>
      </c>
      <c r="BB23">
        <f t="shared" ca="1" si="44"/>
        <v>0</v>
      </c>
      <c r="BC23">
        <f t="shared" si="45"/>
        <v>0</v>
      </c>
      <c r="BE23" t="e">
        <f t="shared" si="7"/>
        <v>#VALUE!</v>
      </c>
      <c r="BF23" t="e">
        <f t="shared" si="46"/>
        <v>#VALUE!</v>
      </c>
      <c r="BG23" t="e">
        <f t="shared" si="47"/>
        <v>#VALUE!</v>
      </c>
      <c r="BH23" t="e">
        <f t="shared" si="8"/>
        <v>#VALUE!</v>
      </c>
      <c r="BI23" t="e">
        <f t="shared" si="9"/>
        <v>#VALUE!</v>
      </c>
      <c r="BJ23" t="e">
        <f t="shared" si="10"/>
        <v>#VALUE!</v>
      </c>
      <c r="BK23" t="e">
        <f t="shared" si="11"/>
        <v>#VALUE!</v>
      </c>
      <c r="BL23" t="e">
        <f t="shared" si="48"/>
        <v>#VALUE!</v>
      </c>
      <c r="BM23" t="e">
        <f t="shared" si="12"/>
        <v>#VALUE!</v>
      </c>
      <c r="BN23" t="e">
        <f t="shared" si="13"/>
        <v>#VALUE!</v>
      </c>
      <c r="BO23" t="e">
        <f t="shared" si="14"/>
        <v>#VALUE!</v>
      </c>
      <c r="BP23" t="e">
        <f t="shared" si="15"/>
        <v>#VALUE!</v>
      </c>
      <c r="BQ23" t="e">
        <f t="shared" si="16"/>
        <v>#VALUE!</v>
      </c>
    </row>
    <row r="24" spans="1:69" x14ac:dyDescent="0.25">
      <c r="A24" s="1" t="s">
        <v>35</v>
      </c>
      <c r="B24">
        <f t="shared" si="2"/>
        <v>1000000</v>
      </c>
      <c r="D24" t="e">
        <f t="shared" si="17"/>
        <v>#VALUE!</v>
      </c>
      <c r="E24" t="e">
        <f t="shared" si="18"/>
        <v>#VALUE!</v>
      </c>
      <c r="F24" t="e">
        <f t="shared" si="19"/>
        <v>#VALUE!</v>
      </c>
      <c r="G24" t="e">
        <f t="shared" si="20"/>
        <v>#VALUE!</v>
      </c>
      <c r="H24" t="e">
        <f t="shared" si="21"/>
        <v>#VALUE!</v>
      </c>
      <c r="I24" t="e">
        <f t="shared" si="22"/>
        <v>#VALUE!</v>
      </c>
      <c r="J24" t="e">
        <f t="shared" si="23"/>
        <v>#VALUE!</v>
      </c>
      <c r="K24" t="e">
        <f t="shared" si="24"/>
        <v>#VALUE!</v>
      </c>
      <c r="L24" t="e">
        <f t="shared" si="3"/>
        <v>#VALUE!</v>
      </c>
      <c r="M24" t="e">
        <f t="shared" si="0"/>
        <v>#VALUE!</v>
      </c>
      <c r="N24" t="e">
        <f t="shared" si="1"/>
        <v>#VALUE!</v>
      </c>
      <c r="O24" t="e">
        <f t="shared" si="4"/>
        <v>#VALUE!</v>
      </c>
      <c r="P24" t="e">
        <f t="shared" si="5"/>
        <v>#VALUE!</v>
      </c>
      <c r="Q24">
        <f t="shared" ca="1" si="25"/>
        <v>1000000</v>
      </c>
      <c r="R24">
        <f t="shared" ca="1" si="26"/>
        <v>100</v>
      </c>
      <c r="S24" t="e">
        <f t="shared" si="27"/>
        <v>#VALUE!</v>
      </c>
      <c r="T24">
        <f t="shared" ca="1" si="28"/>
        <v>1000000</v>
      </c>
      <c r="U24">
        <f t="shared" ca="1" si="29"/>
        <v>100</v>
      </c>
      <c r="V24" t="e">
        <f t="shared" si="30"/>
        <v>#VALUE!</v>
      </c>
      <c r="W24">
        <f t="shared" ca="1" si="31"/>
        <v>1000000000</v>
      </c>
      <c r="X24">
        <f t="shared" ca="1" si="32"/>
        <v>100</v>
      </c>
      <c r="Y24" t="e">
        <f>GetFollowingCarRow($B$45:$E$54,L24,$E$15,E24)</f>
        <v>#VALUE!</v>
      </c>
      <c r="Z24">
        <f t="shared" ca="1" si="33"/>
        <v>1000000000</v>
      </c>
      <c r="AA24">
        <f t="shared" ca="1" si="34"/>
        <v>100</v>
      </c>
      <c r="AB24" t="e">
        <f t="shared" si="35"/>
        <v>#VALUE!</v>
      </c>
      <c r="AC24" t="e">
        <f t="shared" si="36"/>
        <v>#VALUE!</v>
      </c>
      <c r="AD24" t="e">
        <f t="shared" si="37"/>
        <v>#VALUE!</v>
      </c>
      <c r="AE24" t="e">
        <f t="shared" si="38"/>
        <v>#VALUE!</v>
      </c>
      <c r="AF24" t="e">
        <f t="shared" si="39"/>
        <v>#VALUE!</v>
      </c>
      <c r="AG24" t="e">
        <f t="shared" si="40"/>
        <v>#VALUE!</v>
      </c>
      <c r="AH24" t="e">
        <f t="shared" si="41"/>
        <v>#VALUE!</v>
      </c>
      <c r="AI24" t="e">
        <f>IF(G24&lt;=0,1,0)</f>
        <v>#VALUE!</v>
      </c>
      <c r="AJ24" t="e">
        <f>IF(G24&lt;0,1,0)</f>
        <v>#VALUE!</v>
      </c>
      <c r="AK24" t="e">
        <f>MAX(($B$3-G24)/(G24 + 1),0) / $B$3</f>
        <v>#VALUE!</v>
      </c>
      <c r="AL24" t="e">
        <f>IF(H24+ABS(K24)&lt;0,Logistic(SQRT(H24^2+K24^2)/$B$4),0)</f>
        <v>#VALUE!</v>
      </c>
      <c r="AM24" t="e">
        <f>IF(G24&gt;$B$3,1,0)</f>
        <v>#VALUE!</v>
      </c>
      <c r="AN24" t="e">
        <f>IF(H24&gt;$B$4,1,0)</f>
        <v>#VALUE!</v>
      </c>
      <c r="AO24" t="e">
        <f>ABS(H24)/$B$4</f>
        <v>#VALUE!</v>
      </c>
      <c r="AP24" t="e">
        <f>Logistic(I24/$B$5)</f>
        <v>#VALUE!</v>
      </c>
      <c r="AQ24" t="e">
        <f>IF(I24&gt;$B$5,1,0)</f>
        <v>#VALUE!</v>
      </c>
      <c r="AR24" t="e">
        <f>Logistic(ABS(F24-O24)/($B$6/2))</f>
        <v>#VALUE!</v>
      </c>
      <c r="AS24" t="e">
        <f>IF(OR(F24&lt;M24,F24&gt;N24),1,0)</f>
        <v>#VALUE!</v>
      </c>
      <c r="AT24" t="e">
        <f>ABS(K24)/$B$4</f>
        <v>#VALUE!</v>
      </c>
      <c r="AU24">
        <f t="shared" ca="1" si="42"/>
        <v>0</v>
      </c>
      <c r="AV24" t="e">
        <f ca="1">IF(AND(L24&lt;&gt;$L$15,$Q$15&gt;Safety_Distance),1,0)</f>
        <v>#VALUE!</v>
      </c>
      <c r="AW24" t="e">
        <f ca="1">MAX(1-(IF(Q24/(G24-R24)&gt;0,Q24/(G24-R24),Collision_Time_Buffer)/Collision_Time_Buffer),0)*IF($L$15&lt;&gt;L24,Lane_Change_Multiplier,1)</f>
        <v>#VALUE!</v>
      </c>
      <c r="AX24" t="e">
        <f ca="1">MAX(1-(IF(T24/(G24-U24)&gt;0,T24/(G24-U24),Collision_Time_Buffer)/Collision_Time_Buffer),0)*IF($L$15&lt;&gt;L24,Lane_Change_Multiplier,1)</f>
        <v>#VALUE!</v>
      </c>
      <c r="AY24" t="e">
        <f ca="1">MAX(1-(IF(W24/(G24-X24)&gt;0,W24/(G24-X24),Collision_Time_Buffer)/Collision_Time_Buffer),0)*IF($L$15&lt;&gt;L24,Lane_Change_Multiplier,1)</f>
        <v>#VALUE!</v>
      </c>
      <c r="AZ24" t="e">
        <f ca="1">MAX(1-(IF(Z24/(G24-AA24)&gt;0,Z24/(G24-AA24),Collision_Time_Buffer)/Collision_Time_Buffer),0)*IF($L$15&lt;&gt;L24,Lane_Change_Multiplier,1)</f>
        <v>#VALUE!</v>
      </c>
      <c r="BA24">
        <f t="shared" ca="1" si="43"/>
        <v>0</v>
      </c>
      <c r="BB24">
        <f t="shared" ca="1" si="44"/>
        <v>0</v>
      </c>
      <c r="BC24">
        <f t="shared" si="45"/>
        <v>0</v>
      </c>
      <c r="BE24" t="e">
        <f t="shared" si="7"/>
        <v>#VALUE!</v>
      </c>
      <c r="BF24" t="e">
        <f t="shared" si="46"/>
        <v>#VALUE!</v>
      </c>
      <c r="BG24" t="e">
        <f t="shared" si="47"/>
        <v>#VALUE!</v>
      </c>
      <c r="BH24" t="e">
        <f t="shared" si="8"/>
        <v>#VALUE!</v>
      </c>
      <c r="BI24" t="e">
        <f t="shared" si="9"/>
        <v>#VALUE!</v>
      </c>
      <c r="BJ24" t="e">
        <f t="shared" si="10"/>
        <v>#VALUE!</v>
      </c>
      <c r="BK24" t="e">
        <f t="shared" si="11"/>
        <v>#VALUE!</v>
      </c>
      <c r="BL24" t="e">
        <f t="shared" si="48"/>
        <v>#VALUE!</v>
      </c>
      <c r="BM24" t="e">
        <f t="shared" si="12"/>
        <v>#VALUE!</v>
      </c>
      <c r="BN24" t="e">
        <f t="shared" si="13"/>
        <v>#VALUE!</v>
      </c>
      <c r="BO24" t="e">
        <f t="shared" si="14"/>
        <v>#VALUE!</v>
      </c>
      <c r="BP24" t="e">
        <f t="shared" si="15"/>
        <v>#VALUE!</v>
      </c>
      <c r="BQ24" t="e">
        <f t="shared" si="16"/>
        <v>#VALUE!</v>
      </c>
    </row>
    <row r="25" spans="1:69" x14ac:dyDescent="0.25">
      <c r="A25" s="1" t="s">
        <v>36</v>
      </c>
      <c r="B25">
        <f t="shared" si="2"/>
        <v>1000000</v>
      </c>
      <c r="D25" t="e">
        <f t="shared" si="17"/>
        <v>#VALUE!</v>
      </c>
      <c r="E25" t="e">
        <f t="shared" si="18"/>
        <v>#VALUE!</v>
      </c>
      <c r="F25" t="e">
        <f t="shared" si="19"/>
        <v>#VALUE!</v>
      </c>
      <c r="G25" t="e">
        <f t="shared" si="20"/>
        <v>#VALUE!</v>
      </c>
      <c r="H25" t="e">
        <f t="shared" si="21"/>
        <v>#VALUE!</v>
      </c>
      <c r="I25" t="e">
        <f t="shared" si="22"/>
        <v>#VALUE!</v>
      </c>
      <c r="J25" t="e">
        <f t="shared" si="23"/>
        <v>#VALUE!</v>
      </c>
      <c r="K25" t="e">
        <f t="shared" si="24"/>
        <v>#VALUE!</v>
      </c>
      <c r="L25" t="e">
        <f t="shared" si="3"/>
        <v>#VALUE!</v>
      </c>
      <c r="M25" t="e">
        <f t="shared" si="0"/>
        <v>#VALUE!</v>
      </c>
      <c r="N25" t="e">
        <f t="shared" si="1"/>
        <v>#VALUE!</v>
      </c>
      <c r="O25" t="e">
        <f t="shared" si="4"/>
        <v>#VALUE!</v>
      </c>
      <c r="P25" t="e">
        <f t="shared" si="5"/>
        <v>#VALUE!</v>
      </c>
      <c r="Q25">
        <f t="shared" ca="1" si="25"/>
        <v>1000000</v>
      </c>
      <c r="R25">
        <f t="shared" ca="1" si="26"/>
        <v>100</v>
      </c>
      <c r="S25" t="e">
        <f t="shared" si="27"/>
        <v>#VALUE!</v>
      </c>
      <c r="T25">
        <f t="shared" ca="1" si="28"/>
        <v>1000000</v>
      </c>
      <c r="U25">
        <f t="shared" ca="1" si="29"/>
        <v>100</v>
      </c>
      <c r="V25" t="e">
        <f t="shared" si="30"/>
        <v>#VALUE!</v>
      </c>
      <c r="W25">
        <f t="shared" ca="1" si="31"/>
        <v>1000000000</v>
      </c>
      <c r="X25">
        <f t="shared" ca="1" si="32"/>
        <v>100</v>
      </c>
      <c r="Y25" t="e">
        <f>GetFollowingCarRow($B$45:$E$54,L25,$E$15,E25)</f>
        <v>#VALUE!</v>
      </c>
      <c r="Z25">
        <f t="shared" ca="1" si="33"/>
        <v>1000000000</v>
      </c>
      <c r="AA25">
        <f t="shared" ca="1" si="34"/>
        <v>100</v>
      </c>
      <c r="AB25" t="e">
        <f t="shared" si="35"/>
        <v>#VALUE!</v>
      </c>
      <c r="AC25" t="e">
        <f t="shared" si="36"/>
        <v>#VALUE!</v>
      </c>
      <c r="AD25" t="e">
        <f t="shared" si="37"/>
        <v>#VALUE!</v>
      </c>
      <c r="AE25" t="e">
        <f t="shared" si="38"/>
        <v>#VALUE!</v>
      </c>
      <c r="AF25" t="e">
        <f t="shared" si="39"/>
        <v>#VALUE!</v>
      </c>
      <c r="AG25" t="e">
        <f t="shared" si="40"/>
        <v>#VALUE!</v>
      </c>
      <c r="AH25" t="e">
        <f t="shared" si="41"/>
        <v>#VALUE!</v>
      </c>
      <c r="AI25" t="e">
        <f>IF(G25&lt;=0,1,0)</f>
        <v>#VALUE!</v>
      </c>
      <c r="AJ25" t="e">
        <f>IF(G25&lt;0,1,0)</f>
        <v>#VALUE!</v>
      </c>
      <c r="AK25" t="e">
        <f>MAX(($B$3-G25)/(G25 + 1),0) / $B$3</f>
        <v>#VALUE!</v>
      </c>
      <c r="AL25" t="e">
        <f>IF(H25+ABS(K25)&lt;0,Logistic(SQRT(H25^2+K25^2)/$B$4),0)</f>
        <v>#VALUE!</v>
      </c>
      <c r="AM25" t="e">
        <f>IF(G25&gt;$B$3,1,0)</f>
        <v>#VALUE!</v>
      </c>
      <c r="AN25" t="e">
        <f>IF(H25&gt;$B$4,1,0)</f>
        <v>#VALUE!</v>
      </c>
      <c r="AO25" t="e">
        <f>ABS(H25)/$B$4</f>
        <v>#VALUE!</v>
      </c>
      <c r="AP25" t="e">
        <f>Logistic(I25/$B$5)</f>
        <v>#VALUE!</v>
      </c>
      <c r="AQ25" t="e">
        <f>IF(I25&gt;$B$5,1,0)</f>
        <v>#VALUE!</v>
      </c>
      <c r="AR25" t="e">
        <f>Logistic(ABS(F25-O25)/($B$6/2))</f>
        <v>#VALUE!</v>
      </c>
      <c r="AS25" t="e">
        <f>IF(OR(F25&lt;M25,F25&gt;N25),1,0)</f>
        <v>#VALUE!</v>
      </c>
      <c r="AT25" t="e">
        <f>ABS(K25)/$B$4</f>
        <v>#VALUE!</v>
      </c>
      <c r="AU25">
        <f t="shared" ca="1" si="42"/>
        <v>0</v>
      </c>
      <c r="AV25" t="e">
        <f ca="1">IF(AND(L25&lt;&gt;$L$15,$Q$15&gt;Safety_Distance),1,0)</f>
        <v>#VALUE!</v>
      </c>
      <c r="AW25" t="e">
        <f ca="1">MAX(1-(IF(Q25/(G25-R25)&gt;0,Q25/(G25-R25),Collision_Time_Buffer)/Collision_Time_Buffer),0)*IF($L$15&lt;&gt;L25,Lane_Change_Multiplier,1)</f>
        <v>#VALUE!</v>
      </c>
      <c r="AX25" t="e">
        <f ca="1">MAX(1-(IF(T25/(G25-U25)&gt;0,T25/(G25-U25),Collision_Time_Buffer)/Collision_Time_Buffer),0)*IF($L$15&lt;&gt;L25,Lane_Change_Multiplier,1)</f>
        <v>#VALUE!</v>
      </c>
      <c r="AY25" t="e">
        <f ca="1">MAX(1-(IF(W25/(G25-X25)&gt;0,W25/(G25-X25),Collision_Time_Buffer)/Collision_Time_Buffer),0)*IF($L$15&lt;&gt;L25,Lane_Change_Multiplier,1)</f>
        <v>#VALUE!</v>
      </c>
      <c r="AZ25" t="e">
        <f ca="1">MAX(1-(IF(Z25/(G25-AA25)&gt;0,Z25/(G25-AA25),Collision_Time_Buffer)/Collision_Time_Buffer),0)*IF($L$15&lt;&gt;L25,Lane_Change_Multiplier,1)</f>
        <v>#VALUE!</v>
      </c>
      <c r="BA25">
        <f t="shared" ca="1" si="43"/>
        <v>0</v>
      </c>
      <c r="BB25">
        <f t="shared" ca="1" si="44"/>
        <v>0</v>
      </c>
      <c r="BC25">
        <f t="shared" si="45"/>
        <v>0</v>
      </c>
      <c r="BE25" t="e">
        <f t="shared" si="7"/>
        <v>#VALUE!</v>
      </c>
      <c r="BF25" t="e">
        <f t="shared" si="46"/>
        <v>#VALUE!</v>
      </c>
      <c r="BG25" t="e">
        <f t="shared" si="47"/>
        <v>#VALUE!</v>
      </c>
      <c r="BH25" t="e">
        <f t="shared" si="8"/>
        <v>#VALUE!</v>
      </c>
      <c r="BI25" t="e">
        <f t="shared" si="9"/>
        <v>#VALUE!</v>
      </c>
      <c r="BJ25" t="e">
        <f t="shared" si="10"/>
        <v>#VALUE!</v>
      </c>
      <c r="BK25" t="e">
        <f t="shared" si="11"/>
        <v>#VALUE!</v>
      </c>
      <c r="BL25" t="e">
        <f t="shared" si="48"/>
        <v>#VALUE!</v>
      </c>
      <c r="BM25" t="e">
        <f t="shared" si="12"/>
        <v>#VALUE!</v>
      </c>
      <c r="BN25" t="e">
        <f t="shared" si="13"/>
        <v>#VALUE!</v>
      </c>
      <c r="BO25" t="e">
        <f t="shared" si="14"/>
        <v>#VALUE!</v>
      </c>
      <c r="BP25" t="e">
        <f t="shared" si="15"/>
        <v>#VALUE!</v>
      </c>
      <c r="BQ25" t="e">
        <f t="shared" si="16"/>
        <v>#VALUE!</v>
      </c>
    </row>
    <row r="26" spans="1:69" x14ac:dyDescent="0.25">
      <c r="A26" s="1" t="s">
        <v>79</v>
      </c>
      <c r="B26">
        <f t="shared" si="2"/>
        <v>1000000</v>
      </c>
      <c r="D26" t="e">
        <f t="shared" si="17"/>
        <v>#VALUE!</v>
      </c>
      <c r="E26" t="e">
        <f t="shared" si="18"/>
        <v>#VALUE!</v>
      </c>
      <c r="F26" t="e">
        <f t="shared" si="19"/>
        <v>#VALUE!</v>
      </c>
      <c r="G26" t="e">
        <f t="shared" si="20"/>
        <v>#VALUE!</v>
      </c>
      <c r="H26" t="e">
        <f t="shared" si="21"/>
        <v>#VALUE!</v>
      </c>
      <c r="I26" t="e">
        <f t="shared" si="22"/>
        <v>#VALUE!</v>
      </c>
      <c r="J26" t="e">
        <f t="shared" si="23"/>
        <v>#VALUE!</v>
      </c>
      <c r="K26" t="e">
        <f t="shared" si="24"/>
        <v>#VALUE!</v>
      </c>
      <c r="L26" t="e">
        <f t="shared" si="3"/>
        <v>#VALUE!</v>
      </c>
      <c r="M26" t="e">
        <f t="shared" si="0"/>
        <v>#VALUE!</v>
      </c>
      <c r="N26" t="e">
        <f t="shared" si="1"/>
        <v>#VALUE!</v>
      </c>
      <c r="O26" t="e">
        <f t="shared" si="4"/>
        <v>#VALUE!</v>
      </c>
      <c r="P26" t="e">
        <f t="shared" si="5"/>
        <v>#VALUE!</v>
      </c>
      <c r="Q26">
        <f t="shared" ca="1" si="25"/>
        <v>1000000</v>
      </c>
      <c r="R26">
        <f t="shared" ca="1" si="26"/>
        <v>100</v>
      </c>
      <c r="S26" t="e">
        <f t="shared" si="27"/>
        <v>#VALUE!</v>
      </c>
      <c r="T26">
        <f t="shared" ca="1" si="28"/>
        <v>1000000</v>
      </c>
      <c r="U26">
        <f t="shared" ca="1" si="29"/>
        <v>100</v>
      </c>
      <c r="V26" t="e">
        <f t="shared" si="30"/>
        <v>#VALUE!</v>
      </c>
      <c r="W26">
        <f t="shared" ca="1" si="31"/>
        <v>1000000000</v>
      </c>
      <c r="X26">
        <f t="shared" ca="1" si="32"/>
        <v>100</v>
      </c>
      <c r="Y26" t="e">
        <f>GetFollowingCarRow($B$45:$E$54,L26,$E$15,E26)</f>
        <v>#VALUE!</v>
      </c>
      <c r="Z26">
        <f t="shared" ca="1" si="33"/>
        <v>1000000000</v>
      </c>
      <c r="AA26">
        <f t="shared" ca="1" si="34"/>
        <v>100</v>
      </c>
      <c r="AB26" t="e">
        <f t="shared" si="35"/>
        <v>#VALUE!</v>
      </c>
      <c r="AC26" t="e">
        <f t="shared" si="36"/>
        <v>#VALUE!</v>
      </c>
      <c r="AD26" t="e">
        <f t="shared" si="37"/>
        <v>#VALUE!</v>
      </c>
      <c r="AE26" t="e">
        <f t="shared" si="38"/>
        <v>#VALUE!</v>
      </c>
      <c r="AF26" t="e">
        <f t="shared" si="39"/>
        <v>#VALUE!</v>
      </c>
      <c r="AG26" t="e">
        <f t="shared" si="40"/>
        <v>#VALUE!</v>
      </c>
      <c r="AH26" t="e">
        <f t="shared" si="41"/>
        <v>#VALUE!</v>
      </c>
      <c r="AI26" t="e">
        <f>IF(G26&lt;=0,1,0)</f>
        <v>#VALUE!</v>
      </c>
      <c r="AJ26" t="e">
        <f>IF(G26&lt;0,1,0)</f>
        <v>#VALUE!</v>
      </c>
      <c r="AK26" t="e">
        <f>MAX(($B$3-G26)/(G26 + 1),0) / $B$3</f>
        <v>#VALUE!</v>
      </c>
      <c r="AL26" t="e">
        <f>IF(H26+ABS(K26)&lt;0,Logistic(SQRT(H26^2+K26^2)/$B$4),0)</f>
        <v>#VALUE!</v>
      </c>
      <c r="AM26" t="e">
        <f>IF(G26&gt;$B$3,1,0)</f>
        <v>#VALUE!</v>
      </c>
      <c r="AN26" t="e">
        <f>IF(H26&gt;$B$4,1,0)</f>
        <v>#VALUE!</v>
      </c>
      <c r="AO26" t="e">
        <f>ABS(H26)/$B$4</f>
        <v>#VALUE!</v>
      </c>
      <c r="AP26" t="e">
        <f>Logistic(I26/$B$5)</f>
        <v>#VALUE!</v>
      </c>
      <c r="AQ26" t="e">
        <f>IF(I26&gt;$B$5,1,0)</f>
        <v>#VALUE!</v>
      </c>
      <c r="AR26" t="e">
        <f>Logistic(ABS(F26-O26)/($B$6/2))</f>
        <v>#VALUE!</v>
      </c>
      <c r="AS26" t="e">
        <f>IF(OR(F26&lt;M26,F26&gt;N26),1,0)</f>
        <v>#VALUE!</v>
      </c>
      <c r="AT26" t="e">
        <f>ABS(K26)/$B$4</f>
        <v>#VALUE!</v>
      </c>
      <c r="AU26">
        <f t="shared" ca="1" si="42"/>
        <v>0</v>
      </c>
      <c r="AV26" t="e">
        <f ca="1">IF(AND(L26&lt;&gt;$L$15,$Q$15&gt;Safety_Distance),1,0)</f>
        <v>#VALUE!</v>
      </c>
      <c r="AW26" t="e">
        <f ca="1">MAX(1-(IF(Q26/(G26-R26)&gt;0,Q26/(G26-R26),Collision_Time_Buffer)/Collision_Time_Buffer),0)*IF($L$15&lt;&gt;L26,Lane_Change_Multiplier,1)</f>
        <v>#VALUE!</v>
      </c>
      <c r="AX26" t="e">
        <f ca="1">MAX(1-(IF(T26/(G26-U26)&gt;0,T26/(G26-U26),Collision_Time_Buffer)/Collision_Time_Buffer),0)*IF($L$15&lt;&gt;L26,Lane_Change_Multiplier,1)</f>
        <v>#VALUE!</v>
      </c>
      <c r="AY26" t="e">
        <f ca="1">MAX(1-(IF(W26/(G26-X26)&gt;0,W26/(G26-X26),Collision_Time_Buffer)/Collision_Time_Buffer),0)*IF($L$15&lt;&gt;L26,Lane_Change_Multiplier,1)</f>
        <v>#VALUE!</v>
      </c>
      <c r="AZ26" t="e">
        <f ca="1">MAX(1-(IF(Z26/(G26-AA26)&gt;0,Z26/(G26-AA26),Collision_Time_Buffer)/Collision_Time_Buffer),0)*IF($L$15&lt;&gt;L26,Lane_Change_Multiplier,1)</f>
        <v>#VALUE!</v>
      </c>
      <c r="BA26">
        <f t="shared" ca="1" si="43"/>
        <v>0</v>
      </c>
      <c r="BB26">
        <f t="shared" ca="1" si="44"/>
        <v>0</v>
      </c>
      <c r="BC26">
        <f t="shared" si="45"/>
        <v>0</v>
      </c>
      <c r="BE26" t="e">
        <f t="shared" si="7"/>
        <v>#VALUE!</v>
      </c>
      <c r="BF26" t="e">
        <f t="shared" si="46"/>
        <v>#VALUE!</v>
      </c>
      <c r="BG26" t="e">
        <f t="shared" si="47"/>
        <v>#VALUE!</v>
      </c>
      <c r="BH26" t="e">
        <f t="shared" si="8"/>
        <v>#VALUE!</v>
      </c>
      <c r="BI26" t="e">
        <f t="shared" si="9"/>
        <v>#VALUE!</v>
      </c>
      <c r="BJ26" t="e">
        <f t="shared" si="10"/>
        <v>#VALUE!</v>
      </c>
      <c r="BK26" t="e">
        <f t="shared" si="11"/>
        <v>#VALUE!</v>
      </c>
      <c r="BL26" t="e">
        <f t="shared" si="48"/>
        <v>#VALUE!</v>
      </c>
      <c r="BM26" t="e">
        <f t="shared" si="12"/>
        <v>#VALUE!</v>
      </c>
      <c r="BN26" t="e">
        <f t="shared" si="13"/>
        <v>#VALUE!</v>
      </c>
      <c r="BO26" t="e">
        <f t="shared" si="14"/>
        <v>#VALUE!</v>
      </c>
      <c r="BP26" t="e">
        <f t="shared" si="15"/>
        <v>#VALUE!</v>
      </c>
      <c r="BQ26" t="e">
        <f t="shared" si="16"/>
        <v>#VALUE!</v>
      </c>
    </row>
    <row r="27" spans="1:69" x14ac:dyDescent="0.25">
      <c r="A27" s="1" t="s">
        <v>80</v>
      </c>
      <c r="B27">
        <f t="shared" si="2"/>
        <v>1000000</v>
      </c>
      <c r="D27" t="e">
        <f t="shared" si="17"/>
        <v>#VALUE!</v>
      </c>
      <c r="E27" t="e">
        <f t="shared" si="18"/>
        <v>#VALUE!</v>
      </c>
      <c r="F27" t="e">
        <f t="shared" si="19"/>
        <v>#VALUE!</v>
      </c>
      <c r="G27" t="e">
        <f t="shared" si="20"/>
        <v>#VALUE!</v>
      </c>
      <c r="H27" t="e">
        <f t="shared" si="21"/>
        <v>#VALUE!</v>
      </c>
      <c r="I27" t="e">
        <f t="shared" si="22"/>
        <v>#VALUE!</v>
      </c>
      <c r="J27" t="e">
        <f t="shared" si="23"/>
        <v>#VALUE!</v>
      </c>
      <c r="K27" t="e">
        <f t="shared" si="24"/>
        <v>#VALUE!</v>
      </c>
      <c r="L27" t="e">
        <f t="shared" si="3"/>
        <v>#VALUE!</v>
      </c>
      <c r="M27" t="e">
        <f t="shared" si="0"/>
        <v>#VALUE!</v>
      </c>
      <c r="N27" t="e">
        <f t="shared" si="1"/>
        <v>#VALUE!</v>
      </c>
      <c r="O27" t="e">
        <f t="shared" si="4"/>
        <v>#VALUE!</v>
      </c>
      <c r="P27" t="e">
        <f t="shared" si="5"/>
        <v>#VALUE!</v>
      </c>
      <c r="Q27">
        <f t="shared" ca="1" si="25"/>
        <v>1000000</v>
      </c>
      <c r="R27">
        <f t="shared" ca="1" si="26"/>
        <v>100</v>
      </c>
      <c r="S27" t="e">
        <f t="shared" si="27"/>
        <v>#VALUE!</v>
      </c>
      <c r="T27">
        <f t="shared" ca="1" si="28"/>
        <v>1000000</v>
      </c>
      <c r="U27">
        <f t="shared" ca="1" si="29"/>
        <v>100</v>
      </c>
      <c r="V27" t="e">
        <f t="shared" si="30"/>
        <v>#VALUE!</v>
      </c>
      <c r="W27">
        <f t="shared" ca="1" si="31"/>
        <v>1000000000</v>
      </c>
      <c r="X27">
        <f t="shared" ca="1" si="32"/>
        <v>100</v>
      </c>
      <c r="Y27" t="e">
        <f>GetFollowingCarRow($B$45:$E$54,L27,$E$15,E27)</f>
        <v>#VALUE!</v>
      </c>
      <c r="Z27">
        <f t="shared" ca="1" si="33"/>
        <v>1000000000</v>
      </c>
      <c r="AA27">
        <f t="shared" ca="1" si="34"/>
        <v>100</v>
      </c>
      <c r="AB27" t="e">
        <f t="shared" si="35"/>
        <v>#VALUE!</v>
      </c>
      <c r="AC27" t="e">
        <f t="shared" si="36"/>
        <v>#VALUE!</v>
      </c>
      <c r="AD27" t="e">
        <f t="shared" si="37"/>
        <v>#VALUE!</v>
      </c>
      <c r="AE27" t="e">
        <f t="shared" si="38"/>
        <v>#VALUE!</v>
      </c>
      <c r="AF27" t="e">
        <f t="shared" si="39"/>
        <v>#VALUE!</v>
      </c>
      <c r="AG27" t="e">
        <f t="shared" si="40"/>
        <v>#VALUE!</v>
      </c>
      <c r="AH27" t="e">
        <f t="shared" si="41"/>
        <v>#VALUE!</v>
      </c>
      <c r="AI27" t="e">
        <f>IF(G27&lt;=0,1,0)</f>
        <v>#VALUE!</v>
      </c>
      <c r="AJ27" t="e">
        <f>IF(G27&lt;0,1,0)</f>
        <v>#VALUE!</v>
      </c>
      <c r="AK27" t="e">
        <f>MAX(($B$3-G27)/(G27 + 1),0) / $B$3</f>
        <v>#VALUE!</v>
      </c>
      <c r="AL27" t="e">
        <f>IF(H27+ABS(K27)&lt;0,Logistic(SQRT(H27^2+K27^2)/$B$4),0)</f>
        <v>#VALUE!</v>
      </c>
      <c r="AM27" t="e">
        <f>IF(G27&gt;$B$3,1,0)</f>
        <v>#VALUE!</v>
      </c>
      <c r="AN27" t="e">
        <f>IF(H27&gt;$B$4,1,0)</f>
        <v>#VALUE!</v>
      </c>
      <c r="AO27" t="e">
        <f>ABS(H27)/$B$4</f>
        <v>#VALUE!</v>
      </c>
      <c r="AP27" t="e">
        <f>Logistic(I27/$B$5)</f>
        <v>#VALUE!</v>
      </c>
      <c r="AQ27" t="e">
        <f>IF(I27&gt;$B$5,1,0)</f>
        <v>#VALUE!</v>
      </c>
      <c r="AR27" t="e">
        <f>Logistic(ABS(F27-O27)/($B$6/2))</f>
        <v>#VALUE!</v>
      </c>
      <c r="AS27" t="e">
        <f>IF(OR(F27&lt;M27,F27&gt;N27),1,0)</f>
        <v>#VALUE!</v>
      </c>
      <c r="AT27" t="e">
        <f>ABS(K27)/$B$4</f>
        <v>#VALUE!</v>
      </c>
      <c r="AU27">
        <f t="shared" ca="1" si="42"/>
        <v>0</v>
      </c>
      <c r="AV27" t="e">
        <f ca="1">IF(AND(L27&lt;&gt;$L$15,$Q$15&gt;Safety_Distance),1,0)</f>
        <v>#VALUE!</v>
      </c>
      <c r="AW27" t="e">
        <f ca="1">MAX(1-(IF(Q27/(G27-R27)&gt;0,Q27/(G27-R27),Collision_Time_Buffer)/Collision_Time_Buffer),0)*IF($L$15&lt;&gt;L27,Lane_Change_Multiplier,1)</f>
        <v>#VALUE!</v>
      </c>
      <c r="AX27" t="e">
        <f ca="1">MAX(1-(IF(T27/(G27-U27)&gt;0,T27/(G27-U27),Collision_Time_Buffer)/Collision_Time_Buffer),0)*IF($L$15&lt;&gt;L27,Lane_Change_Multiplier,1)</f>
        <v>#VALUE!</v>
      </c>
      <c r="AY27" t="e">
        <f ca="1">MAX(1-(IF(W27/(G27-X27)&gt;0,W27/(G27-X27),Collision_Time_Buffer)/Collision_Time_Buffer),0)*IF($L$15&lt;&gt;L27,Lane_Change_Multiplier,1)</f>
        <v>#VALUE!</v>
      </c>
      <c r="AZ27" t="e">
        <f ca="1">MAX(1-(IF(Z27/(G27-AA27)&gt;0,Z27/(G27-AA27),Collision_Time_Buffer)/Collision_Time_Buffer),0)*IF($L$15&lt;&gt;L27,Lane_Change_Multiplier,1)</f>
        <v>#VALUE!</v>
      </c>
      <c r="BA27">
        <f t="shared" ca="1" si="43"/>
        <v>0</v>
      </c>
      <c r="BB27">
        <f t="shared" ca="1" si="44"/>
        <v>0</v>
      </c>
      <c r="BC27">
        <f t="shared" si="45"/>
        <v>0</v>
      </c>
      <c r="BE27" t="e">
        <f t="shared" si="7"/>
        <v>#VALUE!</v>
      </c>
      <c r="BF27" t="e">
        <f t="shared" si="46"/>
        <v>#VALUE!</v>
      </c>
      <c r="BG27" t="e">
        <f t="shared" si="47"/>
        <v>#VALUE!</v>
      </c>
      <c r="BH27" t="e">
        <f t="shared" si="8"/>
        <v>#VALUE!</v>
      </c>
      <c r="BI27" t="e">
        <f t="shared" si="9"/>
        <v>#VALUE!</v>
      </c>
      <c r="BJ27" t="e">
        <f t="shared" si="10"/>
        <v>#VALUE!</v>
      </c>
      <c r="BK27" t="e">
        <f t="shared" si="11"/>
        <v>#VALUE!</v>
      </c>
      <c r="BL27" t="e">
        <f t="shared" si="48"/>
        <v>#VALUE!</v>
      </c>
      <c r="BM27" t="e">
        <f t="shared" si="12"/>
        <v>#VALUE!</v>
      </c>
      <c r="BN27" t="e">
        <f t="shared" si="13"/>
        <v>#VALUE!</v>
      </c>
      <c r="BO27" t="e">
        <f t="shared" si="14"/>
        <v>#VALUE!</v>
      </c>
      <c r="BP27" t="e">
        <f t="shared" si="15"/>
        <v>#VALUE!</v>
      </c>
      <c r="BQ27" t="e">
        <f t="shared" si="16"/>
        <v>#VALUE!</v>
      </c>
    </row>
    <row r="28" spans="1:69" x14ac:dyDescent="0.25">
      <c r="A28" s="1" t="s">
        <v>81</v>
      </c>
      <c r="B28">
        <f t="shared" si="2"/>
        <v>1000000</v>
      </c>
      <c r="D28" t="e">
        <f t="shared" si="17"/>
        <v>#VALUE!</v>
      </c>
      <c r="E28" t="e">
        <f t="shared" si="18"/>
        <v>#VALUE!</v>
      </c>
      <c r="F28" t="e">
        <f t="shared" si="19"/>
        <v>#VALUE!</v>
      </c>
      <c r="G28" t="e">
        <f t="shared" si="20"/>
        <v>#VALUE!</v>
      </c>
      <c r="H28" t="e">
        <f t="shared" si="21"/>
        <v>#VALUE!</v>
      </c>
      <c r="I28" t="e">
        <f t="shared" si="22"/>
        <v>#VALUE!</v>
      </c>
      <c r="J28" t="e">
        <f t="shared" si="23"/>
        <v>#VALUE!</v>
      </c>
      <c r="K28" t="e">
        <f t="shared" si="24"/>
        <v>#VALUE!</v>
      </c>
      <c r="L28" t="e">
        <f t="shared" si="3"/>
        <v>#VALUE!</v>
      </c>
      <c r="M28" t="e">
        <f t="shared" si="0"/>
        <v>#VALUE!</v>
      </c>
      <c r="N28" t="e">
        <f t="shared" si="1"/>
        <v>#VALUE!</v>
      </c>
      <c r="O28" t="e">
        <f t="shared" si="4"/>
        <v>#VALUE!</v>
      </c>
      <c r="P28" t="e">
        <f t="shared" si="5"/>
        <v>#VALUE!</v>
      </c>
      <c r="Q28">
        <f t="shared" ca="1" si="25"/>
        <v>1000000</v>
      </c>
      <c r="R28">
        <f t="shared" ca="1" si="26"/>
        <v>100</v>
      </c>
      <c r="S28" t="e">
        <f t="shared" si="27"/>
        <v>#VALUE!</v>
      </c>
      <c r="T28">
        <f t="shared" ca="1" si="28"/>
        <v>1000000</v>
      </c>
      <c r="U28">
        <f t="shared" ca="1" si="29"/>
        <v>100</v>
      </c>
      <c r="V28" t="e">
        <f t="shared" si="30"/>
        <v>#VALUE!</v>
      </c>
      <c r="W28">
        <f t="shared" ca="1" si="31"/>
        <v>1000000000</v>
      </c>
      <c r="X28">
        <f t="shared" ca="1" si="32"/>
        <v>100</v>
      </c>
      <c r="Y28" t="e">
        <f>GetFollowingCarRow($B$45:$E$54,L28,$E$15,E28)</f>
        <v>#VALUE!</v>
      </c>
      <c r="Z28">
        <f t="shared" ca="1" si="33"/>
        <v>1000000000</v>
      </c>
      <c r="AA28">
        <f t="shared" ca="1" si="34"/>
        <v>100</v>
      </c>
      <c r="AB28" t="e">
        <f t="shared" si="35"/>
        <v>#VALUE!</v>
      </c>
      <c r="AC28" t="e">
        <f t="shared" si="36"/>
        <v>#VALUE!</v>
      </c>
      <c r="AD28" t="e">
        <f t="shared" si="37"/>
        <v>#VALUE!</v>
      </c>
      <c r="AE28" t="e">
        <f t="shared" si="38"/>
        <v>#VALUE!</v>
      </c>
      <c r="AF28" t="e">
        <f t="shared" si="39"/>
        <v>#VALUE!</v>
      </c>
      <c r="AG28" t="e">
        <f t="shared" si="40"/>
        <v>#VALUE!</v>
      </c>
      <c r="AH28" t="e">
        <f t="shared" si="41"/>
        <v>#VALUE!</v>
      </c>
      <c r="AI28" t="e">
        <f>IF(G28&lt;=0,1,0)</f>
        <v>#VALUE!</v>
      </c>
      <c r="AJ28" t="e">
        <f>IF(G28&lt;0,1,0)</f>
        <v>#VALUE!</v>
      </c>
      <c r="AK28" t="e">
        <f>MAX(($B$3-G28)/(G28 + 1),0) / $B$3</f>
        <v>#VALUE!</v>
      </c>
      <c r="AL28" t="e">
        <f>IF(H28+ABS(K28)&lt;0,Logistic(SQRT(H28^2+K28^2)/$B$4),0)</f>
        <v>#VALUE!</v>
      </c>
      <c r="AM28" t="e">
        <f>IF(G28&gt;$B$3,1,0)</f>
        <v>#VALUE!</v>
      </c>
      <c r="AN28" t="e">
        <f>IF(H28&gt;$B$4,1,0)</f>
        <v>#VALUE!</v>
      </c>
      <c r="AO28" t="e">
        <f>ABS(H28)/$B$4</f>
        <v>#VALUE!</v>
      </c>
      <c r="AP28" t="e">
        <f>Logistic(I28/$B$5)</f>
        <v>#VALUE!</v>
      </c>
      <c r="AQ28" t="e">
        <f>IF(I28&gt;$B$5,1,0)</f>
        <v>#VALUE!</v>
      </c>
      <c r="AR28" t="e">
        <f>Logistic(ABS(F28-O28)/($B$6/2))</f>
        <v>#VALUE!</v>
      </c>
      <c r="AS28" t="e">
        <f>IF(OR(F28&lt;M28,F28&gt;N28),1,0)</f>
        <v>#VALUE!</v>
      </c>
      <c r="AT28" t="e">
        <f>ABS(K28)/$B$4</f>
        <v>#VALUE!</v>
      </c>
      <c r="AU28">
        <f t="shared" ca="1" si="42"/>
        <v>0</v>
      </c>
      <c r="AV28" t="e">
        <f ca="1">IF(AND(L28&lt;&gt;$L$15,$Q$15&gt;Safety_Distance),1,0)</f>
        <v>#VALUE!</v>
      </c>
      <c r="AW28" t="e">
        <f ca="1">MAX(1-(IF(Q28/(G28-R28)&gt;0,Q28/(G28-R28),Collision_Time_Buffer)/Collision_Time_Buffer),0)*IF($L$15&lt;&gt;L28,Lane_Change_Multiplier,1)</f>
        <v>#VALUE!</v>
      </c>
      <c r="AX28" t="e">
        <f ca="1">MAX(1-(IF(T28/(G28-U28)&gt;0,T28/(G28-U28),Collision_Time_Buffer)/Collision_Time_Buffer),0)*IF($L$15&lt;&gt;L28,Lane_Change_Multiplier,1)</f>
        <v>#VALUE!</v>
      </c>
      <c r="AY28" t="e">
        <f ca="1">MAX(1-(IF(W28/(G28-X28)&gt;0,W28/(G28-X28),Collision_Time_Buffer)/Collision_Time_Buffer),0)*IF($L$15&lt;&gt;L28,Lane_Change_Multiplier,1)</f>
        <v>#VALUE!</v>
      </c>
      <c r="AZ28" t="e">
        <f ca="1">MAX(1-(IF(Z28/(G28-AA28)&gt;0,Z28/(G28-AA28),Collision_Time_Buffer)/Collision_Time_Buffer),0)*IF($L$15&lt;&gt;L28,Lane_Change_Multiplier,1)</f>
        <v>#VALUE!</v>
      </c>
      <c r="BA28">
        <f t="shared" ca="1" si="43"/>
        <v>0</v>
      </c>
      <c r="BB28">
        <f t="shared" ca="1" si="44"/>
        <v>0</v>
      </c>
      <c r="BC28">
        <f t="shared" si="45"/>
        <v>0</v>
      </c>
      <c r="BE28" t="e">
        <f t="shared" si="7"/>
        <v>#VALUE!</v>
      </c>
      <c r="BF28" t="e">
        <f t="shared" si="46"/>
        <v>#VALUE!</v>
      </c>
      <c r="BG28" t="e">
        <f t="shared" si="47"/>
        <v>#VALUE!</v>
      </c>
      <c r="BH28" t="e">
        <f t="shared" si="8"/>
        <v>#VALUE!</v>
      </c>
      <c r="BI28" t="e">
        <f t="shared" si="9"/>
        <v>#VALUE!</v>
      </c>
      <c r="BJ28" t="e">
        <f t="shared" si="10"/>
        <v>#VALUE!</v>
      </c>
      <c r="BK28" t="e">
        <f t="shared" si="11"/>
        <v>#VALUE!</v>
      </c>
      <c r="BL28" t="e">
        <f t="shared" si="48"/>
        <v>#VALUE!</v>
      </c>
      <c r="BM28" t="e">
        <f t="shared" si="12"/>
        <v>#VALUE!</v>
      </c>
      <c r="BN28" t="e">
        <f t="shared" si="13"/>
        <v>#VALUE!</v>
      </c>
      <c r="BO28" t="e">
        <f t="shared" si="14"/>
        <v>#VALUE!</v>
      </c>
      <c r="BP28" t="e">
        <f t="shared" si="15"/>
        <v>#VALUE!</v>
      </c>
      <c r="BQ28" t="e">
        <f t="shared" si="16"/>
        <v>#VALUE!</v>
      </c>
    </row>
    <row r="29" spans="1:69" x14ac:dyDescent="0.25">
      <c r="A29" s="1" t="s">
        <v>22</v>
      </c>
      <c r="B29">
        <f t="shared" si="2"/>
        <v>1000000</v>
      </c>
      <c r="D29" t="e">
        <f t="shared" si="17"/>
        <v>#VALUE!</v>
      </c>
      <c r="E29" t="e">
        <f t="shared" si="18"/>
        <v>#VALUE!</v>
      </c>
      <c r="F29" t="e">
        <f t="shared" si="19"/>
        <v>#VALUE!</v>
      </c>
      <c r="G29" t="e">
        <f t="shared" si="20"/>
        <v>#VALUE!</v>
      </c>
      <c r="H29" t="e">
        <f t="shared" si="21"/>
        <v>#VALUE!</v>
      </c>
      <c r="I29" t="e">
        <f t="shared" si="22"/>
        <v>#VALUE!</v>
      </c>
      <c r="J29" t="e">
        <f t="shared" si="23"/>
        <v>#VALUE!</v>
      </c>
      <c r="K29" t="e">
        <f t="shared" si="24"/>
        <v>#VALUE!</v>
      </c>
      <c r="L29" t="e">
        <f t="shared" si="3"/>
        <v>#VALUE!</v>
      </c>
      <c r="M29" t="e">
        <f t="shared" si="0"/>
        <v>#VALUE!</v>
      </c>
      <c r="N29" t="e">
        <f t="shared" si="1"/>
        <v>#VALUE!</v>
      </c>
      <c r="O29" t="e">
        <f t="shared" si="4"/>
        <v>#VALUE!</v>
      </c>
      <c r="P29" t="e">
        <f t="shared" si="5"/>
        <v>#VALUE!</v>
      </c>
      <c r="Q29">
        <f t="shared" ca="1" si="25"/>
        <v>1000000</v>
      </c>
      <c r="R29">
        <f t="shared" ca="1" si="26"/>
        <v>100</v>
      </c>
      <c r="S29" t="e">
        <f t="shared" si="27"/>
        <v>#VALUE!</v>
      </c>
      <c r="T29">
        <f t="shared" ca="1" si="28"/>
        <v>1000000</v>
      </c>
      <c r="U29">
        <f t="shared" ca="1" si="29"/>
        <v>100</v>
      </c>
      <c r="V29" t="e">
        <f t="shared" si="30"/>
        <v>#VALUE!</v>
      </c>
      <c r="W29">
        <f t="shared" ca="1" si="31"/>
        <v>1000000000</v>
      </c>
      <c r="X29">
        <f t="shared" ca="1" si="32"/>
        <v>100</v>
      </c>
      <c r="Y29" t="e">
        <f>GetFollowingCarRow($B$45:$E$54,L29,$E$15,E29)</f>
        <v>#VALUE!</v>
      </c>
      <c r="Z29">
        <f t="shared" ca="1" si="33"/>
        <v>1000000000</v>
      </c>
      <c r="AA29">
        <f t="shared" ca="1" si="34"/>
        <v>100</v>
      </c>
      <c r="AB29" t="e">
        <f t="shared" si="35"/>
        <v>#VALUE!</v>
      </c>
      <c r="AC29" t="e">
        <f t="shared" si="36"/>
        <v>#VALUE!</v>
      </c>
      <c r="AD29" t="e">
        <f t="shared" si="37"/>
        <v>#VALUE!</v>
      </c>
      <c r="AE29" t="e">
        <f t="shared" si="38"/>
        <v>#VALUE!</v>
      </c>
      <c r="AF29" t="e">
        <f t="shared" si="39"/>
        <v>#VALUE!</v>
      </c>
      <c r="AG29" t="e">
        <f t="shared" si="40"/>
        <v>#VALUE!</v>
      </c>
      <c r="AH29" t="e">
        <f t="shared" si="41"/>
        <v>#VALUE!</v>
      </c>
      <c r="AI29" t="e">
        <f>IF(G29&lt;=0,1,0)</f>
        <v>#VALUE!</v>
      </c>
      <c r="AJ29" t="e">
        <f>IF(G29&lt;0,1,0)</f>
        <v>#VALUE!</v>
      </c>
      <c r="AK29" t="e">
        <f>MAX(($B$3-G29)/(G29 + 1),0) / $B$3</f>
        <v>#VALUE!</v>
      </c>
      <c r="AL29" t="e">
        <f>IF(H29+ABS(K29)&lt;0,Logistic(SQRT(H29^2+K29^2)/$B$4),0)</f>
        <v>#VALUE!</v>
      </c>
      <c r="AM29" t="e">
        <f>IF(G29&gt;$B$3,1,0)</f>
        <v>#VALUE!</v>
      </c>
      <c r="AN29" t="e">
        <f>IF(H29&gt;$B$4,1,0)</f>
        <v>#VALUE!</v>
      </c>
      <c r="AO29" t="e">
        <f>ABS(H29)/$B$4</f>
        <v>#VALUE!</v>
      </c>
      <c r="AP29" t="e">
        <f>Logistic(I29/$B$5)</f>
        <v>#VALUE!</v>
      </c>
      <c r="AQ29" t="e">
        <f>IF(I29&gt;$B$5,1,0)</f>
        <v>#VALUE!</v>
      </c>
      <c r="AR29" t="e">
        <f>Logistic(ABS(F29-O29)/($B$6/2))</f>
        <v>#VALUE!</v>
      </c>
      <c r="AS29" t="e">
        <f>IF(OR(F29&lt;M29,F29&gt;N29),1,0)</f>
        <v>#VALUE!</v>
      </c>
      <c r="AT29" t="e">
        <f>ABS(K29)/$B$4</f>
        <v>#VALUE!</v>
      </c>
      <c r="AU29">
        <f t="shared" ca="1" si="42"/>
        <v>0</v>
      </c>
      <c r="AV29" t="e">
        <f ca="1">IF(AND(L29&lt;&gt;$L$15,$Q$15&gt;Safety_Distance),1,0)</f>
        <v>#VALUE!</v>
      </c>
      <c r="AW29" t="e">
        <f ca="1">MAX(1-(IF(Q29/(G29-R29)&gt;0,Q29/(G29-R29),Collision_Time_Buffer)/Collision_Time_Buffer),0)*IF($L$15&lt;&gt;L29,Lane_Change_Multiplier,1)</f>
        <v>#VALUE!</v>
      </c>
      <c r="AX29" t="e">
        <f ca="1">MAX(1-(IF(T29/(G29-U29)&gt;0,T29/(G29-U29),Collision_Time_Buffer)/Collision_Time_Buffer),0)*IF($L$15&lt;&gt;L29,Lane_Change_Multiplier,1)</f>
        <v>#VALUE!</v>
      </c>
      <c r="AY29" t="e">
        <f ca="1">MAX(1-(IF(W29/(G29-X29)&gt;0,W29/(G29-X29),Collision_Time_Buffer)/Collision_Time_Buffer),0)*IF($L$15&lt;&gt;L29,Lane_Change_Multiplier,1)</f>
        <v>#VALUE!</v>
      </c>
      <c r="AZ29" t="e">
        <f ca="1">MAX(1-(IF(Z29/(G29-AA29)&gt;0,Z29/(G29-AA29),Collision_Time_Buffer)/Collision_Time_Buffer),0)*IF($L$15&lt;&gt;L29,Lane_Change_Multiplier,1)</f>
        <v>#VALUE!</v>
      </c>
      <c r="BA29">
        <f t="shared" ca="1" si="43"/>
        <v>0</v>
      </c>
      <c r="BB29">
        <f t="shared" ca="1" si="44"/>
        <v>0</v>
      </c>
      <c r="BC29">
        <f t="shared" si="45"/>
        <v>0</v>
      </c>
      <c r="BE29" t="e">
        <f t="shared" si="7"/>
        <v>#VALUE!</v>
      </c>
      <c r="BF29" t="e">
        <f t="shared" si="46"/>
        <v>#VALUE!</v>
      </c>
      <c r="BG29" t="e">
        <f t="shared" si="47"/>
        <v>#VALUE!</v>
      </c>
      <c r="BH29" t="e">
        <f t="shared" si="8"/>
        <v>#VALUE!</v>
      </c>
      <c r="BI29" t="e">
        <f t="shared" si="9"/>
        <v>#VALUE!</v>
      </c>
      <c r="BJ29" t="e">
        <f t="shared" si="10"/>
        <v>#VALUE!</v>
      </c>
      <c r="BK29" t="e">
        <f t="shared" si="11"/>
        <v>#VALUE!</v>
      </c>
      <c r="BL29" t="e">
        <f t="shared" si="48"/>
        <v>#VALUE!</v>
      </c>
      <c r="BM29" t="e">
        <f t="shared" si="12"/>
        <v>#VALUE!</v>
      </c>
      <c r="BN29" t="e">
        <f t="shared" si="13"/>
        <v>#VALUE!</v>
      </c>
      <c r="BO29" t="e">
        <f t="shared" si="14"/>
        <v>#VALUE!</v>
      </c>
      <c r="BP29" t="e">
        <f t="shared" si="15"/>
        <v>#VALUE!</v>
      </c>
      <c r="BQ29" t="e">
        <f t="shared" si="16"/>
        <v>#VALUE!</v>
      </c>
    </row>
    <row r="30" spans="1:69" x14ac:dyDescent="0.25">
      <c r="A30" s="1" t="s">
        <v>21</v>
      </c>
      <c r="B30">
        <f t="shared" si="2"/>
        <v>1000000</v>
      </c>
      <c r="D30" t="e">
        <f t="shared" si="17"/>
        <v>#VALUE!</v>
      </c>
      <c r="E30" t="e">
        <f t="shared" si="18"/>
        <v>#VALUE!</v>
      </c>
      <c r="F30" t="e">
        <f t="shared" si="19"/>
        <v>#VALUE!</v>
      </c>
      <c r="G30" t="e">
        <f t="shared" si="20"/>
        <v>#VALUE!</v>
      </c>
      <c r="H30" t="e">
        <f t="shared" si="21"/>
        <v>#VALUE!</v>
      </c>
      <c r="I30" t="e">
        <f t="shared" si="22"/>
        <v>#VALUE!</v>
      </c>
      <c r="J30" t="e">
        <f t="shared" si="23"/>
        <v>#VALUE!</v>
      </c>
      <c r="K30" t="e">
        <f t="shared" si="24"/>
        <v>#VALUE!</v>
      </c>
      <c r="L30" t="e">
        <f t="shared" si="3"/>
        <v>#VALUE!</v>
      </c>
      <c r="M30" t="e">
        <f t="shared" si="0"/>
        <v>#VALUE!</v>
      </c>
      <c r="N30" t="e">
        <f t="shared" si="1"/>
        <v>#VALUE!</v>
      </c>
      <c r="O30" t="e">
        <f t="shared" si="4"/>
        <v>#VALUE!</v>
      </c>
      <c r="P30" t="e">
        <f t="shared" si="5"/>
        <v>#VALUE!</v>
      </c>
      <c r="Q30">
        <f t="shared" ca="1" si="25"/>
        <v>1000000</v>
      </c>
      <c r="R30">
        <f t="shared" ca="1" si="26"/>
        <v>100</v>
      </c>
      <c r="S30" t="e">
        <f t="shared" si="27"/>
        <v>#VALUE!</v>
      </c>
      <c r="T30">
        <f t="shared" ca="1" si="28"/>
        <v>1000000</v>
      </c>
      <c r="U30">
        <f t="shared" ca="1" si="29"/>
        <v>100</v>
      </c>
      <c r="V30" t="e">
        <f t="shared" si="30"/>
        <v>#VALUE!</v>
      </c>
      <c r="W30">
        <f t="shared" ca="1" si="31"/>
        <v>1000000000</v>
      </c>
      <c r="X30">
        <f t="shared" ca="1" si="32"/>
        <v>100</v>
      </c>
      <c r="Y30" t="e">
        <f>GetFollowingCarRow($B$45:$E$54,L30,$E$15,E30)</f>
        <v>#VALUE!</v>
      </c>
      <c r="Z30">
        <f t="shared" ca="1" si="33"/>
        <v>1000000000</v>
      </c>
      <c r="AA30">
        <f t="shared" ca="1" si="34"/>
        <v>100</v>
      </c>
      <c r="AB30" t="e">
        <f t="shared" si="35"/>
        <v>#VALUE!</v>
      </c>
      <c r="AC30" t="e">
        <f t="shared" si="36"/>
        <v>#VALUE!</v>
      </c>
      <c r="AD30" t="e">
        <f t="shared" si="37"/>
        <v>#VALUE!</v>
      </c>
      <c r="AE30" t="e">
        <f t="shared" si="38"/>
        <v>#VALUE!</v>
      </c>
      <c r="AF30" t="e">
        <f t="shared" si="39"/>
        <v>#VALUE!</v>
      </c>
      <c r="AG30" t="e">
        <f t="shared" si="40"/>
        <v>#VALUE!</v>
      </c>
      <c r="AH30" t="e">
        <f t="shared" si="41"/>
        <v>#VALUE!</v>
      </c>
      <c r="AI30" t="e">
        <f>IF(G30&lt;=0,1,0)</f>
        <v>#VALUE!</v>
      </c>
      <c r="AJ30" t="e">
        <f>IF(G30&lt;0,1,0)</f>
        <v>#VALUE!</v>
      </c>
      <c r="AK30" t="e">
        <f>MAX(($B$3-G30)/(G30 + 1),0) / $B$3</f>
        <v>#VALUE!</v>
      </c>
      <c r="AL30" t="e">
        <f>IF(H30+ABS(K30)&lt;0,Logistic(SQRT(H30^2+K30^2)/$B$4),0)</f>
        <v>#VALUE!</v>
      </c>
      <c r="AM30" t="e">
        <f>IF(G30&gt;$B$3,1,0)</f>
        <v>#VALUE!</v>
      </c>
      <c r="AN30" t="e">
        <f>IF(H30&gt;$B$4,1,0)</f>
        <v>#VALUE!</v>
      </c>
      <c r="AO30" t="e">
        <f>ABS(H30)/$B$4</f>
        <v>#VALUE!</v>
      </c>
      <c r="AP30" t="e">
        <f>Logistic(I30/$B$5)</f>
        <v>#VALUE!</v>
      </c>
      <c r="AQ30" t="e">
        <f>IF(I30&gt;$B$5,1,0)</f>
        <v>#VALUE!</v>
      </c>
      <c r="AR30" t="e">
        <f>Logistic(ABS(F30-O30)/($B$6/2))</f>
        <v>#VALUE!</v>
      </c>
      <c r="AS30" t="e">
        <f>IF(OR(F30&lt;M30,F30&gt;N30),1,0)</f>
        <v>#VALUE!</v>
      </c>
      <c r="AT30" t="e">
        <f>ABS(K30)/$B$4</f>
        <v>#VALUE!</v>
      </c>
      <c r="AU30">
        <f t="shared" ca="1" si="42"/>
        <v>0</v>
      </c>
      <c r="AV30" t="e">
        <f ca="1">IF(AND(L30&lt;&gt;$L$15,$Q$15&gt;Safety_Distance),1,0)</f>
        <v>#VALUE!</v>
      </c>
      <c r="AW30" t="e">
        <f ca="1">MAX(1-(IF(Q30/(G30-R30)&gt;0,Q30/(G30-R30),Collision_Time_Buffer)/Collision_Time_Buffer),0)*IF($L$15&lt;&gt;L30,Lane_Change_Multiplier,1)</f>
        <v>#VALUE!</v>
      </c>
      <c r="AX30" t="e">
        <f ca="1">MAX(1-(IF(T30/(G30-U30)&gt;0,T30/(G30-U30),Collision_Time_Buffer)/Collision_Time_Buffer),0)*IF($L$15&lt;&gt;L30,Lane_Change_Multiplier,1)</f>
        <v>#VALUE!</v>
      </c>
      <c r="AY30" t="e">
        <f ca="1">MAX(1-(IF(W30/(G30-X30)&gt;0,W30/(G30-X30),Collision_Time_Buffer)/Collision_Time_Buffer),0)*IF($L$15&lt;&gt;L30,Lane_Change_Multiplier,1)</f>
        <v>#VALUE!</v>
      </c>
      <c r="AZ30" t="e">
        <f ca="1">MAX(1-(IF(Z30/(G30-AA30)&gt;0,Z30/(G30-AA30),Collision_Time_Buffer)/Collision_Time_Buffer),0)*IF($L$15&lt;&gt;L30,Lane_Change_Multiplier,1)</f>
        <v>#VALUE!</v>
      </c>
      <c r="BA30">
        <f t="shared" ca="1" si="43"/>
        <v>0</v>
      </c>
      <c r="BB30">
        <f t="shared" ca="1" si="44"/>
        <v>0</v>
      </c>
      <c r="BC30">
        <f t="shared" si="45"/>
        <v>0</v>
      </c>
      <c r="BE30" t="e">
        <f t="shared" si="7"/>
        <v>#VALUE!</v>
      </c>
      <c r="BF30" t="e">
        <f t="shared" si="46"/>
        <v>#VALUE!</v>
      </c>
      <c r="BG30" t="e">
        <f t="shared" si="47"/>
        <v>#VALUE!</v>
      </c>
      <c r="BH30" t="e">
        <f t="shared" si="8"/>
        <v>#VALUE!</v>
      </c>
      <c r="BI30" t="e">
        <f t="shared" si="9"/>
        <v>#VALUE!</v>
      </c>
      <c r="BJ30" t="e">
        <f t="shared" si="10"/>
        <v>#VALUE!</v>
      </c>
      <c r="BK30" t="e">
        <f t="shared" si="11"/>
        <v>#VALUE!</v>
      </c>
      <c r="BL30" t="e">
        <f t="shared" si="48"/>
        <v>#VALUE!</v>
      </c>
      <c r="BM30" t="e">
        <f t="shared" si="12"/>
        <v>#VALUE!</v>
      </c>
      <c r="BN30" t="e">
        <f t="shared" si="13"/>
        <v>#VALUE!</v>
      </c>
      <c r="BO30" t="e">
        <f t="shared" si="14"/>
        <v>#VALUE!</v>
      </c>
      <c r="BP30" t="e">
        <f t="shared" si="15"/>
        <v>#VALUE!</v>
      </c>
      <c r="BQ30" t="e">
        <f t="shared" si="16"/>
        <v>#VALUE!</v>
      </c>
    </row>
    <row r="31" spans="1:69" x14ac:dyDescent="0.25">
      <c r="A31" s="1" t="s">
        <v>20</v>
      </c>
      <c r="B31">
        <f t="shared" si="2"/>
        <v>1000000</v>
      </c>
      <c r="D31" t="e">
        <f t="shared" si="17"/>
        <v>#VALUE!</v>
      </c>
      <c r="E31" t="e">
        <f t="shared" si="18"/>
        <v>#VALUE!</v>
      </c>
      <c r="F31" t="e">
        <f t="shared" si="19"/>
        <v>#VALUE!</v>
      </c>
      <c r="G31" t="e">
        <f t="shared" si="20"/>
        <v>#VALUE!</v>
      </c>
      <c r="H31" t="e">
        <f t="shared" si="21"/>
        <v>#VALUE!</v>
      </c>
      <c r="I31" t="e">
        <f t="shared" si="22"/>
        <v>#VALUE!</v>
      </c>
      <c r="J31" t="e">
        <f t="shared" si="23"/>
        <v>#VALUE!</v>
      </c>
      <c r="K31" t="e">
        <f t="shared" si="24"/>
        <v>#VALUE!</v>
      </c>
      <c r="L31" t="e">
        <f t="shared" si="3"/>
        <v>#VALUE!</v>
      </c>
      <c r="M31" t="e">
        <f t="shared" si="0"/>
        <v>#VALUE!</v>
      </c>
      <c r="N31" t="e">
        <f t="shared" si="1"/>
        <v>#VALUE!</v>
      </c>
      <c r="O31" t="e">
        <f t="shared" si="4"/>
        <v>#VALUE!</v>
      </c>
      <c r="P31" t="e">
        <f t="shared" si="5"/>
        <v>#VALUE!</v>
      </c>
      <c r="Q31">
        <f t="shared" ca="1" si="25"/>
        <v>1000000</v>
      </c>
      <c r="R31">
        <f t="shared" ca="1" si="26"/>
        <v>100</v>
      </c>
      <c r="S31" t="e">
        <f t="shared" si="27"/>
        <v>#VALUE!</v>
      </c>
      <c r="T31">
        <f t="shared" ca="1" si="28"/>
        <v>1000000</v>
      </c>
      <c r="U31">
        <f t="shared" ca="1" si="29"/>
        <v>100</v>
      </c>
      <c r="V31" t="e">
        <f t="shared" si="30"/>
        <v>#VALUE!</v>
      </c>
      <c r="W31">
        <f t="shared" ca="1" si="31"/>
        <v>1000000000</v>
      </c>
      <c r="X31">
        <f t="shared" ca="1" si="32"/>
        <v>100</v>
      </c>
      <c r="Y31" t="e">
        <f>GetFollowingCarRow($B$45:$E$54,L31,$E$15,E31)</f>
        <v>#VALUE!</v>
      </c>
      <c r="Z31">
        <f t="shared" ca="1" si="33"/>
        <v>1000000000</v>
      </c>
      <c r="AA31">
        <f t="shared" ca="1" si="34"/>
        <v>100</v>
      </c>
      <c r="AB31" t="e">
        <f t="shared" si="35"/>
        <v>#VALUE!</v>
      </c>
      <c r="AC31" t="e">
        <f t="shared" si="36"/>
        <v>#VALUE!</v>
      </c>
      <c r="AD31" t="e">
        <f t="shared" si="37"/>
        <v>#VALUE!</v>
      </c>
      <c r="AE31" t="e">
        <f t="shared" si="38"/>
        <v>#VALUE!</v>
      </c>
      <c r="AF31" t="e">
        <f t="shared" si="39"/>
        <v>#VALUE!</v>
      </c>
      <c r="AG31" t="e">
        <f t="shared" si="40"/>
        <v>#VALUE!</v>
      </c>
      <c r="AH31" t="e">
        <f t="shared" si="41"/>
        <v>#VALUE!</v>
      </c>
      <c r="AI31" t="e">
        <f>IF(G31&lt;=0,1,0)</f>
        <v>#VALUE!</v>
      </c>
      <c r="AJ31" t="e">
        <f>IF(G31&lt;0,1,0)</f>
        <v>#VALUE!</v>
      </c>
      <c r="AK31" t="e">
        <f>MAX(($B$3-G31)/(G31 + 1),0) / $B$3</f>
        <v>#VALUE!</v>
      </c>
      <c r="AL31" t="e">
        <f>IF(H31+ABS(K31)&lt;0,Logistic(SQRT(H31^2+K31^2)/$B$4),0)</f>
        <v>#VALUE!</v>
      </c>
      <c r="AM31" t="e">
        <f>IF(G31&gt;$B$3,1,0)</f>
        <v>#VALUE!</v>
      </c>
      <c r="AN31" t="e">
        <f>IF(H31&gt;$B$4,1,0)</f>
        <v>#VALUE!</v>
      </c>
      <c r="AO31" t="e">
        <f>ABS(H31)/$B$4</f>
        <v>#VALUE!</v>
      </c>
      <c r="AP31" t="e">
        <f>Logistic(I31/$B$5)</f>
        <v>#VALUE!</v>
      </c>
      <c r="AQ31" t="e">
        <f>IF(I31&gt;$B$5,1,0)</f>
        <v>#VALUE!</v>
      </c>
      <c r="AR31" t="e">
        <f>Logistic(ABS(F31-O31)/($B$6/2))</f>
        <v>#VALUE!</v>
      </c>
      <c r="AS31" t="e">
        <f>IF(OR(F31&lt;M31,F31&gt;N31),1,0)</f>
        <v>#VALUE!</v>
      </c>
      <c r="AT31" t="e">
        <f>ABS(K31)/$B$4</f>
        <v>#VALUE!</v>
      </c>
      <c r="AU31">
        <f t="shared" ca="1" si="42"/>
        <v>0</v>
      </c>
      <c r="AV31" t="e">
        <f ca="1">IF(AND(L31&lt;&gt;$L$15,$Q$15&gt;Safety_Distance),1,0)</f>
        <v>#VALUE!</v>
      </c>
      <c r="AW31" t="e">
        <f ca="1">MAX(1-(IF(Q31/(G31-R31)&gt;0,Q31/(G31-R31),Collision_Time_Buffer)/Collision_Time_Buffer),0)*IF($L$15&lt;&gt;L31,Lane_Change_Multiplier,1)</f>
        <v>#VALUE!</v>
      </c>
      <c r="AX31" t="e">
        <f ca="1">MAX(1-(IF(T31/(G31-U31)&gt;0,T31/(G31-U31),Collision_Time_Buffer)/Collision_Time_Buffer),0)*IF($L$15&lt;&gt;L31,Lane_Change_Multiplier,1)</f>
        <v>#VALUE!</v>
      </c>
      <c r="AY31" t="e">
        <f ca="1">MAX(1-(IF(W31/(G31-X31)&gt;0,W31/(G31-X31),Collision_Time_Buffer)/Collision_Time_Buffer),0)*IF($L$15&lt;&gt;L31,Lane_Change_Multiplier,1)</f>
        <v>#VALUE!</v>
      </c>
      <c r="AZ31" t="e">
        <f ca="1">MAX(1-(IF(Z31/(G31-AA31)&gt;0,Z31/(G31-AA31),Collision_Time_Buffer)/Collision_Time_Buffer),0)*IF($L$15&lt;&gt;L31,Lane_Change_Multiplier,1)</f>
        <v>#VALUE!</v>
      </c>
      <c r="BA31">
        <f t="shared" ca="1" si="43"/>
        <v>0</v>
      </c>
      <c r="BB31">
        <f t="shared" ca="1" si="44"/>
        <v>0</v>
      </c>
      <c r="BC31">
        <f t="shared" si="45"/>
        <v>0</v>
      </c>
      <c r="BE31" t="e">
        <f t="shared" si="7"/>
        <v>#VALUE!</v>
      </c>
      <c r="BF31" t="e">
        <f t="shared" si="46"/>
        <v>#VALUE!</v>
      </c>
      <c r="BG31" t="e">
        <f t="shared" si="47"/>
        <v>#VALUE!</v>
      </c>
      <c r="BH31" t="e">
        <f t="shared" si="8"/>
        <v>#VALUE!</v>
      </c>
      <c r="BI31" t="e">
        <f t="shared" si="9"/>
        <v>#VALUE!</v>
      </c>
      <c r="BJ31" t="e">
        <f t="shared" si="10"/>
        <v>#VALUE!</v>
      </c>
      <c r="BK31" t="e">
        <f t="shared" si="11"/>
        <v>#VALUE!</v>
      </c>
      <c r="BL31" t="e">
        <f t="shared" si="48"/>
        <v>#VALUE!</v>
      </c>
      <c r="BM31" t="e">
        <f t="shared" si="12"/>
        <v>#VALUE!</v>
      </c>
      <c r="BN31" t="e">
        <f t="shared" si="13"/>
        <v>#VALUE!</v>
      </c>
      <c r="BO31" t="e">
        <f t="shared" si="14"/>
        <v>#VALUE!</v>
      </c>
      <c r="BP31" t="e">
        <f t="shared" si="15"/>
        <v>#VALUE!</v>
      </c>
      <c r="BQ31" t="e">
        <f t="shared" si="16"/>
        <v>#VALUE!</v>
      </c>
    </row>
    <row r="32" spans="1:69" x14ac:dyDescent="0.25">
      <c r="A32" s="1" t="s">
        <v>37</v>
      </c>
      <c r="B32">
        <f t="shared" ca="1" si="2"/>
        <v>6.5894048525214792</v>
      </c>
      <c r="C32" t="s">
        <v>322</v>
      </c>
      <c r="D32">
        <f t="shared" si="17"/>
        <v>128</v>
      </c>
      <c r="E32">
        <f t="shared" si="18"/>
        <v>677.53</v>
      </c>
      <c r="F32">
        <f t="shared" si="19"/>
        <v>6.98</v>
      </c>
      <c r="G32">
        <f t="shared" si="20"/>
        <v>14.95</v>
      </c>
      <c r="H32">
        <f t="shared" si="21"/>
        <v>-0.47</v>
      </c>
      <c r="I32">
        <f t="shared" si="22"/>
        <v>0.43</v>
      </c>
      <c r="J32">
        <f t="shared" si="23"/>
        <v>1.92</v>
      </c>
      <c r="K32">
        <f t="shared" si="24"/>
        <v>0.69</v>
      </c>
      <c r="L32">
        <f t="shared" si="3"/>
        <v>2</v>
      </c>
      <c r="M32">
        <f t="shared" ref="M32:M37" si="49">$B$6*(L32-1)</f>
        <v>4</v>
      </c>
      <c r="N32">
        <f t="shared" ref="N32:N37" si="50">$B$6*L32</f>
        <v>8</v>
      </c>
      <c r="O32">
        <f t="shared" si="4"/>
        <v>6</v>
      </c>
      <c r="P32">
        <f t="shared" si="5"/>
        <v>49</v>
      </c>
      <c r="Q32">
        <f t="shared" ca="1" si="25"/>
        <v>82.063763999999992</v>
      </c>
      <c r="R32">
        <f t="shared" ca="1" si="26"/>
        <v>17.399947999999998</v>
      </c>
      <c r="S32">
        <f t="shared" si="27"/>
        <v>45</v>
      </c>
      <c r="T32">
        <f t="shared" ca="1" si="28"/>
        <v>-54.732947999999965</v>
      </c>
      <c r="U32">
        <f t="shared" ca="1" si="29"/>
        <v>18.726932000000001</v>
      </c>
      <c r="V32">
        <f t="shared" si="30"/>
        <v>49</v>
      </c>
      <c r="W32">
        <f t="shared" ca="1" si="31"/>
        <v>52.643764000000033</v>
      </c>
      <c r="X32">
        <f t="shared" ca="1" si="32"/>
        <v>17.399947999999998</v>
      </c>
      <c r="Y32">
        <f>GetFollowingCarRow($B$45:$E$54,L32,$E$15,E32)</f>
        <v>45</v>
      </c>
      <c r="Z32">
        <f t="shared" ca="1" si="33"/>
        <v>-84.152947999999924</v>
      </c>
      <c r="AA32">
        <f t="shared" ca="1" si="34"/>
        <v>18.726932000000001</v>
      </c>
      <c r="AB32">
        <f t="shared" si="35"/>
        <v>3.0399999999999991</v>
      </c>
      <c r="AC32">
        <f t="shared" si="36"/>
        <v>29.419999999999959</v>
      </c>
      <c r="AD32">
        <f t="shared" si="37"/>
        <v>76.989898028552076</v>
      </c>
      <c r="AE32">
        <f t="shared" si="38"/>
        <v>-2265.0427999999988</v>
      </c>
      <c r="AF32">
        <f t="shared" si="39"/>
        <v>29.576646192562087</v>
      </c>
      <c r="AG32">
        <f t="shared" si="40"/>
        <v>58.60589901284699</v>
      </c>
      <c r="AH32">
        <f t="shared" si="41"/>
        <v>0.65270670596198999</v>
      </c>
      <c r="AI32">
        <f>IF(G32&lt;=0,1,0)</f>
        <v>0</v>
      </c>
      <c r="AJ32">
        <f>IF(G32&lt;0,1,0)</f>
        <v>0</v>
      </c>
      <c r="AK32">
        <f>MAX(($B$3-G32)/(G32 + 1),0) / $B$3</f>
        <v>1.8525138938542039E-2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5.8749999999999997E-2</v>
      </c>
      <c r="AP32">
        <f>Logistic(I32/$B$5)</f>
        <v>2.6868531572538715E-2</v>
      </c>
      <c r="AQ32">
        <f>IF(I32&gt;$B$5,1,0)</f>
        <v>0</v>
      </c>
      <c r="AR32">
        <f>Logistic(ABS(F32-O32)/($B$6/2))</f>
        <v>0.24021286468618039</v>
      </c>
      <c r="AS32">
        <f>IF(OR(F32&lt;M32,F32&gt;N32),1,0)</f>
        <v>0</v>
      </c>
      <c r="AT32">
        <f>ABS(K32)/$B$4</f>
        <v>8.6249999999999993E-2</v>
      </c>
      <c r="AU32">
        <f t="shared" ca="1" si="42"/>
        <v>0</v>
      </c>
      <c r="AV32">
        <f ca="1">IF(AND(L32&lt;&gt;$L$15,$Q$15&gt;Safety_Distance),1,0)</f>
        <v>0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3"/>
        <v>0</v>
      </c>
      <c r="BB32">
        <f t="shared" ca="1" si="44"/>
        <v>0</v>
      </c>
      <c r="BC32">
        <f t="shared" si="45"/>
        <v>0</v>
      </c>
      <c r="BE32">
        <f t="shared" ref="BE32:BE37" si="51">Logistic((D32-$B$2)/$B$2)</f>
        <v>0.65270670596198999</v>
      </c>
      <c r="BF32">
        <f t="shared" si="46"/>
        <v>0</v>
      </c>
      <c r="BG32">
        <f t="shared" si="47"/>
        <v>0</v>
      </c>
      <c r="BH32">
        <f t="shared" ref="BH32:BH37" si="52">Logistic(($B$3-G32)/(G32+1))</f>
        <v>0.19405913503740288</v>
      </c>
      <c r="BI32">
        <f t="shared" ref="BI32:BI37" si="53">IF(G32&gt;$B$3,1,0)</f>
        <v>0</v>
      </c>
      <c r="BJ32">
        <f t="shared" ref="BJ32:BJ37" si="54">IF(H32&gt;$B$5,1,0)</f>
        <v>0</v>
      </c>
      <c r="BK32">
        <f t="shared" ref="BK32:BK37" si="55">EXP(-($B$4-ABS(H32))/MAX(ABS(H32),0.000000001))</f>
        <v>1.1016610157680324E-7</v>
      </c>
      <c r="BL32">
        <f t="shared" si="48"/>
        <v>0</v>
      </c>
      <c r="BM32">
        <f t="shared" ref="BM32:BM37" si="56">EXP(-($B$5-I32)/MAX(I32,0.000000001))</f>
        <v>2.2615028748792137E-8</v>
      </c>
      <c r="BN32">
        <f t="shared" ref="BN32:BN37" si="57">IF(F32&gt;N32,(F32-N32)/$B$6,0)+IF(F32&lt;M32,(M32-F32)/$B$6,0)</f>
        <v>0</v>
      </c>
      <c r="BO32">
        <f t="shared" ref="BO32:BO37" si="58">ABS(K32/$B$4)</f>
        <v>8.6249999999999993E-2</v>
      </c>
      <c r="BP32">
        <f t="shared" ref="BP32:BP37" si="59">Logistic(ABS(H32)/$B$4)</f>
        <v>2.9366553777884566E-2</v>
      </c>
      <c r="BQ32">
        <f t="shared" ref="BQ32:BQ37" si="60">Logistic(($B$3-G32)/G32)</f>
        <v>0.20667837196199823</v>
      </c>
    </row>
    <row r="33" spans="1:69" x14ac:dyDescent="0.25">
      <c r="A33" s="1" t="s">
        <v>38</v>
      </c>
      <c r="B33">
        <f t="shared" ca="1" si="2"/>
        <v>12.476559795385876</v>
      </c>
      <c r="C33" t="s">
        <v>321</v>
      </c>
      <c r="D33">
        <f t="shared" si="17"/>
        <v>116</v>
      </c>
      <c r="E33">
        <f t="shared" si="18"/>
        <v>671.18</v>
      </c>
      <c r="F33">
        <f t="shared" si="19"/>
        <v>6.97</v>
      </c>
      <c r="G33">
        <f t="shared" si="20"/>
        <v>11.81</v>
      </c>
      <c r="H33">
        <f t="shared" si="21"/>
        <v>-1.52</v>
      </c>
      <c r="I33">
        <f t="shared" si="22"/>
        <v>0.61</v>
      </c>
      <c r="J33">
        <f t="shared" si="23"/>
        <v>2.02</v>
      </c>
      <c r="K33">
        <f t="shared" si="24"/>
        <v>1.24</v>
      </c>
      <c r="L33">
        <f t="shared" si="3"/>
        <v>2</v>
      </c>
      <c r="M33">
        <f t="shared" si="49"/>
        <v>4</v>
      </c>
      <c r="N33">
        <f t="shared" si="50"/>
        <v>8</v>
      </c>
      <c r="O33">
        <f t="shared" si="4"/>
        <v>6</v>
      </c>
      <c r="P33">
        <f t="shared" si="5"/>
        <v>49</v>
      </c>
      <c r="Q33">
        <f t="shared" ca="1" si="25"/>
        <v>82.063763999999992</v>
      </c>
      <c r="R33">
        <f t="shared" ca="1" si="26"/>
        <v>17.399947999999998</v>
      </c>
      <c r="S33">
        <f t="shared" si="27"/>
        <v>45</v>
      </c>
      <c r="T33">
        <f t="shared" ca="1" si="28"/>
        <v>-54.732947999999965</v>
      </c>
      <c r="U33">
        <f t="shared" ca="1" si="29"/>
        <v>18.726932000000001</v>
      </c>
      <c r="V33">
        <f t="shared" si="30"/>
        <v>49</v>
      </c>
      <c r="W33">
        <f t="shared" ca="1" si="31"/>
        <v>58.993764000000056</v>
      </c>
      <c r="X33">
        <f t="shared" ca="1" si="32"/>
        <v>17.399947999999998</v>
      </c>
      <c r="Y33">
        <f>GetFollowingCarRow($B$45:$E$54,L33,$E$15,E33)</f>
        <v>45</v>
      </c>
      <c r="Z33">
        <f t="shared" ca="1" si="33"/>
        <v>-77.802947999999901</v>
      </c>
      <c r="AA33">
        <f t="shared" ca="1" si="34"/>
        <v>18.726932000000001</v>
      </c>
      <c r="AB33">
        <f t="shared" si="35"/>
        <v>3.05</v>
      </c>
      <c r="AC33">
        <f t="shared" si="36"/>
        <v>23.069999999999936</v>
      </c>
      <c r="AD33">
        <f t="shared" si="37"/>
        <v>95.704243606415488</v>
      </c>
      <c r="AE33">
        <f t="shared" si="38"/>
        <v>-2207.8968999999993</v>
      </c>
      <c r="AF33">
        <f t="shared" si="39"/>
        <v>23.270741286001122</v>
      </c>
      <c r="AG33">
        <f t="shared" si="40"/>
        <v>73.080105182254712</v>
      </c>
      <c r="AH33">
        <f t="shared" si="41"/>
        <v>0.57836341304450578</v>
      </c>
      <c r="AI33">
        <f>IF(G33&lt;=0,1,0)</f>
        <v>0</v>
      </c>
      <c r="AJ33">
        <f>IF(G33&lt;0,1,0)</f>
        <v>0</v>
      </c>
      <c r="AK33">
        <f>MAX(($B$3-G33)/(G33 + 1),0) / $B$3</f>
        <v>3.4617453229650194E-2</v>
      </c>
      <c r="AL33">
        <f>IF(H33+ABS(K33)&lt;0,Logistic(SQRT(H33^2+K33^2)/$B$4),0)</f>
        <v>0.12199138232275034</v>
      </c>
      <c r="AM33">
        <f>IF(G33&gt;$B$3,1,0)</f>
        <v>0</v>
      </c>
      <c r="AN33">
        <f>IF(H33&gt;$B$4,1,0)</f>
        <v>0</v>
      </c>
      <c r="AO33">
        <f>ABS(H33)/$B$4</f>
        <v>0.19</v>
      </c>
      <c r="AP33">
        <f>Logistic(I33/$B$5)</f>
        <v>3.8106538972214943E-2</v>
      </c>
      <c r="AQ33">
        <f>IF(I33&gt;$B$5,1,0)</f>
        <v>0</v>
      </c>
      <c r="AR33">
        <f>Logistic(ABS(F33-O33)/($B$6/2))</f>
        <v>0.23785570960038063</v>
      </c>
      <c r="AS33">
        <f>IF(OR(F33&lt;M33,F33&gt;N33),1,0)</f>
        <v>0</v>
      </c>
      <c r="AT33">
        <f>ABS(K33)/$B$4</f>
        <v>0.155</v>
      </c>
      <c r="AU33">
        <f t="shared" ca="1" si="42"/>
        <v>0</v>
      </c>
      <c r="AV33">
        <f ca="1">IF(AND(L33&lt;&gt;$L$15,$Q$15&gt;Safety_Distance),1,0)</f>
        <v>0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0.20871062488398096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</v>
      </c>
      <c r="BA33">
        <f t="shared" ca="1" si="43"/>
        <v>0</v>
      </c>
      <c r="BB33">
        <f t="shared" ca="1" si="44"/>
        <v>0</v>
      </c>
      <c r="BC33">
        <f t="shared" si="45"/>
        <v>0</v>
      </c>
      <c r="BE33">
        <f t="shared" si="51"/>
        <v>0.57836341304450578</v>
      </c>
      <c r="BF33">
        <f t="shared" si="46"/>
        <v>0</v>
      </c>
      <c r="BG33">
        <f t="shared" si="47"/>
        <v>0</v>
      </c>
      <c r="BH33">
        <f t="shared" si="52"/>
        <v>0.35162006561933118</v>
      </c>
      <c r="BI33">
        <f t="shared" si="53"/>
        <v>0</v>
      </c>
      <c r="BJ33">
        <f t="shared" si="54"/>
        <v>0</v>
      </c>
      <c r="BK33">
        <f t="shared" si="55"/>
        <v>1.4077776007559566E-2</v>
      </c>
      <c r="BL33">
        <f t="shared" si="48"/>
        <v>0</v>
      </c>
      <c r="BM33">
        <f t="shared" si="56"/>
        <v>5.4780897783779199E-6</v>
      </c>
      <c r="BN33">
        <f t="shared" si="57"/>
        <v>0</v>
      </c>
      <c r="BO33">
        <f t="shared" si="58"/>
        <v>0.155</v>
      </c>
      <c r="BP33">
        <f t="shared" si="59"/>
        <v>9.4715236286178561E-2</v>
      </c>
      <c r="BQ33">
        <f t="shared" si="60"/>
        <v>0.37857156459421543</v>
      </c>
    </row>
    <row r="34" spans="1:69" x14ac:dyDescent="0.25">
      <c r="A34" s="1" t="s">
        <v>39</v>
      </c>
      <c r="B34">
        <f t="shared" ca="1" si="2"/>
        <v>183.40079536448741</v>
      </c>
      <c r="C34" t="s">
        <v>320</v>
      </c>
      <c r="D34">
        <f t="shared" si="17"/>
        <v>135</v>
      </c>
      <c r="E34">
        <f t="shared" si="18"/>
        <v>650.65</v>
      </c>
      <c r="F34">
        <f t="shared" si="19"/>
        <v>9.86</v>
      </c>
      <c r="G34">
        <f t="shared" si="20"/>
        <v>-14</v>
      </c>
      <c r="H34">
        <f t="shared" si="21"/>
        <v>-7.71</v>
      </c>
      <c r="I34">
        <f t="shared" si="22"/>
        <v>6.81</v>
      </c>
      <c r="J34">
        <f t="shared" si="23"/>
        <v>-1.33</v>
      </c>
      <c r="K34">
        <f t="shared" si="24"/>
        <v>2.78</v>
      </c>
      <c r="L34">
        <f t="shared" si="3"/>
        <v>2</v>
      </c>
      <c r="M34">
        <f t="shared" si="49"/>
        <v>4</v>
      </c>
      <c r="N34">
        <f t="shared" si="50"/>
        <v>8</v>
      </c>
      <c r="O34">
        <f t="shared" si="4"/>
        <v>6</v>
      </c>
      <c r="P34">
        <f t="shared" si="5"/>
        <v>49</v>
      </c>
      <c r="Q34">
        <f t="shared" ca="1" si="25"/>
        <v>82.063763999999992</v>
      </c>
      <c r="R34">
        <f t="shared" ca="1" si="26"/>
        <v>17.399947999999998</v>
      </c>
      <c r="S34">
        <f t="shared" si="27"/>
        <v>45</v>
      </c>
      <c r="T34">
        <f t="shared" ca="1" si="28"/>
        <v>-54.732947999999965</v>
      </c>
      <c r="U34">
        <f t="shared" ca="1" si="29"/>
        <v>18.726932000000001</v>
      </c>
      <c r="V34">
        <f t="shared" si="30"/>
        <v>49</v>
      </c>
      <c r="W34">
        <f t="shared" ca="1" si="31"/>
        <v>79.523764000000028</v>
      </c>
      <c r="X34">
        <f t="shared" ca="1" si="32"/>
        <v>17.399947999999998</v>
      </c>
      <c r="Y34">
        <f>GetFollowingCarRow($B$45:$E$54,L34,$E$15,E34)</f>
        <v>45</v>
      </c>
      <c r="Z34">
        <f t="shared" ca="1" si="33"/>
        <v>-57.272947999999928</v>
      </c>
      <c r="AA34">
        <f t="shared" ca="1" si="34"/>
        <v>18.726932000000001</v>
      </c>
      <c r="AB34">
        <f t="shared" si="35"/>
        <v>0.16000000000000014</v>
      </c>
      <c r="AC34">
        <f t="shared" si="36"/>
        <v>2.5399999999999636</v>
      </c>
      <c r="AD34">
        <f t="shared" si="37"/>
        <v>50.84582677165416</v>
      </c>
      <c r="AE34">
        <f t="shared" si="38"/>
        <v>-129.14839999999973</v>
      </c>
      <c r="AF34">
        <f t="shared" si="39"/>
        <v>2.5450343809072238</v>
      </c>
      <c r="AG34">
        <f t="shared" si="40"/>
        <v>38.169299648271057</v>
      </c>
      <c r="AH34">
        <f t="shared" si="41"/>
        <v>0.69106946983293061</v>
      </c>
      <c r="AI34">
        <f>IF(G34&lt;=0,1,0)</f>
        <v>1</v>
      </c>
      <c r="AJ34">
        <f>IF(G34&lt;0,1,0)</f>
        <v>1</v>
      </c>
      <c r="AK34">
        <f>MAX(($B$3-G34)/(G34 + 1),0) / $B$3</f>
        <v>0</v>
      </c>
      <c r="AL34">
        <f>IF(H34+ABS(K34)&lt;0,Logistic(SQRT(H34^2+K34^2)/$B$4),0)</f>
        <v>0.47169075513784742</v>
      </c>
      <c r="AM34">
        <f>IF(G34&gt;$B$3,1,0)</f>
        <v>0</v>
      </c>
      <c r="AN34">
        <f>IF(H34&gt;$B$4,1,0)</f>
        <v>0</v>
      </c>
      <c r="AO34">
        <f>ABS(H34)/$B$4</f>
        <v>0.96375</v>
      </c>
      <c r="AP34">
        <f>Logistic(I34/$B$5)</f>
        <v>0.40165858548625116</v>
      </c>
      <c r="AQ34">
        <f>IF(I34&gt;$B$5,1,0)</f>
        <v>0</v>
      </c>
      <c r="AR34">
        <f>Logistic(ABS(F34-O34)/($B$6/2))</f>
        <v>0.7464988397557184</v>
      </c>
      <c r="AS34">
        <f>IF(OR(F34&lt;M34,F34&gt;N34),1,0)</f>
        <v>1</v>
      </c>
      <c r="AT34">
        <f>ABS(K34)/$B$4</f>
        <v>0.34749999999999998</v>
      </c>
      <c r="AU34">
        <f t="shared" ca="1" si="42"/>
        <v>0</v>
      </c>
      <c r="AV34">
        <f ca="1">IF(AND(L34&lt;&gt;$L$15,$Q$15&gt;Safety_Distance),1,0)</f>
        <v>0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0.83275869549886328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0.82499750358512092</v>
      </c>
      <c r="BA34">
        <f t="shared" ca="1" si="43"/>
        <v>0</v>
      </c>
      <c r="BB34">
        <f t="shared" ca="1" si="44"/>
        <v>0</v>
      </c>
      <c r="BC34">
        <f t="shared" si="45"/>
        <v>0</v>
      </c>
      <c r="BE34">
        <f t="shared" si="51"/>
        <v>0.69106946983293061</v>
      </c>
      <c r="BF34">
        <f t="shared" si="46"/>
        <v>1</v>
      </c>
      <c r="BG34">
        <f t="shared" si="47"/>
        <v>1</v>
      </c>
      <c r="BH34">
        <f t="shared" si="52"/>
        <v>-0.87513827639194863</v>
      </c>
      <c r="BI34">
        <f t="shared" si="53"/>
        <v>0</v>
      </c>
      <c r="BJ34">
        <f t="shared" si="54"/>
        <v>0</v>
      </c>
      <c r="BK34">
        <f t="shared" si="55"/>
        <v>0.96308511197590119</v>
      </c>
      <c r="BL34">
        <f t="shared" si="48"/>
        <v>1</v>
      </c>
      <c r="BM34">
        <f t="shared" si="56"/>
        <v>0.83967276798757395</v>
      </c>
      <c r="BN34">
        <f t="shared" si="57"/>
        <v>0.46499999999999986</v>
      </c>
      <c r="BO34">
        <f t="shared" si="58"/>
        <v>0.34749999999999998</v>
      </c>
      <c r="BP34">
        <f t="shared" si="59"/>
        <v>0.44774397807320676</v>
      </c>
      <c r="BQ34">
        <f t="shared" si="60"/>
        <v>-0.8504722671942756</v>
      </c>
    </row>
    <row r="35" spans="1:69" x14ac:dyDescent="0.25">
      <c r="A35" s="1" t="s">
        <v>82</v>
      </c>
      <c r="B35">
        <f t="shared" ca="1" si="2"/>
        <v>6.6306685183786076</v>
      </c>
      <c r="C35" t="s">
        <v>319</v>
      </c>
      <c r="D35">
        <f t="shared" si="17"/>
        <v>128</v>
      </c>
      <c r="E35">
        <f t="shared" si="18"/>
        <v>677.5</v>
      </c>
      <c r="F35">
        <f t="shared" si="19"/>
        <v>6.98</v>
      </c>
      <c r="G35">
        <f t="shared" si="20"/>
        <v>14.91</v>
      </c>
      <c r="H35">
        <f t="shared" si="21"/>
        <v>-0.48</v>
      </c>
      <c r="I35">
        <f t="shared" si="22"/>
        <v>0.42</v>
      </c>
      <c r="J35">
        <f t="shared" si="23"/>
        <v>1.91</v>
      </c>
      <c r="K35">
        <f t="shared" si="24"/>
        <v>0.69</v>
      </c>
      <c r="L35">
        <f t="shared" si="3"/>
        <v>2</v>
      </c>
      <c r="M35">
        <f t="shared" si="49"/>
        <v>4</v>
      </c>
      <c r="N35">
        <f t="shared" si="50"/>
        <v>8</v>
      </c>
      <c r="O35">
        <f t="shared" si="4"/>
        <v>6</v>
      </c>
      <c r="P35">
        <f t="shared" si="5"/>
        <v>49</v>
      </c>
      <c r="Q35">
        <f t="shared" ca="1" si="25"/>
        <v>82.063763999999992</v>
      </c>
      <c r="R35">
        <f t="shared" ca="1" si="26"/>
        <v>17.399947999999998</v>
      </c>
      <c r="S35">
        <f t="shared" si="27"/>
        <v>45</v>
      </c>
      <c r="T35">
        <f t="shared" ca="1" si="28"/>
        <v>-54.732947999999965</v>
      </c>
      <c r="U35">
        <f t="shared" ca="1" si="29"/>
        <v>18.726932000000001</v>
      </c>
      <c r="V35">
        <f t="shared" si="30"/>
        <v>49</v>
      </c>
      <c r="W35">
        <f t="shared" ca="1" si="31"/>
        <v>52.673764000000006</v>
      </c>
      <c r="X35">
        <f t="shared" ca="1" si="32"/>
        <v>17.399947999999998</v>
      </c>
      <c r="Y35">
        <f>GetFollowingCarRow($B$45:$E$54,L35,$E$15,E35)</f>
        <v>45</v>
      </c>
      <c r="Z35">
        <f t="shared" ca="1" si="33"/>
        <v>-84.122947999999951</v>
      </c>
      <c r="AA35">
        <f t="shared" ca="1" si="34"/>
        <v>18.726932000000001</v>
      </c>
      <c r="AB35">
        <f t="shared" si="35"/>
        <v>3.0399999999999991</v>
      </c>
      <c r="AC35">
        <f t="shared" si="36"/>
        <v>29.389999999999986</v>
      </c>
      <c r="AD35">
        <f t="shared" si="37"/>
        <v>77.058257910854039</v>
      </c>
      <c r="AE35">
        <f t="shared" si="38"/>
        <v>-2264.7421999999992</v>
      </c>
      <c r="AF35">
        <f t="shared" si="39"/>
        <v>29.546805241853122</v>
      </c>
      <c r="AG35">
        <f t="shared" si="40"/>
        <v>58.65903428689257</v>
      </c>
      <c r="AH35">
        <f t="shared" si="41"/>
        <v>0.65270670596198999</v>
      </c>
      <c r="AI35">
        <f>IF(G35&lt;=0,1,0)</f>
        <v>0</v>
      </c>
      <c r="AJ35">
        <f>IF(G35&lt;0,1,0)</f>
        <v>0</v>
      </c>
      <c r="AK35">
        <f>MAX(($B$3-G35)/(G35 + 1),0) / $B$3</f>
        <v>1.8690193601970554E-2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0.06</v>
      </c>
      <c r="AP35">
        <f>Logistic(I35/$B$5)</f>
        <v>2.6243972364486601E-2</v>
      </c>
      <c r="AQ35">
        <f>IF(I35&gt;$B$5,1,0)</f>
        <v>0</v>
      </c>
      <c r="AR35">
        <f>Logistic(ABS(F35-O35)/($B$6/2))</f>
        <v>0.24021286468618039</v>
      </c>
      <c r="AS35">
        <f>IF(OR(F35&lt;M35,F35&gt;N35),1,0)</f>
        <v>0</v>
      </c>
      <c r="AT35">
        <f>ABS(K35)/$B$4</f>
        <v>8.6249999999999993E-2</v>
      </c>
      <c r="AU35">
        <f t="shared" ca="1" si="42"/>
        <v>0</v>
      </c>
      <c r="AV35">
        <f ca="1">IF(AND(L35&lt;&gt;$L$15,$Q$15&gt;Safety_Distance),1,0)</f>
        <v>0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43"/>
        <v>0</v>
      </c>
      <c r="BB35">
        <f t="shared" ca="1" si="44"/>
        <v>0</v>
      </c>
      <c r="BC35">
        <f t="shared" si="45"/>
        <v>0</v>
      </c>
      <c r="BE35">
        <f t="shared" si="51"/>
        <v>0.65270670596198999</v>
      </c>
      <c r="BF35">
        <f t="shared" si="46"/>
        <v>0</v>
      </c>
      <c r="BG35">
        <f t="shared" si="47"/>
        <v>0</v>
      </c>
      <c r="BH35">
        <f t="shared" si="52"/>
        <v>0.19574384128139871</v>
      </c>
      <c r="BI35">
        <f t="shared" si="53"/>
        <v>0</v>
      </c>
      <c r="BJ35">
        <f t="shared" si="54"/>
        <v>0</v>
      </c>
      <c r="BK35">
        <f t="shared" si="55"/>
        <v>1.570554880974321E-7</v>
      </c>
      <c r="BL35">
        <f t="shared" si="48"/>
        <v>0</v>
      </c>
      <c r="BM35">
        <f t="shared" si="56"/>
        <v>1.4521739308759024E-8</v>
      </c>
      <c r="BN35">
        <f t="shared" si="57"/>
        <v>0</v>
      </c>
      <c r="BO35">
        <f t="shared" si="58"/>
        <v>8.6249999999999993E-2</v>
      </c>
      <c r="BP35">
        <f t="shared" si="59"/>
        <v>2.9991003238820139E-2</v>
      </c>
      <c r="BQ35">
        <f t="shared" si="60"/>
        <v>0.20850027799405077</v>
      </c>
    </row>
    <row r="36" spans="1:69" x14ac:dyDescent="0.25">
      <c r="A36" s="1" t="s">
        <v>83</v>
      </c>
      <c r="B36">
        <f t="shared" ca="1" si="2"/>
        <v>12.558702386575129</v>
      </c>
      <c r="C36" t="s">
        <v>318</v>
      </c>
      <c r="D36">
        <f t="shared" si="17"/>
        <v>116</v>
      </c>
      <c r="E36">
        <f t="shared" si="18"/>
        <v>671.16</v>
      </c>
      <c r="F36">
        <f t="shared" si="19"/>
        <v>6.98</v>
      </c>
      <c r="G36">
        <f t="shared" si="20"/>
        <v>11.78</v>
      </c>
      <c r="H36">
        <f t="shared" si="21"/>
        <v>-1.53</v>
      </c>
      <c r="I36">
        <f t="shared" si="22"/>
        <v>0.62</v>
      </c>
      <c r="J36">
        <f t="shared" si="23"/>
        <v>2.0099999999999998</v>
      </c>
      <c r="K36">
        <f t="shared" si="24"/>
        <v>1.24</v>
      </c>
      <c r="L36">
        <f t="shared" si="3"/>
        <v>2</v>
      </c>
      <c r="M36">
        <f t="shared" si="49"/>
        <v>4</v>
      </c>
      <c r="N36">
        <f t="shared" si="50"/>
        <v>8</v>
      </c>
      <c r="O36">
        <f t="shared" si="4"/>
        <v>6</v>
      </c>
      <c r="P36">
        <f t="shared" si="5"/>
        <v>49</v>
      </c>
      <c r="Q36">
        <f t="shared" ca="1" si="25"/>
        <v>82.063763999999992</v>
      </c>
      <c r="R36">
        <f t="shared" ca="1" si="26"/>
        <v>17.399947999999998</v>
      </c>
      <c r="S36">
        <f t="shared" si="27"/>
        <v>45</v>
      </c>
      <c r="T36">
        <f t="shared" ca="1" si="28"/>
        <v>-54.732947999999965</v>
      </c>
      <c r="U36">
        <f t="shared" ca="1" si="29"/>
        <v>18.726932000000001</v>
      </c>
      <c r="V36">
        <f t="shared" si="30"/>
        <v>49</v>
      </c>
      <c r="W36">
        <f t="shared" ca="1" si="31"/>
        <v>59.013764000000037</v>
      </c>
      <c r="X36">
        <f t="shared" ca="1" si="32"/>
        <v>17.399947999999998</v>
      </c>
      <c r="Y36">
        <f>GetFollowingCarRow($B$45:$E$54,L36,$E$15,E36)</f>
        <v>45</v>
      </c>
      <c r="Z36">
        <f t="shared" ca="1" si="33"/>
        <v>-77.782947999999919</v>
      </c>
      <c r="AA36">
        <f t="shared" ca="1" si="34"/>
        <v>18.726932000000001</v>
      </c>
      <c r="AB36">
        <f t="shared" si="35"/>
        <v>3.0399999999999991</v>
      </c>
      <c r="AC36">
        <f t="shared" si="36"/>
        <v>23.049999999999955</v>
      </c>
      <c r="AD36">
        <f t="shared" si="37"/>
        <v>95.497414316702958</v>
      </c>
      <c r="AE36">
        <f t="shared" si="38"/>
        <v>-2201.2153999999987</v>
      </c>
      <c r="AF36">
        <f t="shared" si="39"/>
        <v>23.249604297707904</v>
      </c>
      <c r="AG36">
        <f t="shared" si="40"/>
        <v>72.920989292585119</v>
      </c>
      <c r="AH36">
        <f t="shared" si="41"/>
        <v>0.57836341304450578</v>
      </c>
      <c r="AI36">
        <f>IF(G36&lt;=0,1,0)</f>
        <v>0</v>
      </c>
      <c r="AJ36">
        <f>IF(G36&lt;0,1,0)</f>
        <v>0</v>
      </c>
      <c r="AK36">
        <f>MAX(($B$3-G36)/(G36 + 1),0) / $B$3</f>
        <v>3.4809337752349262E-2</v>
      </c>
      <c r="AL36">
        <f>IF(H36+ABS(K36)&lt;0,Logistic(SQRT(H36^2+K36^2)/$B$4),0)</f>
        <v>0.12246906212174104</v>
      </c>
      <c r="AM36">
        <f>IF(G36&gt;$B$3,1,0)</f>
        <v>0</v>
      </c>
      <c r="AN36">
        <f>IF(H36&gt;$B$4,1,0)</f>
        <v>0</v>
      </c>
      <c r="AO36">
        <f>ABS(H36)/$B$4</f>
        <v>0.19125</v>
      </c>
      <c r="AP36">
        <f>Logistic(I36/$B$5)</f>
        <v>3.8730616459863913E-2</v>
      </c>
      <c r="AQ36">
        <f>IF(I36&gt;$B$5,1,0)</f>
        <v>0</v>
      </c>
      <c r="AR36">
        <f>Logistic(ABS(F36-O36)/($B$6/2))</f>
        <v>0.24021286468618039</v>
      </c>
      <c r="AS36">
        <f>IF(OR(F36&lt;M36,F36&gt;N36),1,0)</f>
        <v>0</v>
      </c>
      <c r="AT36">
        <f>ABS(K36)/$B$4</f>
        <v>0.155</v>
      </c>
      <c r="AU36">
        <f t="shared" ca="1" si="42"/>
        <v>0</v>
      </c>
      <c r="AV36">
        <f ca="1">IF(AND(L36&lt;&gt;$L$15,$Q$15&gt;Safety_Distance),1,0)</f>
        <v>0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0.21212777093542956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</v>
      </c>
      <c r="BA36">
        <f t="shared" ca="1" si="43"/>
        <v>0</v>
      </c>
      <c r="BB36">
        <f t="shared" ca="1" si="44"/>
        <v>0</v>
      </c>
      <c r="BC36">
        <f t="shared" si="45"/>
        <v>0</v>
      </c>
      <c r="BE36">
        <f t="shared" si="51"/>
        <v>0.57836341304450578</v>
      </c>
      <c r="BF36">
        <f t="shared" si="46"/>
        <v>0</v>
      </c>
      <c r="BG36">
        <f t="shared" si="47"/>
        <v>0</v>
      </c>
      <c r="BH36">
        <f t="shared" si="52"/>
        <v>0.35340297037616542</v>
      </c>
      <c r="BI36">
        <f t="shared" si="53"/>
        <v>0</v>
      </c>
      <c r="BJ36">
        <f t="shared" si="54"/>
        <v>0</v>
      </c>
      <c r="BK36">
        <f t="shared" si="55"/>
        <v>1.4570473370093961E-2</v>
      </c>
      <c r="BL36">
        <f t="shared" si="48"/>
        <v>0</v>
      </c>
      <c r="BM36">
        <f t="shared" si="56"/>
        <v>6.7685355676739947E-6</v>
      </c>
      <c r="BN36">
        <f t="shared" si="57"/>
        <v>0</v>
      </c>
      <c r="BO36">
        <f t="shared" si="58"/>
        <v>0.155</v>
      </c>
      <c r="BP36">
        <f t="shared" si="59"/>
        <v>9.5334592681488153E-2</v>
      </c>
      <c r="BQ36">
        <f t="shared" si="60"/>
        <v>0.38052989124076625</v>
      </c>
    </row>
    <row r="37" spans="1:69" x14ac:dyDescent="0.25">
      <c r="A37" s="1" t="s">
        <v>84</v>
      </c>
      <c r="B37">
        <f t="shared" ca="1" si="2"/>
        <v>183.40283695085873</v>
      </c>
      <c r="C37" t="s">
        <v>317</v>
      </c>
      <c r="D37">
        <f t="shared" si="17"/>
        <v>135</v>
      </c>
      <c r="E37">
        <f t="shared" si="18"/>
        <v>650.61</v>
      </c>
      <c r="F37">
        <f t="shared" si="19"/>
        <v>9.8699999999999992</v>
      </c>
      <c r="G37">
        <f t="shared" si="20"/>
        <v>-14.04</v>
      </c>
      <c r="H37">
        <f t="shared" si="21"/>
        <v>-7.72</v>
      </c>
      <c r="I37">
        <f t="shared" si="22"/>
        <v>6.82</v>
      </c>
      <c r="J37">
        <f t="shared" si="23"/>
        <v>-1.31</v>
      </c>
      <c r="K37">
        <f t="shared" si="24"/>
        <v>2.78</v>
      </c>
      <c r="L37">
        <f t="shared" si="3"/>
        <v>2</v>
      </c>
      <c r="M37">
        <f t="shared" si="49"/>
        <v>4</v>
      </c>
      <c r="N37">
        <f t="shared" si="50"/>
        <v>8</v>
      </c>
      <c r="O37">
        <f t="shared" si="4"/>
        <v>6</v>
      </c>
      <c r="P37">
        <f t="shared" si="5"/>
        <v>49</v>
      </c>
      <c r="Q37">
        <f t="shared" ca="1" si="25"/>
        <v>82.063763999999992</v>
      </c>
      <c r="R37">
        <f t="shared" ca="1" si="26"/>
        <v>17.399947999999998</v>
      </c>
      <c r="S37">
        <f t="shared" si="27"/>
        <v>45</v>
      </c>
      <c r="T37">
        <f t="shared" ca="1" si="28"/>
        <v>-54.732947999999965</v>
      </c>
      <c r="U37">
        <f t="shared" ca="1" si="29"/>
        <v>18.726932000000001</v>
      </c>
      <c r="V37">
        <f t="shared" si="30"/>
        <v>49</v>
      </c>
      <c r="W37">
        <f t="shared" ca="1" si="31"/>
        <v>79.563763999999992</v>
      </c>
      <c r="X37">
        <f t="shared" ca="1" si="32"/>
        <v>17.399947999999998</v>
      </c>
      <c r="Y37">
        <f>GetFollowingCarRow($B$45:$E$54,L37,$E$15,E37)</f>
        <v>45</v>
      </c>
      <c r="Z37">
        <f t="shared" ca="1" si="33"/>
        <v>-57.232947999999965</v>
      </c>
      <c r="AA37">
        <f t="shared" ca="1" si="34"/>
        <v>18.726932000000001</v>
      </c>
      <c r="AB37">
        <f t="shared" si="35"/>
        <v>0.15000000000000036</v>
      </c>
      <c r="AC37">
        <f t="shared" si="36"/>
        <v>2.5</v>
      </c>
      <c r="AD37">
        <f t="shared" si="37"/>
        <v>48.906600000000097</v>
      </c>
      <c r="AE37">
        <f t="shared" si="38"/>
        <v>-122.26650000000024</v>
      </c>
      <c r="AF37">
        <f t="shared" si="39"/>
        <v>2.5044959572736385</v>
      </c>
      <c r="AG37">
        <f t="shared" si="40"/>
        <v>36.645638310356645</v>
      </c>
      <c r="AH37">
        <f t="shared" si="41"/>
        <v>0.69106946983293061</v>
      </c>
      <c r="AI37">
        <f>IF(G37&lt;=0,1,0)</f>
        <v>1</v>
      </c>
      <c r="AJ37">
        <f>IF(G37&lt;0,1,0)</f>
        <v>1</v>
      </c>
      <c r="AK37">
        <f>MAX(($B$3-G37)/(G37 + 1),0) / $B$3</f>
        <v>0</v>
      </c>
      <c r="AL37">
        <f>IF(H37+ABS(K37)&lt;0,Logistic(SQRT(H37^2+K37^2)/$B$4),0)</f>
        <v>0.47214779627563702</v>
      </c>
      <c r="AM37">
        <f>IF(G37&gt;$B$3,1,0)</f>
        <v>0</v>
      </c>
      <c r="AN37">
        <f>IF(H37&gt;$B$4,1,0)</f>
        <v>0</v>
      </c>
      <c r="AO37">
        <f>ABS(H37)/$B$4</f>
        <v>0.96499999999999997</v>
      </c>
      <c r="AP37">
        <f>Logistic(I37/$B$5)</f>
        <v>0.40218262285339068</v>
      </c>
      <c r="AQ37">
        <f>IF(I37&gt;$B$5,1,0)</f>
        <v>0</v>
      </c>
      <c r="AR37">
        <f>Logistic(ABS(F37-O37)/($B$6/2))</f>
        <v>0.74760362435863248</v>
      </c>
      <c r="AS37">
        <f>IF(OR(F37&lt;M37,F37&gt;N37),1,0)</f>
        <v>1</v>
      </c>
      <c r="AT37">
        <f>ABS(K37)/$B$4</f>
        <v>0.34749999999999998</v>
      </c>
      <c r="AU37">
        <f t="shared" ca="1" si="42"/>
        <v>0</v>
      </c>
      <c r="AV37">
        <f ca="1">IF(AND(L37&lt;&gt;$L$15,$Q$15&gt;Safety_Distance),1,0)</f>
        <v>0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0.83296285413599302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0.82533321093351075</v>
      </c>
      <c r="BA37">
        <f t="shared" ca="1" si="43"/>
        <v>0</v>
      </c>
      <c r="BB37">
        <f t="shared" ca="1" si="44"/>
        <v>0</v>
      </c>
      <c r="BC37">
        <f t="shared" si="45"/>
        <v>0</v>
      </c>
      <c r="BE37">
        <f t="shared" si="51"/>
        <v>0.69106946983293061</v>
      </c>
      <c r="BF37">
        <f t="shared" si="46"/>
        <v>1</v>
      </c>
      <c r="BG37">
        <f t="shared" si="47"/>
        <v>1</v>
      </c>
      <c r="BH37">
        <f t="shared" si="52"/>
        <v>-0.87452308218996033</v>
      </c>
      <c r="BI37">
        <f t="shared" si="53"/>
        <v>0</v>
      </c>
      <c r="BJ37">
        <f t="shared" si="54"/>
        <v>0</v>
      </c>
      <c r="BK37">
        <f t="shared" si="55"/>
        <v>0.96438042540857494</v>
      </c>
      <c r="BL37">
        <f t="shared" si="48"/>
        <v>1</v>
      </c>
      <c r="BM37">
        <f t="shared" si="56"/>
        <v>0.84112034826728987</v>
      </c>
      <c r="BN37">
        <f t="shared" si="57"/>
        <v>0.4674999999999998</v>
      </c>
      <c r="BO37">
        <f t="shared" si="58"/>
        <v>0.34749999999999998</v>
      </c>
      <c r="BP37">
        <f t="shared" si="59"/>
        <v>0.44824354154163726</v>
      </c>
      <c r="BQ37">
        <f t="shared" si="60"/>
        <v>-0.8498737424538988</v>
      </c>
    </row>
    <row r="38" spans="1:69" x14ac:dyDescent="0.25">
      <c r="A38" s="1" t="s">
        <v>19</v>
      </c>
      <c r="B38">
        <f t="shared" ca="1" si="2"/>
        <v>3.9489015135805481</v>
      </c>
      <c r="C38" t="s">
        <v>316</v>
      </c>
      <c r="D38">
        <f t="shared" si="17"/>
        <v>120</v>
      </c>
      <c r="E38">
        <f t="shared" si="18"/>
        <v>677.45</v>
      </c>
      <c r="F38">
        <f t="shared" si="19"/>
        <v>6.99</v>
      </c>
      <c r="G38">
        <f t="shared" si="20"/>
        <v>17.809999999999999</v>
      </c>
      <c r="H38">
        <f t="shared" si="21"/>
        <v>0.33</v>
      </c>
      <c r="I38">
        <f t="shared" si="22"/>
        <v>1.23</v>
      </c>
      <c r="J38">
        <f t="shared" si="23"/>
        <v>2.29</v>
      </c>
      <c r="K38">
        <f t="shared" si="24"/>
        <v>0.69</v>
      </c>
      <c r="L38">
        <f t="shared" si="3"/>
        <v>2</v>
      </c>
      <c r="M38">
        <f>$B$6*(L38-1)</f>
        <v>4</v>
      </c>
      <c r="N38">
        <f>$B$6*L38</f>
        <v>8</v>
      </c>
      <c r="O38">
        <f t="shared" si="4"/>
        <v>6</v>
      </c>
      <c r="P38">
        <f t="shared" si="5"/>
        <v>49</v>
      </c>
      <c r="Q38">
        <f t="shared" ca="1" si="25"/>
        <v>82.063763999999992</v>
      </c>
      <c r="R38">
        <f t="shared" ca="1" si="26"/>
        <v>17.399947999999998</v>
      </c>
      <c r="S38">
        <f t="shared" si="27"/>
        <v>45</v>
      </c>
      <c r="T38">
        <f t="shared" ca="1" si="28"/>
        <v>-54.732947999999965</v>
      </c>
      <c r="U38">
        <f t="shared" ca="1" si="29"/>
        <v>18.726932000000001</v>
      </c>
      <c r="V38">
        <f t="shared" si="30"/>
        <v>49</v>
      </c>
      <c r="W38">
        <f t="shared" ca="1" si="31"/>
        <v>52.72376399999996</v>
      </c>
      <c r="X38">
        <f t="shared" ca="1" si="32"/>
        <v>17.399947999999998</v>
      </c>
      <c r="Y38">
        <f>GetFollowingCarRow($B$45:$E$54,L38,$E$15,E38)</f>
        <v>45</v>
      </c>
      <c r="Z38">
        <f t="shared" ca="1" si="33"/>
        <v>-84.072947999999997</v>
      </c>
      <c r="AA38">
        <f t="shared" ca="1" si="34"/>
        <v>18.726932000000001</v>
      </c>
      <c r="AB38">
        <f t="shared" si="35"/>
        <v>3.0299999999999994</v>
      </c>
      <c r="AC38">
        <f t="shared" si="36"/>
        <v>29.340000000000032</v>
      </c>
      <c r="AD38">
        <f t="shared" si="37"/>
        <v>76.951605316973328</v>
      </c>
      <c r="AE38">
        <f t="shared" si="38"/>
        <v>-2257.7601</v>
      </c>
      <c r="AF38">
        <f t="shared" si="39"/>
        <v>29.496042107374368</v>
      </c>
      <c r="AG38">
        <f t="shared" si="40"/>
        <v>58.576133791456641</v>
      </c>
      <c r="AH38">
        <f t="shared" si="41"/>
        <v>0.6043677771171635</v>
      </c>
      <c r="AI38">
        <f>IF(G38&lt;=0,1,0)</f>
        <v>0</v>
      </c>
      <c r="AJ38">
        <f>IF(G38&lt;0,1,0)</f>
        <v>0</v>
      </c>
      <c r="AK38">
        <f>MAX(($B$3-G38)/(G38 + 1),0) / $B$3</f>
        <v>8.5431927289162293E-3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4.1250000000000002E-2</v>
      </c>
      <c r="AP38">
        <f>Logistic(I38/$B$5)</f>
        <v>7.6723919386218656E-2</v>
      </c>
      <c r="AQ38">
        <f>IF(I38&gt;$B$5,1,0)</f>
        <v>0</v>
      </c>
      <c r="AR38">
        <f>Logistic(ABS(F38-O38)/($B$6/2))</f>
        <v>0.2425671903821357</v>
      </c>
      <c r="AS38">
        <f>IF(OR(F38&lt;M38,F38&gt;N38),1,0)</f>
        <v>0</v>
      </c>
      <c r="AT38">
        <f>ABS(K38)/$B$4</f>
        <v>8.6249999999999993E-2</v>
      </c>
      <c r="AU38">
        <f t="shared" ca="1" si="42"/>
        <v>0</v>
      </c>
      <c r="AV38">
        <f ca="1">IF(AND(L38&lt;&gt;$L$15,$Q$15&gt;Safety_Distance),1,0)</f>
        <v>0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3"/>
        <v>0</v>
      </c>
      <c r="BB38">
        <f t="shared" ca="1" si="44"/>
        <v>0</v>
      </c>
      <c r="BC38">
        <f t="shared" si="45"/>
        <v>0</v>
      </c>
      <c r="BE38">
        <f>Logistic((D38-$B$2)/$B$2)</f>
        <v>0.6043677771171635</v>
      </c>
      <c r="BF38">
        <f t="shared" si="46"/>
        <v>0</v>
      </c>
      <c r="BG38">
        <f t="shared" si="47"/>
        <v>0</v>
      </c>
      <c r="BH38">
        <f>Logistic(($B$3-G38)/(G38+1))</f>
        <v>9.0395840154238877E-2</v>
      </c>
      <c r="BI38">
        <f>IF(G38&gt;$B$3,1,0)</f>
        <v>0</v>
      </c>
      <c r="BJ38">
        <f>IF(H38&gt;$B$5,1,0)</f>
        <v>0</v>
      </c>
      <c r="BK38">
        <f>EXP(-($B$4-ABS(H38))/MAX(ABS(H38),0.000000001))</f>
        <v>8.0527349615842887E-11</v>
      </c>
      <c r="BL38">
        <f t="shared" si="48"/>
        <v>0</v>
      </c>
      <c r="BM38">
        <f>EXP(-($B$5-I38)/MAX(I38,0.000000001))</f>
        <v>4.0701922667715114E-3</v>
      </c>
      <c r="BN38">
        <f>IF(F38&gt;N38,(F38-N38)/$B$6,0)+IF(F38&lt;M38,(M38-F38)/$B$6,0)</f>
        <v>0</v>
      </c>
      <c r="BO38">
        <f>ABS(K38/$B$4)</f>
        <v>8.6249999999999993E-2</v>
      </c>
      <c r="BP38">
        <f>Logistic(ABS(H38)/$B$4)</f>
        <v>2.0622075936999738E-2</v>
      </c>
      <c r="BQ38">
        <f>Logistic(($B$3-G38)/G38)</f>
        <v>9.544134683933897E-2</v>
      </c>
    </row>
    <row r="39" spans="1:69" x14ac:dyDescent="0.25">
      <c r="A39" s="1" t="s">
        <v>18</v>
      </c>
      <c r="B39">
        <f t="shared" ca="1" si="2"/>
        <v>6.5892034856242274</v>
      </c>
      <c r="C39" t="s">
        <v>315</v>
      </c>
      <c r="D39">
        <f t="shared" si="17"/>
        <v>109</v>
      </c>
      <c r="E39">
        <f t="shared" si="18"/>
        <v>671.26</v>
      </c>
      <c r="F39">
        <f t="shared" si="19"/>
        <v>6.96</v>
      </c>
      <c r="G39">
        <f t="shared" si="20"/>
        <v>14.6</v>
      </c>
      <c r="H39">
        <f t="shared" si="21"/>
        <v>-0.71</v>
      </c>
      <c r="I39">
        <f t="shared" si="22"/>
        <v>0.19</v>
      </c>
      <c r="J39">
        <f t="shared" si="23"/>
        <v>2.4900000000000002</v>
      </c>
      <c r="K39">
        <f t="shared" si="24"/>
        <v>1.24</v>
      </c>
      <c r="L39">
        <f t="shared" si="3"/>
        <v>2</v>
      </c>
      <c r="M39">
        <f>$B$6*(L39-1)</f>
        <v>4</v>
      </c>
      <c r="N39">
        <f>$B$6*L39</f>
        <v>8</v>
      </c>
      <c r="O39">
        <f t="shared" si="4"/>
        <v>6</v>
      </c>
      <c r="P39">
        <f t="shared" si="5"/>
        <v>49</v>
      </c>
      <c r="Q39">
        <f t="shared" ca="1" si="25"/>
        <v>82.063763999999992</v>
      </c>
      <c r="R39">
        <f t="shared" ca="1" si="26"/>
        <v>17.399947999999998</v>
      </c>
      <c r="S39">
        <f t="shared" si="27"/>
        <v>45</v>
      </c>
      <c r="T39">
        <f t="shared" ca="1" si="28"/>
        <v>-54.732947999999965</v>
      </c>
      <c r="U39">
        <f t="shared" ca="1" si="29"/>
        <v>18.726932000000001</v>
      </c>
      <c r="V39">
        <f t="shared" si="30"/>
        <v>49</v>
      </c>
      <c r="W39">
        <f t="shared" ca="1" si="31"/>
        <v>58.913764000000015</v>
      </c>
      <c r="X39">
        <f t="shared" ca="1" si="32"/>
        <v>17.399947999999998</v>
      </c>
      <c r="Y39">
        <f>GetFollowingCarRow($B$45:$E$54,L39,$E$15,E39)</f>
        <v>45</v>
      </c>
      <c r="Z39">
        <f t="shared" ca="1" si="33"/>
        <v>-77.882947999999942</v>
      </c>
      <c r="AA39">
        <f t="shared" ca="1" si="34"/>
        <v>18.726932000000001</v>
      </c>
      <c r="AB39">
        <f t="shared" si="35"/>
        <v>3.0599999999999996</v>
      </c>
      <c r="AC39">
        <f t="shared" si="36"/>
        <v>23.149999999999977</v>
      </c>
      <c r="AD39">
        <f t="shared" si="37"/>
        <v>95.68810367170633</v>
      </c>
      <c r="AE39">
        <f t="shared" si="38"/>
        <v>-2215.1795999999995</v>
      </c>
      <c r="AF39">
        <f t="shared" si="39"/>
        <v>23.351361844654779</v>
      </c>
      <c r="AG39">
        <f t="shared" si="40"/>
        <v>73.067689297982525</v>
      </c>
      <c r="AH39">
        <f t="shared" si="41"/>
        <v>0.5298956075275294</v>
      </c>
      <c r="AI39">
        <f>IF(G39&lt;=0,1,0)</f>
        <v>0</v>
      </c>
      <c r="AJ39">
        <f>IF(G39&lt;0,1,0)</f>
        <v>0</v>
      </c>
      <c r="AK39">
        <f>MAX(($B$3-G39)/(G39 + 1),0) / $B$3</f>
        <v>1.9998066652166555E-2</v>
      </c>
      <c r="AL39">
        <f>IF(H39+ABS(K39)&lt;0,Logistic(SQRT(H39^2+K39^2)/$B$4),0)</f>
        <v>0</v>
      </c>
      <c r="AM39">
        <f>IF(G39&gt;$B$3,1,0)</f>
        <v>0</v>
      </c>
      <c r="AN39">
        <f>IF(H39&gt;$B$4,1,0)</f>
        <v>0</v>
      </c>
      <c r="AO39">
        <f>ABS(H39)/$B$4</f>
        <v>8.8749999999999996E-2</v>
      </c>
      <c r="AP39">
        <f>Logistic(I39/$B$5)</f>
        <v>1.1874441844634499E-2</v>
      </c>
      <c r="AQ39">
        <f>IF(I39&gt;$B$5,1,0)</f>
        <v>0</v>
      </c>
      <c r="AR39">
        <f>Logistic(ABS(F39-O39)/($B$6/2))</f>
        <v>0.23549574953849797</v>
      </c>
      <c r="AS39">
        <f>IF(OR(F39&lt;M39,F39&gt;N39),1,0)</f>
        <v>0</v>
      </c>
      <c r="AT39">
        <f>ABS(K39)/$B$4</f>
        <v>0.155</v>
      </c>
      <c r="AU39">
        <f t="shared" ca="1" si="42"/>
        <v>0</v>
      </c>
      <c r="AV39">
        <f ca="1">IF(AND(L39&lt;&gt;$L$15,$Q$15&gt;Safety_Distance),1,0)</f>
        <v>0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</v>
      </c>
      <c r="BA39">
        <f t="shared" ca="1" si="43"/>
        <v>0</v>
      </c>
      <c r="BB39">
        <f t="shared" ca="1" si="44"/>
        <v>0</v>
      </c>
      <c r="BC39">
        <f t="shared" si="45"/>
        <v>0</v>
      </c>
      <c r="BE39">
        <f>Logistic((D39-$B$2)/$B$2)</f>
        <v>0.5298956075275294</v>
      </c>
      <c r="BF39">
        <f t="shared" si="46"/>
        <v>0</v>
      </c>
      <c r="BG39">
        <f t="shared" si="47"/>
        <v>0</v>
      </c>
      <c r="BH39">
        <f>Logistic(($B$3-G39)/(G39+1))</f>
        <v>0.20905168439939875</v>
      </c>
      <c r="BI39">
        <f>IF(G39&gt;$B$3,1,0)</f>
        <v>0</v>
      </c>
      <c r="BJ39">
        <f>IF(H39&gt;$B$5,1,0)</f>
        <v>0</v>
      </c>
      <c r="BK39">
        <f>EXP(-($B$4-ABS(H39))/MAX(ABS(H39),0.000000001))</f>
        <v>3.4740457297736573E-5</v>
      </c>
      <c r="BL39">
        <f t="shared" si="48"/>
        <v>0</v>
      </c>
      <c r="BM39">
        <f>EXP(-($B$5-I39)/MAX(I39,0.000000001))</f>
        <v>1.4067309199104699E-18</v>
      </c>
      <c r="BN39">
        <f>IF(F39&gt;N39,(F39-N39)/$B$6,0)+IF(F39&lt;M39,(M39-F39)/$B$6,0)</f>
        <v>0</v>
      </c>
      <c r="BO39">
        <f>ABS(K39/$B$4)</f>
        <v>0.155</v>
      </c>
      <c r="BP39">
        <f>Logistic(ABS(H39)/$B$4)</f>
        <v>4.4345896051946845E-2</v>
      </c>
      <c r="BQ39">
        <f>Logistic(($B$3-G39)/G39)</f>
        <v>0.22290633553275979</v>
      </c>
    </row>
    <row r="40" spans="1:69" x14ac:dyDescent="0.25">
      <c r="A40" s="1" t="s">
        <v>17</v>
      </c>
      <c r="B40">
        <f t="shared" ca="1" si="2"/>
        <v>183.219546539041</v>
      </c>
      <c r="C40" t="s">
        <v>314</v>
      </c>
      <c r="D40">
        <f t="shared" si="17"/>
        <v>135</v>
      </c>
      <c r="E40">
        <f t="shared" si="18"/>
        <v>653.87</v>
      </c>
      <c r="F40">
        <f t="shared" si="19"/>
        <v>9.43</v>
      </c>
      <c r="G40">
        <f t="shared" si="20"/>
        <v>-10.8</v>
      </c>
      <c r="H40">
        <f t="shared" si="21"/>
        <v>-6.91</v>
      </c>
      <c r="I40">
        <f t="shared" si="22"/>
        <v>6.01</v>
      </c>
      <c r="J40">
        <f t="shared" si="23"/>
        <v>-1.92</v>
      </c>
      <c r="K40">
        <f t="shared" si="24"/>
        <v>2.78</v>
      </c>
      <c r="L40">
        <f t="shared" si="3"/>
        <v>2</v>
      </c>
      <c r="M40">
        <f>$B$6*(L40-1)</f>
        <v>4</v>
      </c>
      <c r="N40">
        <f>$B$6*L40</f>
        <v>8</v>
      </c>
      <c r="O40">
        <f t="shared" si="4"/>
        <v>6</v>
      </c>
      <c r="P40">
        <f t="shared" si="5"/>
        <v>49</v>
      </c>
      <c r="Q40">
        <f t="shared" ca="1" si="25"/>
        <v>82.063763999999992</v>
      </c>
      <c r="R40">
        <f t="shared" ca="1" si="26"/>
        <v>17.399947999999998</v>
      </c>
      <c r="S40">
        <f t="shared" si="27"/>
        <v>45</v>
      </c>
      <c r="T40">
        <f t="shared" ca="1" si="28"/>
        <v>-54.732947999999965</v>
      </c>
      <c r="U40">
        <f t="shared" ca="1" si="29"/>
        <v>18.726932000000001</v>
      </c>
      <c r="V40">
        <f t="shared" si="30"/>
        <v>49</v>
      </c>
      <c r="W40">
        <f t="shared" ca="1" si="31"/>
        <v>76.303764000000001</v>
      </c>
      <c r="X40">
        <f t="shared" ca="1" si="32"/>
        <v>17.399947999999998</v>
      </c>
      <c r="Y40">
        <f>GetFollowingCarRow($B$45:$E$54,L40,$E$15,E40)</f>
        <v>45</v>
      </c>
      <c r="Z40">
        <f t="shared" ca="1" si="33"/>
        <v>-60.492947999999956</v>
      </c>
      <c r="AA40">
        <f t="shared" ca="1" si="34"/>
        <v>18.726932000000001</v>
      </c>
      <c r="AB40">
        <f t="shared" si="35"/>
        <v>0.58999999999999986</v>
      </c>
      <c r="AC40">
        <f t="shared" si="36"/>
        <v>5.7599999999999909</v>
      </c>
      <c r="AD40">
        <f t="shared" si="37"/>
        <v>76.40626736111119</v>
      </c>
      <c r="AE40">
        <f t="shared" si="38"/>
        <v>-440.10009999999977</v>
      </c>
      <c r="AF40">
        <f t="shared" si="39"/>
        <v>5.7901381676087746</v>
      </c>
      <c r="AG40">
        <f t="shared" si="40"/>
        <v>58.152177781114126</v>
      </c>
      <c r="AH40">
        <f t="shared" si="41"/>
        <v>0.69106946983293061</v>
      </c>
      <c r="AI40">
        <f>IF(G40&lt;=0,1,0)</f>
        <v>1</v>
      </c>
      <c r="AJ40">
        <f>IF(G40&lt;0,1,0)</f>
        <v>1</v>
      </c>
      <c r="AK40">
        <f>MAX(($B$3-G40)/(G40 + 1),0) / $B$3</f>
        <v>0</v>
      </c>
      <c r="AL40">
        <f>IF(H40+ABS(K40)&lt;0,Logistic(SQRT(H40^2+K40^2)/$B$4),0)</f>
        <v>0.43456915865787626</v>
      </c>
      <c r="AM40">
        <f>IF(G40&gt;$B$3,1,0)</f>
        <v>0</v>
      </c>
      <c r="AN40">
        <f>IF(H40&gt;$B$4,1,0)</f>
        <v>0</v>
      </c>
      <c r="AO40">
        <f>ABS(H40)/$B$4</f>
        <v>0.86375000000000002</v>
      </c>
      <c r="AP40">
        <f>Logistic(I40/$B$5)</f>
        <v>0.3589020137849207</v>
      </c>
      <c r="AQ40">
        <f>IF(I40&gt;$B$5,1,0)</f>
        <v>0</v>
      </c>
      <c r="AR40">
        <f>Logistic(ABS(F40-O40)/($B$6/2))</f>
        <v>0.6949673662774124</v>
      </c>
      <c r="AS40">
        <f>IF(OR(F40&lt;M40,F40&gt;N40),1,0)</f>
        <v>1</v>
      </c>
      <c r="AT40">
        <f>ABS(K40)/$B$4</f>
        <v>0.34749999999999998</v>
      </c>
      <c r="AU40">
        <f t="shared" ca="1" si="42"/>
        <v>0</v>
      </c>
      <c r="AV40">
        <f ca="1">IF(AND(L40&lt;&gt;$L$15,$Q$15&gt;Safety_Distance),1,0)</f>
        <v>0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0.81463381295422099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0.79512619868532242</v>
      </c>
      <c r="BA40">
        <f t="shared" ca="1" si="43"/>
        <v>0</v>
      </c>
      <c r="BB40">
        <f t="shared" ca="1" si="44"/>
        <v>0</v>
      </c>
      <c r="BC40">
        <f t="shared" si="45"/>
        <v>0</v>
      </c>
      <c r="BE40">
        <f>Logistic((D40-$B$2)/$B$2)</f>
        <v>0.69106946983293061</v>
      </c>
      <c r="BF40">
        <f t="shared" si="46"/>
        <v>1</v>
      </c>
      <c r="BG40">
        <f t="shared" si="47"/>
        <v>1</v>
      </c>
      <c r="BH40">
        <f>Logistic(($B$3-G40)/(G40+1))</f>
        <v>-0.92658294404183028</v>
      </c>
      <c r="BI40">
        <f>IF(G40&gt;$B$3,1,0)</f>
        <v>0</v>
      </c>
      <c r="BJ40">
        <f>IF(H40&gt;$B$5,1,0)</f>
        <v>0</v>
      </c>
      <c r="BK40">
        <f>EXP(-($B$4-ABS(H40))/MAX(ABS(H40),0.000000001))</f>
        <v>0.85406976002694346</v>
      </c>
      <c r="BL40">
        <f t="shared" si="48"/>
        <v>1</v>
      </c>
      <c r="BM40">
        <f>EXP(-($B$5-I40)/MAX(I40,0.000000001))</f>
        <v>0.71812271760623603</v>
      </c>
      <c r="BN40">
        <f>IF(F40&gt;N40,(F40-N40)/$B$6,0)+IF(F40&lt;M40,(M40-F40)/$B$6,0)</f>
        <v>0.35749999999999993</v>
      </c>
      <c r="BO40">
        <f>ABS(K40/$B$4)</f>
        <v>0.34749999999999998</v>
      </c>
      <c r="BP40">
        <f>Logistic(ABS(H40)/$B$4)</f>
        <v>0.40688708184613043</v>
      </c>
      <c r="BQ40">
        <f>Logistic(($B$3-G40)/G40)</f>
        <v>-0.90191805117356649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593.37705200000005</v>
      </c>
      <c r="C45">
        <v>6.1475499999999998</v>
      </c>
      <c r="D45">
        <v>18.726932000000001</v>
      </c>
      <c r="E45">
        <v>2</v>
      </c>
    </row>
    <row r="46" spans="1:69" x14ac:dyDescent="0.25">
      <c r="B46">
        <v>568.89505899999995</v>
      </c>
      <c r="C46">
        <v>5.7652960000000002</v>
      </c>
      <c r="D46">
        <v>19.861370000000001</v>
      </c>
      <c r="E46">
        <v>2</v>
      </c>
    </row>
    <row r="47" spans="1:69" x14ac:dyDescent="0.25">
      <c r="B47">
        <v>695.41357100000005</v>
      </c>
      <c r="C47">
        <v>10.01179</v>
      </c>
      <c r="D47">
        <v>14.782245</v>
      </c>
      <c r="E47">
        <v>3</v>
      </c>
    </row>
    <row r="48" spans="1:69" x14ac:dyDescent="0.25">
      <c r="B48">
        <v>763.95478400000002</v>
      </c>
      <c r="C48">
        <v>2.104133</v>
      </c>
      <c r="D48">
        <v>17.41412</v>
      </c>
      <c r="E48">
        <v>1</v>
      </c>
    </row>
    <row r="49" spans="2:5" x14ac:dyDescent="0.25">
      <c r="B49">
        <v>730.17376400000001</v>
      </c>
      <c r="C49">
        <v>5.9709240000000001</v>
      </c>
      <c r="D49">
        <v>17.399947999999998</v>
      </c>
      <c r="E49">
        <v>2</v>
      </c>
    </row>
    <row r="50" spans="2:5" x14ac:dyDescent="0.25">
      <c r="B50">
        <v>512.48226999999997</v>
      </c>
      <c r="C50">
        <v>5.9626049999999999</v>
      </c>
      <c r="D50">
        <v>19.843527999999999</v>
      </c>
      <c r="E50">
        <v>2</v>
      </c>
    </row>
    <row r="51" spans="2:5" x14ac:dyDescent="0.25">
      <c r="B51">
        <v>690.75187100000005</v>
      </c>
      <c r="C51">
        <v>2.0655800000000002</v>
      </c>
      <c r="D51">
        <v>15.754671999999999</v>
      </c>
      <c r="E51">
        <v>1</v>
      </c>
    </row>
    <row r="52" spans="2:5" x14ac:dyDescent="0.25">
      <c r="B52">
        <v>810.32151999999996</v>
      </c>
      <c r="C52">
        <v>5.9195330000000004</v>
      </c>
      <c r="D52">
        <v>17.831457</v>
      </c>
      <c r="E52">
        <v>2</v>
      </c>
    </row>
    <row r="53" spans="2:5" x14ac:dyDescent="0.25">
      <c r="B53">
        <v>557.91824899999995</v>
      </c>
      <c r="C53">
        <v>1.5968169999999999</v>
      </c>
      <c r="D53">
        <v>18.734213</v>
      </c>
      <c r="E53">
        <v>1</v>
      </c>
    </row>
    <row r="54" spans="2:5" x14ac:dyDescent="0.25">
      <c r="B54">
        <v>672.79832299999998</v>
      </c>
      <c r="C54">
        <v>9.9834890000000005</v>
      </c>
      <c r="D54">
        <v>14.863891000000001</v>
      </c>
      <c r="E54">
        <v>3</v>
      </c>
    </row>
    <row r="55" spans="2:5" x14ac:dyDescent="0.25">
      <c r="B55">
        <v>541.03934800000002</v>
      </c>
      <c r="C55">
        <v>6.0092160000000003</v>
      </c>
      <c r="D55">
        <v>19.772068999999998</v>
      </c>
      <c r="E55">
        <v>2</v>
      </c>
    </row>
    <row r="56" spans="2:5" x14ac:dyDescent="0.25">
      <c r="B56">
        <v>670.09189800000001</v>
      </c>
      <c r="C56">
        <v>2.0066609999999998</v>
      </c>
      <c r="D56">
        <v>14.847282</v>
      </c>
      <c r="E56">
        <v>1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BQ55"/>
  <sheetViews>
    <sheetView topLeftCell="A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Change Lane Left in 30  Accel +1</v>
      </c>
    </row>
    <row r="12" spans="1:69" x14ac:dyDescent="0.25">
      <c r="A12" t="s">
        <v>183</v>
      </c>
      <c r="B12">
        <f ca="1">INDEX(A16:F40,MATCH(MIN(B16:B40),B16:B40,0),5)</f>
        <v>361.88</v>
      </c>
      <c r="C12">
        <f ca="1">INDEX(A16:F40,MATCH(MIN(B16:B40),B16:B40,0),6)</f>
        <v>7.51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336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330.08</v>
      </c>
      <c r="F15">
        <f>VALUE(MID(C15,FIND("d[",C15)+2,FIND("]",C15,FIND("d[",C15))-(FIND("d[",C15)+2)))</f>
        <v>10.220000000000001</v>
      </c>
      <c r="G15">
        <f>VALUE(MID(C15,FIND("s_dot[",C15)+6,FIND("]",C15,FIND("s_dot[",C15))-(FIND("s_dot[",C15)+6)))</f>
        <v>20.9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0.11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3</v>
      </c>
      <c r="M15">
        <f t="shared" ref="M15:M31" si="0">$B$6*(L15-1)</f>
        <v>8</v>
      </c>
      <c r="N15">
        <f t="shared" ref="N15:N31" si="1">$B$6*L15</f>
        <v>12</v>
      </c>
      <c r="O15">
        <f>(N15+M15)/2</f>
        <v>10</v>
      </c>
      <c r="P15">
        <f>GetLeadingCarRow($B$45:$E$56,L15,$E$15, $E$15)</f>
        <v>49</v>
      </c>
      <c r="Q15">
        <f ca="1">IFERROR(INDIRECT(CONCATENATE("B", P15))-$E$15,1000000)</f>
        <v>13.78810900000002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76.397494649972415</v>
      </c>
      <c r="C16" t="s">
        <v>351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338.13</v>
      </c>
      <c r="F16">
        <f>VALUE(MID(C16,FIND("d[",C16)+2,FIND("]",C16,FIND("d[",C16))-(FIND("d[",C16)+2)))</f>
        <v>10.14</v>
      </c>
      <c r="G16">
        <f>VALUE(MID(C16,FIND("s_dot[",C16)+6,FIND("]",C16,FIND("s_dot[",C16))-(FIND("s_dot[",C16)+6)))</f>
        <v>20.23</v>
      </c>
      <c r="H16">
        <f>VALUE(MID(C16,FIND("s_dot2[",C16)+7,FIND("]",C16,FIND("s_dot2[",C16))-(FIND("s_dot2[",C16)+7)))</f>
        <v>-1.97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3</v>
      </c>
      <c r="M16">
        <f t="shared" si="0"/>
        <v>8</v>
      </c>
      <c r="N16">
        <f t="shared" si="1"/>
        <v>12</v>
      </c>
      <c r="O16">
        <f t="shared" ref="O16:O40" si="4">(N16+M16)/2</f>
        <v>10</v>
      </c>
      <c r="P16">
        <f t="shared" ref="P16:P40" si="5">GetLeadingCarRow($B$45:$E$56,L16,$E$15, $E$15)</f>
        <v>49</v>
      </c>
      <c r="Q16">
        <f ca="1">IFERROR(INDIRECT(CONCATENATE("B", P16))-$E$15,1000000)</f>
        <v>13.78810900000002</v>
      </c>
      <c r="R16">
        <f ca="1">IFERROR(INDIRECT(CONCATENATE("D", P16)),100)</f>
        <v>13.703296</v>
      </c>
      <c r="S16">
        <f>GetFollowingCarRow($B$45:$E$56,L16,$E$15, $E$15)</f>
        <v>55</v>
      </c>
      <c r="T16">
        <f ca="1">IFERROR(INDIRECT(CONCATENATE("B", S16))-$E$15,1000000)</f>
        <v>-50.842961000000003</v>
      </c>
      <c r="U16">
        <f ca="1">IFERROR(INDIRECT(CONCATENATE("D", S16)),100)</f>
        <v>21.276153999999998</v>
      </c>
      <c r="V16">
        <f>GetLeadingCarRow($B$45:$E$56,L16,$E$15,E16)</f>
        <v>49</v>
      </c>
      <c r="W16">
        <f ca="1">IFERROR(INDIRECT(CONCATENATE("B", V16))-E16,1000000000)</f>
        <v>5.7381090000000086</v>
      </c>
      <c r="X16">
        <f ca="1">IFERROR(INDIRECT(CONCATENATE("D", V16)),100)</f>
        <v>13.703296</v>
      </c>
      <c r="Y16">
        <f>GetFollowingCarRow($B$45:$E$56,L16,$E$15,E16)</f>
        <v>55</v>
      </c>
      <c r="Z16">
        <f ca="1">IFERROR(INDIRECT(CONCATENATE("B", Y16))-E16,1000000000)</f>
        <v>-58.892961000000014</v>
      </c>
      <c r="AA16">
        <f ca="1">IFERROR(INDIRECT(CONCATENATE("D", Y16)),100)</f>
        <v>21.276153999999998</v>
      </c>
      <c r="AB16">
        <f>$F$15-F16</f>
        <v>8.0000000000000071E-2</v>
      </c>
      <c r="AC16">
        <f>E16-$E$15</f>
        <v>8.0500000000000114</v>
      </c>
      <c r="AD16">
        <f>$F$15-(-AB16/AC16)*$E$15</f>
        <v>13.500298136645961</v>
      </c>
      <c r="AE16">
        <f>AD16*-AC16</f>
        <v>-108.67740000000013</v>
      </c>
      <c r="AF16">
        <f>SQRT(AB16^2+AC16^2)</f>
        <v>8.0503975057136259</v>
      </c>
      <c r="AG16">
        <f>GetSmallestNormalDistance($B$45:$E$56,AB16,AC16,AF16,$L$15,L16)</f>
        <v>12.584577053256881</v>
      </c>
      <c r="AH16">
        <f t="shared" ref="AH16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2.1975553417686866E-3</v>
      </c>
      <c r="AL16">
        <f>IF(H16+ABS(K16)&lt;0,Logistic(SQRT(H16^2+K16^2)/$B$4),0)</f>
        <v>0.12250656779683977</v>
      </c>
      <c r="AM16">
        <f>IF(G16&gt;$B$3,1,0)</f>
        <v>0</v>
      </c>
      <c r="AN16">
        <f>IF(H16&gt;$B$4,1,0)</f>
        <v>0</v>
      </c>
      <c r="AO16">
        <f>ABS(H16)/$B$4</f>
        <v>0.24625</v>
      </c>
      <c r="AP16">
        <f>Logistic(I16/$B$5)</f>
        <v>0.12435300177159621</v>
      </c>
      <c r="AQ16">
        <f>IF(I16&gt;$B$5,1,0)</f>
        <v>0</v>
      </c>
      <c r="AR16">
        <f>Logistic(ABS(F16-O16)/($B$6/2))</f>
        <v>3.4985715332779596E-2</v>
      </c>
      <c r="AS16">
        <f>IF(OR(F16&lt;M16,F16&gt;N16),1,0)</f>
        <v>0</v>
      </c>
      <c r="AT16">
        <f>ABS(K16)/$B$4</f>
        <v>0</v>
      </c>
      <c r="AU16">
        <f ca="1">MAX(($B$7-W16)/(W16+1),0)/$B$7</f>
        <v>0.12002324391012356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0.78874315427817754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0.91208259176454132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1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1" si="8">Logistic(($B$3-G16)/(G16+1))</f>
        <v>2.3311837923076322E-2</v>
      </c>
      <c r="BI16">
        <f t="shared" ref="BI16:BI31" si="9">IF(G16&gt;$B$3,1,0)</f>
        <v>0</v>
      </c>
      <c r="BJ16">
        <f t="shared" ref="BJ16:BJ31" si="10">IF(H16&gt;$B$5,1,0)</f>
        <v>0</v>
      </c>
      <c r="BK16">
        <f t="shared" ref="BK16:BK31" si="11">EXP(-($B$4-ABS(H16))/MAX(ABS(H16),0.000000001))</f>
        <v>4.6844873237378008E-2</v>
      </c>
      <c r="BL16">
        <f>IF(G16&lt;ABS(H16),1,0)</f>
        <v>0</v>
      </c>
      <c r="BM16">
        <f t="shared" ref="BM16:BM31" si="12">EXP(-($B$5-I16)/MAX(I16,0.000000001))</f>
        <v>4.9787068367863944E-2</v>
      </c>
      <c r="BN16">
        <f t="shared" ref="BN16:BN31" si="13">IF(F16&gt;N16,(F16-N16)/$B$6,0)+IF(F16&lt;M16,(M16-F16)/$B$6,0)</f>
        <v>0</v>
      </c>
      <c r="BO16">
        <f t="shared" ref="BO16:BO31" si="14">ABS(K16/$B$4)</f>
        <v>0</v>
      </c>
      <c r="BP16">
        <f t="shared" ref="BP16:BP31" si="15">Logistic(ABS(H16)/$B$4)</f>
        <v>0.12250656779683977</v>
      </c>
      <c r="BQ16">
        <f t="shared" ref="BQ16:BQ31" si="16">Logistic(($B$3-G16)/G16)</f>
        <v>2.4463728918445241E-2</v>
      </c>
    </row>
    <row r="17" spans="1:69" x14ac:dyDescent="0.25">
      <c r="A17" s="1" t="s">
        <v>15</v>
      </c>
      <c r="B17">
        <f t="shared" ca="1" si="2"/>
        <v>76.8744973702739</v>
      </c>
      <c r="C17" t="s">
        <v>350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338.24</v>
      </c>
      <c r="F17">
        <f t="shared" ref="F17:F40" si="19">VALUE(MID(C17,FIND("d[",C17)+2,FIND("]",C17,FIND("d[",C17))-(FIND("d[",C17)+2)))</f>
        <v>10.15</v>
      </c>
      <c r="G17">
        <f t="shared" ref="G17:G40" si="20">VALUE(MID(C17,FIND("s_dot[",C17)+6,FIND("]",C17,FIND("s_dot[",C17))-(FIND("s_dot[",C17)+6)))</f>
        <v>20.57</v>
      </c>
      <c r="H17">
        <f t="shared" ref="H17:H40" si="21">VALUE(MID(C17,FIND("s_dot2[",C17)+7,FIND("]",C17,FIND("s_dot2[",C17))-(FIND("s_dot2[",C17)+7)))</f>
        <v>-0.97</v>
      </c>
      <c r="I17">
        <f t="shared" ref="I17:I40" si="22">VALUE(MID(C17,FIND("s_dot3[",C17)+7,FIND("]",C17,FIND("s_dot3[",C17))-(FIND("s_dot3[",C17)+7)))</f>
        <v>1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3</v>
      </c>
      <c r="M17">
        <f t="shared" si="0"/>
        <v>8</v>
      </c>
      <c r="N17">
        <f t="shared" si="1"/>
        <v>12</v>
      </c>
      <c r="O17">
        <f t="shared" si="4"/>
        <v>10</v>
      </c>
      <c r="P17">
        <f t="shared" si="5"/>
        <v>49</v>
      </c>
      <c r="Q17">
        <f t="shared" ref="Q17:Q40" ca="1" si="25">IFERROR(INDIRECT(CONCATENATE("B", P17))-$E$15,1000000)</f>
        <v>13.78810900000002</v>
      </c>
      <c r="R17">
        <f t="shared" ref="R17:R40" ca="1" si="26">IFERROR(INDIRECT(CONCATENATE("D", P17)),100)</f>
        <v>13.703296</v>
      </c>
      <c r="S17">
        <f t="shared" ref="S17:S40" si="27">GetFollowingCarRow($B$45:$E$56,L17,$E$15, $E$15)</f>
        <v>55</v>
      </c>
      <c r="T17">
        <f t="shared" ref="T17:T40" ca="1" si="28">IFERROR(INDIRECT(CONCATENATE("B", S17))-$E$15,1000000)</f>
        <v>-50.842961000000003</v>
      </c>
      <c r="U17">
        <f t="shared" ref="U17:U40" ca="1" si="29">IFERROR(INDIRECT(CONCATENATE("D", S17)),100)</f>
        <v>21.276153999999998</v>
      </c>
      <c r="V17">
        <f t="shared" ref="V17:V40" si="30">GetLeadingCarRow($B$45:$E$56,L17,$E$15,E17)</f>
        <v>49</v>
      </c>
      <c r="W17">
        <f t="shared" ref="W17:W40" ca="1" si="31">IFERROR(INDIRECT(CONCATENATE("B", V17))-E17,1000000000)</f>
        <v>5.6281089999999949</v>
      </c>
      <c r="X17">
        <f t="shared" ref="X17:X40" ca="1" si="32">IFERROR(INDIRECT(CONCATENATE("D", V17)),100)</f>
        <v>13.703296</v>
      </c>
      <c r="Y17" t="e">
        <f>GetFollowingCarRow($B$45:$E$54,L17,$E$15,E17)</f>
        <v>#VALUE!</v>
      </c>
      <c r="Z17">
        <f t="shared" ref="Z17:Z40" ca="1" si="33">IFERROR(INDIRECT(CONCATENATE("B", Y17))-E17,1000000000)</f>
        <v>1000000000</v>
      </c>
      <c r="AA17">
        <f t="shared" ref="AA17:AA40" ca="1" si="34">IFERROR(INDIRECT(CONCATENATE("D", Y17)),100)</f>
        <v>100</v>
      </c>
      <c r="AB17">
        <f t="shared" ref="AB17:AB40" si="35">$F$15-F17</f>
        <v>7.0000000000000284E-2</v>
      </c>
      <c r="AC17">
        <f t="shared" ref="AC17:AC40" si="36">E17-$E$15</f>
        <v>8.160000000000025</v>
      </c>
      <c r="AD17">
        <f t="shared" ref="AD17:AD40" si="37">$F$15-(-AB17/AC17)*$E$15</f>
        <v>13.051568627450983</v>
      </c>
      <c r="AE17">
        <f t="shared" ref="AE17:AE40" si="38">AD17*-AC17</f>
        <v>-106.50080000000035</v>
      </c>
      <c r="AF17">
        <f t="shared" ref="AF17:AF40" si="39">SQRT(AB17^2+AC17^2)</f>
        <v>8.1603002395745481</v>
      </c>
      <c r="AG17">
        <f t="shared" ref="AG17:AG40" si="40">GetSmallestNormalDistance($B$45:$E$56,AB17,AC17,AF17,$L$15,L17)</f>
        <v>12.205138699062502</v>
      </c>
      <c r="AH17">
        <f t="shared" ref="AH17:AH40" si="41">Logistic((D17-$B$2)/$B$2)</f>
        <v>0</v>
      </c>
      <c r="AI17">
        <f>IF(G17&lt;=0,1,0)</f>
        <v>0</v>
      </c>
      <c r="AJ17">
        <f>IF(G17&lt;0,1,0)</f>
        <v>0</v>
      </c>
      <c r="AK17">
        <f>MAX(($B$3-G17)/(G17 + 1),0) / $B$3</f>
        <v>1.4200964179924874E-3</v>
      </c>
      <c r="AL17">
        <f>IF(H17+ABS(K17)&lt;0,Logistic(SQRT(H17^2+K17^2)/$B$4),0)</f>
        <v>6.0550835512596476E-2</v>
      </c>
      <c r="AM17">
        <f>IF(G17&gt;$B$3,1,0)</f>
        <v>0</v>
      </c>
      <c r="AN17">
        <f>IF(H17&gt;$B$4,1,0)</f>
        <v>0</v>
      </c>
      <c r="AO17">
        <f>ABS(H17)/$B$4</f>
        <v>0.12125</v>
      </c>
      <c r="AP17">
        <f>Logistic(I17/$B$5)</f>
        <v>6.2418746747512487E-2</v>
      </c>
      <c r="AQ17">
        <f>IF(I17&gt;$B$5,1,0)</f>
        <v>0</v>
      </c>
      <c r="AR17">
        <f>Logistic(ABS(F17-O17)/($B$6/2))</f>
        <v>3.7482431757070556E-2</v>
      </c>
      <c r="AS17">
        <f>IF(OR(F17&lt;M17,F17&gt;N17),1,0)</f>
        <v>0</v>
      </c>
      <c r="AT17">
        <f>ABS(K17)/$B$4</f>
        <v>0</v>
      </c>
      <c r="AU17">
        <f t="shared" ref="AU17:AU40" ca="1" si="42">MAX(($B$7-W17)/(W17+1),0)/$B$7</f>
        <v>0.12256834742257067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0.79920338782624067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0.91803769319312445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3">IF(OR(ABS(Q17)&lt;$B$8,ABS(W17)&lt;$B$8),1,0)</f>
        <v>0</v>
      </c>
      <c r="BB17">
        <f t="shared" ref="BB17:BB40" ca="1" si="44">IF(OR(ABS(T17)&lt;$B$8,ABS(Z17)&lt;$B$8),1,0)</f>
        <v>0</v>
      </c>
      <c r="BC17">
        <f t="shared" ref="BC17:BC40" si="45">IFERROR(IF(P17=Y17,1,0),0)</f>
        <v>0</v>
      </c>
      <c r="BE17">
        <f t="shared" si="7"/>
        <v>0</v>
      </c>
      <c r="BF17">
        <f t="shared" ref="BF17:BF40" si="46">IF(G17&lt;=0,1,0)</f>
        <v>0</v>
      </c>
      <c r="BG17">
        <f t="shared" ref="BG17:BG40" si="47">IF(G17&lt;0,1,0)</f>
        <v>0</v>
      </c>
      <c r="BH17">
        <f t="shared" si="8"/>
        <v>1.506608290537091E-2</v>
      </c>
      <c r="BI17">
        <f t="shared" si="9"/>
        <v>0</v>
      </c>
      <c r="BJ17">
        <f t="shared" si="10"/>
        <v>0</v>
      </c>
      <c r="BK17">
        <f t="shared" si="11"/>
        <v>7.1200709592698702E-4</v>
      </c>
      <c r="BL17">
        <f t="shared" ref="BL17:BL40" si="48">IF(G17&lt;ABS(H17),1,0)</f>
        <v>0</v>
      </c>
      <c r="BM17">
        <f t="shared" si="12"/>
        <v>9.1188196555451624E-4</v>
      </c>
      <c r="BN17">
        <f t="shared" si="13"/>
        <v>0</v>
      </c>
      <c r="BO17">
        <f t="shared" si="14"/>
        <v>0</v>
      </c>
      <c r="BP17">
        <f t="shared" si="15"/>
        <v>6.0550835512596476E-2</v>
      </c>
      <c r="BQ17">
        <f t="shared" si="16"/>
        <v>1.5798393746488351E-2</v>
      </c>
    </row>
    <row r="18" spans="1:69" x14ac:dyDescent="0.25">
      <c r="A18" s="1" t="s">
        <v>14</v>
      </c>
      <c r="B18">
        <f t="shared" ca="1" si="2"/>
        <v>77.596845306392694</v>
      </c>
      <c r="C18" t="s">
        <v>349</v>
      </c>
      <c r="D18">
        <f t="shared" si="17"/>
        <v>50</v>
      </c>
      <c r="E18">
        <f t="shared" si="18"/>
        <v>338.42</v>
      </c>
      <c r="F18">
        <f t="shared" si="19"/>
        <v>10.15</v>
      </c>
      <c r="G18">
        <f t="shared" si="20"/>
        <v>21.08</v>
      </c>
      <c r="H18">
        <f t="shared" si="21"/>
        <v>0.53</v>
      </c>
      <c r="I18">
        <f t="shared" si="22"/>
        <v>0.5</v>
      </c>
      <c r="J18">
        <f t="shared" si="23"/>
        <v>0</v>
      </c>
      <c r="K18">
        <f t="shared" si="24"/>
        <v>0</v>
      </c>
      <c r="L18">
        <f t="shared" si="3"/>
        <v>3</v>
      </c>
      <c r="M18">
        <f t="shared" si="0"/>
        <v>8</v>
      </c>
      <c r="N18">
        <f t="shared" si="1"/>
        <v>12</v>
      </c>
      <c r="O18">
        <f t="shared" si="4"/>
        <v>10</v>
      </c>
      <c r="P18">
        <f t="shared" si="5"/>
        <v>49</v>
      </c>
      <c r="Q18">
        <f t="shared" ca="1" si="25"/>
        <v>13.78810900000002</v>
      </c>
      <c r="R18">
        <f t="shared" ca="1" si="26"/>
        <v>13.703296</v>
      </c>
      <c r="S18">
        <f t="shared" si="27"/>
        <v>55</v>
      </c>
      <c r="T18">
        <f t="shared" ca="1" si="28"/>
        <v>-50.842961000000003</v>
      </c>
      <c r="U18">
        <f t="shared" ca="1" si="29"/>
        <v>21.276153999999998</v>
      </c>
      <c r="V18">
        <f t="shared" si="30"/>
        <v>49</v>
      </c>
      <c r="W18">
        <f t="shared" ca="1" si="31"/>
        <v>5.4481089999999881</v>
      </c>
      <c r="X18">
        <f t="shared" ca="1" si="32"/>
        <v>13.703296</v>
      </c>
      <c r="Y18" t="e">
        <f>GetFollowingCarRow($B$45:$E$54,L18,$E$15,E18)</f>
        <v>#VALUE!</v>
      </c>
      <c r="Z18">
        <f t="shared" ca="1" si="33"/>
        <v>1000000000</v>
      </c>
      <c r="AA18">
        <f t="shared" ca="1" si="34"/>
        <v>100</v>
      </c>
      <c r="AB18">
        <f t="shared" si="35"/>
        <v>7.0000000000000284E-2</v>
      </c>
      <c r="AC18">
        <f t="shared" si="36"/>
        <v>8.3400000000000318</v>
      </c>
      <c r="AD18">
        <f t="shared" si="37"/>
        <v>12.990455635491607</v>
      </c>
      <c r="AE18">
        <f t="shared" si="38"/>
        <v>-108.34040000000041</v>
      </c>
      <c r="AF18">
        <f t="shared" si="39"/>
        <v>8.3402937598144913</v>
      </c>
      <c r="AG18">
        <f t="shared" si="40"/>
        <v>12.153460073360169</v>
      </c>
      <c r="AH18">
        <f t="shared" si="41"/>
        <v>0</v>
      </c>
      <c r="AI18">
        <f>IF(G18&lt;=0,1,0)</f>
        <v>0</v>
      </c>
      <c r="AJ18">
        <f>IF(G18&lt;0,1,0)</f>
        <v>0</v>
      </c>
      <c r="AK18">
        <f>MAX(($B$3-G18)/(G18 + 1),0) / $B$3</f>
        <v>2.9880205985602989E-4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6.6250000000000003E-2</v>
      </c>
      <c r="AP18">
        <f>Logistic(I18/$B$5)</f>
        <v>3.1239831446031246E-2</v>
      </c>
      <c r="AQ18">
        <f>IF(I18&gt;$B$5,1,0)</f>
        <v>0</v>
      </c>
      <c r="AR18">
        <f>Logistic(ABS(F18-O18)/($B$6/2))</f>
        <v>3.7482431757070556E-2</v>
      </c>
      <c r="AS18">
        <f>IF(OR(F18&lt;M18,F18&gt;N18),1,0)</f>
        <v>0</v>
      </c>
      <c r="AT18">
        <f>ABS(K18)/$B$4</f>
        <v>0</v>
      </c>
      <c r="AU18">
        <f t="shared" ca="1" si="42"/>
        <v>0.1269203679197527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0.81308577652024505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0.92614439999219178</v>
      </c>
      <c r="AZ18">
        <f ca="1">MAX(1-(IF(Z18/(G18-AA18)&gt;0,Z18/(G18-AA18),Collision_Time_Buffer)/Collision_Time_Buffer),0)*IF($L$15&lt;&gt;L18,Lane_Change_Multiplier,1)</f>
        <v>0</v>
      </c>
      <c r="BA18">
        <f t="shared" ca="1" si="43"/>
        <v>0</v>
      </c>
      <c r="BB18">
        <f t="shared" ca="1" si="44"/>
        <v>0</v>
      </c>
      <c r="BC18">
        <f t="shared" si="45"/>
        <v>0</v>
      </c>
      <c r="BE18">
        <f t="shared" si="7"/>
        <v>0</v>
      </c>
      <c r="BF18">
        <f t="shared" si="46"/>
        <v>0</v>
      </c>
      <c r="BG18">
        <f t="shared" si="47"/>
        <v>0</v>
      </c>
      <c r="BH18">
        <f t="shared" si="8"/>
        <v>3.1702792338645226E-3</v>
      </c>
      <c r="BI18">
        <f t="shared" si="9"/>
        <v>0</v>
      </c>
      <c r="BJ18">
        <f t="shared" si="10"/>
        <v>0</v>
      </c>
      <c r="BK18">
        <f t="shared" si="11"/>
        <v>7.5666923366084482E-7</v>
      </c>
      <c r="BL18">
        <f t="shared" si="48"/>
        <v>0</v>
      </c>
      <c r="BM18">
        <f t="shared" si="12"/>
        <v>3.0590232050182579E-7</v>
      </c>
      <c r="BN18">
        <f t="shared" si="13"/>
        <v>0</v>
      </c>
      <c r="BO18">
        <f t="shared" si="14"/>
        <v>0</v>
      </c>
      <c r="BP18">
        <f t="shared" si="15"/>
        <v>3.3112889673993937E-2</v>
      </c>
      <c r="BQ18">
        <f t="shared" si="16"/>
        <v>3.3206709063545803E-3</v>
      </c>
    </row>
    <row r="19" spans="1:69" x14ac:dyDescent="0.25">
      <c r="A19" s="1" t="s">
        <v>13</v>
      </c>
      <c r="B19">
        <f t="shared" ca="1" si="2"/>
        <v>107.84477473326014</v>
      </c>
      <c r="C19" t="s">
        <v>348</v>
      </c>
      <c r="D19">
        <f t="shared" si="17"/>
        <v>50</v>
      </c>
      <c r="E19">
        <f t="shared" si="18"/>
        <v>338.48</v>
      </c>
      <c r="F19">
        <f t="shared" si="19"/>
        <v>10.15</v>
      </c>
      <c r="G19">
        <f t="shared" si="20"/>
        <v>21.25</v>
      </c>
      <c r="H19">
        <f t="shared" si="21"/>
        <v>1.03</v>
      </c>
      <c r="I19">
        <f t="shared" si="22"/>
        <v>1</v>
      </c>
      <c r="J19">
        <f t="shared" si="23"/>
        <v>0</v>
      </c>
      <c r="K19">
        <f t="shared" si="24"/>
        <v>0</v>
      </c>
      <c r="L19">
        <f t="shared" si="3"/>
        <v>3</v>
      </c>
      <c r="M19">
        <f t="shared" si="0"/>
        <v>8</v>
      </c>
      <c r="N19">
        <f t="shared" si="1"/>
        <v>12</v>
      </c>
      <c r="O19">
        <f t="shared" si="4"/>
        <v>10</v>
      </c>
      <c r="P19">
        <f t="shared" si="5"/>
        <v>49</v>
      </c>
      <c r="Q19">
        <f t="shared" ca="1" si="25"/>
        <v>13.78810900000002</v>
      </c>
      <c r="R19">
        <f t="shared" ca="1" si="26"/>
        <v>13.703296</v>
      </c>
      <c r="S19">
        <f t="shared" si="27"/>
        <v>55</v>
      </c>
      <c r="T19">
        <f t="shared" ca="1" si="28"/>
        <v>-50.842961000000003</v>
      </c>
      <c r="U19">
        <f t="shared" ca="1" si="29"/>
        <v>21.276153999999998</v>
      </c>
      <c r="V19">
        <f t="shared" si="30"/>
        <v>49</v>
      </c>
      <c r="W19">
        <f t="shared" ca="1" si="31"/>
        <v>5.3881089999999858</v>
      </c>
      <c r="X19">
        <f t="shared" ca="1" si="32"/>
        <v>13.703296</v>
      </c>
      <c r="Y19" t="e">
        <f>GetFollowingCarRow($B$45:$E$54,L19,$E$15,E19)</f>
        <v>#VALUE!</v>
      </c>
      <c r="Z19">
        <f t="shared" ca="1" si="33"/>
        <v>1000000000</v>
      </c>
      <c r="AA19">
        <f t="shared" ca="1" si="34"/>
        <v>100</v>
      </c>
      <c r="AB19">
        <f t="shared" si="35"/>
        <v>7.0000000000000284E-2</v>
      </c>
      <c r="AC19">
        <f t="shared" si="36"/>
        <v>8.4000000000000341</v>
      </c>
      <c r="AD19">
        <f t="shared" si="37"/>
        <v>12.970666666666666</v>
      </c>
      <c r="AE19">
        <f t="shared" si="38"/>
        <v>-108.95360000000043</v>
      </c>
      <c r="AF19">
        <f t="shared" si="39"/>
        <v>8.4002916616032195</v>
      </c>
      <c r="AG19">
        <f t="shared" si="40"/>
        <v>12.136725918221579</v>
      </c>
      <c r="AH19">
        <f t="shared" si="41"/>
        <v>0</v>
      </c>
      <c r="AI19">
        <f>IF(G19&lt;=0,1,0)</f>
        <v>0</v>
      </c>
      <c r="AJ19">
        <f>IF(G19&lt;0,1,0)</f>
        <v>0</v>
      </c>
      <c r="AK19">
        <f>MAX(($B$3-G19)/(G19 + 1),0) / $B$3</f>
        <v>0</v>
      </c>
      <c r="AL19">
        <f>IF(H19+ABS(K19)&lt;0,Logistic(SQRT(H19^2+K19^2)/$B$4),0)</f>
        <v>0</v>
      </c>
      <c r="AM19">
        <f>IF(G19&gt;$B$3,1,0)</f>
        <v>1</v>
      </c>
      <c r="AN19">
        <f>IF(H19&gt;$B$4,1,0)</f>
        <v>0</v>
      </c>
      <c r="AO19">
        <f>ABS(H19)/$B$4</f>
        <v>0.12875</v>
      </c>
      <c r="AP19">
        <f>Logistic(I19/$B$5)</f>
        <v>6.2418746747512487E-2</v>
      </c>
      <c r="AQ19">
        <f>IF(I19&gt;$B$5,1,0)</f>
        <v>0</v>
      </c>
      <c r="AR19">
        <f>Logistic(ABS(F19-O19)/($B$6/2))</f>
        <v>3.7482431757070556E-2</v>
      </c>
      <c r="AS19">
        <f>IF(OR(F19&lt;M19,F19&gt;N19),1,0)</f>
        <v>0</v>
      </c>
      <c r="AT19">
        <f>ABS(K19)/$B$4</f>
        <v>0</v>
      </c>
      <c r="AU19">
        <f t="shared" ca="1" si="42"/>
        <v>0.12842554293714603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0.81729627927635673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0.92860314913636488</v>
      </c>
      <c r="AZ19">
        <f ca="1">MAX(1-(IF(Z19/(G19-AA19)&gt;0,Z19/(G19-AA19),Collision_Time_Buffer)/Collision_Time_Buffer),0)*IF($L$15&lt;&gt;L19,Lane_Change_Multiplier,1)</f>
        <v>0</v>
      </c>
      <c r="BA19">
        <f t="shared" ca="1" si="43"/>
        <v>0</v>
      </c>
      <c r="BB19">
        <f t="shared" ca="1" si="44"/>
        <v>0</v>
      </c>
      <c r="BC19">
        <f t="shared" si="45"/>
        <v>0</v>
      </c>
      <c r="BE19">
        <f t="shared" si="7"/>
        <v>0</v>
      </c>
      <c r="BF19">
        <f t="shared" si="46"/>
        <v>0</v>
      </c>
      <c r="BG19">
        <f t="shared" si="47"/>
        <v>0</v>
      </c>
      <c r="BH19">
        <f t="shared" si="8"/>
        <v>-6.7415720123868456E-4</v>
      </c>
      <c r="BI19">
        <f t="shared" si="9"/>
        <v>1</v>
      </c>
      <c r="BJ19">
        <f t="shared" si="10"/>
        <v>0</v>
      </c>
      <c r="BK19">
        <f t="shared" si="11"/>
        <v>1.1511540808475205E-3</v>
      </c>
      <c r="BL19">
        <f t="shared" si="48"/>
        <v>0</v>
      </c>
      <c r="BM19">
        <f t="shared" si="12"/>
        <v>9.1188196555451624E-4</v>
      </c>
      <c r="BN19">
        <f t="shared" si="13"/>
        <v>0</v>
      </c>
      <c r="BO19">
        <f t="shared" si="14"/>
        <v>0</v>
      </c>
      <c r="BP19">
        <f t="shared" si="15"/>
        <v>6.4286220811561504E-2</v>
      </c>
      <c r="BQ19">
        <f t="shared" si="16"/>
        <v>-7.0588223570127915E-4</v>
      </c>
    </row>
    <row r="20" spans="1:69" x14ac:dyDescent="0.25">
      <c r="A20" s="1" t="s">
        <v>12</v>
      </c>
      <c r="B20">
        <f t="shared" ca="1" si="2"/>
        <v>108.12784077647686</v>
      </c>
      <c r="C20" t="s">
        <v>347</v>
      </c>
      <c r="D20">
        <f t="shared" si="17"/>
        <v>50</v>
      </c>
      <c r="E20">
        <f t="shared" si="18"/>
        <v>338.53</v>
      </c>
      <c r="F20">
        <f t="shared" si="19"/>
        <v>10.16</v>
      </c>
      <c r="G20">
        <f t="shared" si="20"/>
        <v>21.42</v>
      </c>
      <c r="H20">
        <f t="shared" si="21"/>
        <v>1.53</v>
      </c>
      <c r="I20">
        <f t="shared" si="22"/>
        <v>1.5</v>
      </c>
      <c r="J20">
        <f t="shared" si="23"/>
        <v>0</v>
      </c>
      <c r="K20">
        <f t="shared" si="24"/>
        <v>0</v>
      </c>
      <c r="L20">
        <f t="shared" si="3"/>
        <v>3</v>
      </c>
      <c r="M20">
        <f t="shared" si="0"/>
        <v>8</v>
      </c>
      <c r="N20">
        <f t="shared" si="1"/>
        <v>12</v>
      </c>
      <c r="O20">
        <f t="shared" si="4"/>
        <v>10</v>
      </c>
      <c r="P20">
        <f t="shared" si="5"/>
        <v>49</v>
      </c>
      <c r="Q20">
        <f t="shared" ca="1" si="25"/>
        <v>13.78810900000002</v>
      </c>
      <c r="R20">
        <f t="shared" ca="1" si="26"/>
        <v>13.703296</v>
      </c>
      <c r="S20">
        <f t="shared" si="27"/>
        <v>55</v>
      </c>
      <c r="T20">
        <f t="shared" ca="1" si="28"/>
        <v>-50.842961000000003</v>
      </c>
      <c r="U20">
        <f t="shared" ca="1" si="29"/>
        <v>21.276153999999998</v>
      </c>
      <c r="V20">
        <f t="shared" si="30"/>
        <v>49</v>
      </c>
      <c r="W20">
        <f t="shared" ca="1" si="31"/>
        <v>5.3381090000000313</v>
      </c>
      <c r="X20">
        <f t="shared" ca="1" si="32"/>
        <v>13.703296</v>
      </c>
      <c r="Y20" t="e">
        <f>GetFollowingCarRow($B$45:$E$54,L20,$E$15,E20)</f>
        <v>#VALUE!</v>
      </c>
      <c r="Z20">
        <f t="shared" ca="1" si="33"/>
        <v>1000000000</v>
      </c>
      <c r="AA20">
        <f t="shared" ca="1" si="34"/>
        <v>100</v>
      </c>
      <c r="AB20">
        <f t="shared" si="35"/>
        <v>6.0000000000000497E-2</v>
      </c>
      <c r="AC20">
        <f t="shared" si="36"/>
        <v>8.4499999999999886</v>
      </c>
      <c r="AD20">
        <f t="shared" si="37"/>
        <v>12.56376331360949</v>
      </c>
      <c r="AE20">
        <f t="shared" si="38"/>
        <v>-106.16380000000005</v>
      </c>
      <c r="AF20">
        <f t="shared" si="39"/>
        <v>8.4502130150665327</v>
      </c>
      <c r="AG20">
        <f t="shared" si="40"/>
        <v>11.792622927058298</v>
      </c>
      <c r="AH20">
        <f t="shared" si="41"/>
        <v>0</v>
      </c>
      <c r="AI20">
        <f>IF(G20&lt;=0,1,0)</f>
        <v>0</v>
      </c>
      <c r="AJ20">
        <f>IF(G20&lt;0,1,0)</f>
        <v>0</v>
      </c>
      <c r="AK20">
        <f>MAX(($B$3-G20)/(G20 + 1),0) / $B$3</f>
        <v>0</v>
      </c>
      <c r="AL20">
        <f>IF(H20+ABS(K20)&lt;0,Logistic(SQRT(H20^2+K20^2)/$B$4),0)</f>
        <v>0</v>
      </c>
      <c r="AM20">
        <f>IF(G20&gt;$B$3,1,0)</f>
        <v>1</v>
      </c>
      <c r="AN20">
        <f>IF(H20&gt;$B$4,1,0)</f>
        <v>0</v>
      </c>
      <c r="AO20">
        <f>ABS(H20)/$B$4</f>
        <v>0.19125</v>
      </c>
      <c r="AP20">
        <f>Logistic(I20/$B$5)</f>
        <v>9.3476303969227723E-2</v>
      </c>
      <c r="AQ20">
        <f>IF(I20&gt;$B$5,1,0)</f>
        <v>0</v>
      </c>
      <c r="AR20">
        <f>Logistic(ABS(F20-O20)/($B$6/2))</f>
        <v>3.9978680311163584E-2</v>
      </c>
      <c r="AS20">
        <f>IF(OR(F20&lt;M20,F20&gt;N20),1,0)</f>
        <v>0</v>
      </c>
      <c r="AT20">
        <f>ABS(K20)/$B$4</f>
        <v>0</v>
      </c>
      <c r="AU20">
        <f t="shared" ca="1" si="42"/>
        <v>0.12970162446454112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0.82132126617789125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0.93082397614318202</v>
      </c>
      <c r="AZ20">
        <f ca="1">MAX(1-(IF(Z20/(G20-AA20)&gt;0,Z20/(G20-AA20),Collision_Time_Buffer)/Collision_Time_Buffer),0)*IF($L$15&lt;&gt;L20,Lane_Change_Multiplier,1)</f>
        <v>0</v>
      </c>
      <c r="BA20">
        <f t="shared" ca="1" si="43"/>
        <v>0</v>
      </c>
      <c r="BB20">
        <f t="shared" ca="1" si="44"/>
        <v>0</v>
      </c>
      <c r="BC20">
        <f t="shared" si="45"/>
        <v>0</v>
      </c>
      <c r="BE20">
        <f t="shared" si="7"/>
        <v>0</v>
      </c>
      <c r="BF20">
        <f t="shared" si="46"/>
        <v>0</v>
      </c>
      <c r="BG20">
        <f t="shared" si="47"/>
        <v>0</v>
      </c>
      <c r="BH20">
        <f t="shared" si="8"/>
        <v>-4.4602737226476135E-3</v>
      </c>
      <c r="BI20">
        <f t="shared" si="9"/>
        <v>1</v>
      </c>
      <c r="BJ20">
        <f t="shared" si="10"/>
        <v>0</v>
      </c>
      <c r="BK20">
        <f t="shared" si="11"/>
        <v>1.4570473370093961E-2</v>
      </c>
      <c r="BL20">
        <f t="shared" si="48"/>
        <v>0</v>
      </c>
      <c r="BM20">
        <f t="shared" si="12"/>
        <v>1.3123728736940968E-2</v>
      </c>
      <c r="BN20">
        <f t="shared" si="13"/>
        <v>0</v>
      </c>
      <c r="BO20">
        <f t="shared" si="14"/>
        <v>0</v>
      </c>
      <c r="BP20">
        <f t="shared" si="15"/>
        <v>9.5334592681488153E-2</v>
      </c>
      <c r="BQ20">
        <f t="shared" si="16"/>
        <v>-4.6685001633669752E-3</v>
      </c>
    </row>
    <row r="21" spans="1:69" x14ac:dyDescent="0.25">
      <c r="A21" s="1" t="s">
        <v>33</v>
      </c>
      <c r="B21">
        <f t="shared" ca="1" si="2"/>
        <v>77.36086188896941</v>
      </c>
      <c r="C21" t="s">
        <v>346</v>
      </c>
      <c r="D21">
        <f t="shared" si="17"/>
        <v>50</v>
      </c>
      <c r="E21">
        <f t="shared" si="18"/>
        <v>338.36</v>
      </c>
      <c r="F21">
        <f t="shared" si="19"/>
        <v>10.15</v>
      </c>
      <c r="G21">
        <f t="shared" si="20"/>
        <v>20.91</v>
      </c>
      <c r="H21">
        <f t="shared" si="21"/>
        <v>0.03</v>
      </c>
      <c r="I21">
        <f t="shared" si="22"/>
        <v>0</v>
      </c>
      <c r="J21">
        <f t="shared" si="23"/>
        <v>0</v>
      </c>
      <c r="K21">
        <f t="shared" si="24"/>
        <v>0</v>
      </c>
      <c r="L21">
        <f t="shared" si="3"/>
        <v>3</v>
      </c>
      <c r="M21">
        <f t="shared" si="0"/>
        <v>8</v>
      </c>
      <c r="N21">
        <f t="shared" si="1"/>
        <v>12</v>
      </c>
      <c r="O21">
        <f t="shared" si="4"/>
        <v>10</v>
      </c>
      <c r="P21">
        <f t="shared" si="5"/>
        <v>49</v>
      </c>
      <c r="Q21">
        <f t="shared" ca="1" si="25"/>
        <v>13.78810900000002</v>
      </c>
      <c r="R21">
        <f t="shared" ca="1" si="26"/>
        <v>13.703296</v>
      </c>
      <c r="S21">
        <f t="shared" si="27"/>
        <v>55</v>
      </c>
      <c r="T21">
        <f t="shared" ca="1" si="28"/>
        <v>-50.842961000000003</v>
      </c>
      <c r="U21">
        <f t="shared" ca="1" si="29"/>
        <v>21.276153999999998</v>
      </c>
      <c r="V21">
        <f t="shared" si="30"/>
        <v>49</v>
      </c>
      <c r="W21">
        <f t="shared" ca="1" si="31"/>
        <v>5.5081089999999904</v>
      </c>
      <c r="X21">
        <f t="shared" ca="1" si="32"/>
        <v>13.703296</v>
      </c>
      <c r="Y21" t="e">
        <f>GetFollowingCarRow($B$45:$E$54,L21,$E$15,E21)</f>
        <v>#VALUE!</v>
      </c>
      <c r="Z21">
        <f t="shared" ca="1" si="33"/>
        <v>1000000000</v>
      </c>
      <c r="AA21">
        <f t="shared" ca="1" si="34"/>
        <v>100</v>
      </c>
      <c r="AB21">
        <f t="shared" si="35"/>
        <v>7.0000000000000284E-2</v>
      </c>
      <c r="AC21">
        <f t="shared" si="36"/>
        <v>8.2800000000000296</v>
      </c>
      <c r="AD21">
        <f t="shared" si="37"/>
        <v>13.010531400966185</v>
      </c>
      <c r="AE21">
        <f t="shared" si="38"/>
        <v>-107.72720000000039</v>
      </c>
      <c r="AF21">
        <f t="shared" si="39"/>
        <v>8.2802958884330025</v>
      </c>
      <c r="AG21">
        <f t="shared" si="40"/>
        <v>12.170436690647223</v>
      </c>
      <c r="AH21">
        <f t="shared" si="41"/>
        <v>0</v>
      </c>
      <c r="AI21">
        <f>IF(G21&lt;=0,1,0)</f>
        <v>0</v>
      </c>
      <c r="AJ21">
        <f>IF(G21&lt;0,1,0)</f>
        <v>0</v>
      </c>
      <c r="AK21">
        <f>MAX(($B$3-G21)/(G21 + 1),0) / $B$3</f>
        <v>6.6676675337501998E-4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3.7499999999999999E-3</v>
      </c>
      <c r="AP21">
        <f>Logistic(I21/$B$5)</f>
        <v>0</v>
      </c>
      <c r="AQ21">
        <f>IF(I21&gt;$B$5,1,0)</f>
        <v>0</v>
      </c>
      <c r="AR21">
        <f>Logistic(ABS(F21-O21)/($B$6/2))</f>
        <v>3.7482431757070556E-2</v>
      </c>
      <c r="AS21">
        <f>IF(OR(F21&lt;M21,F21&gt;N21),1,0)</f>
        <v>0</v>
      </c>
      <c r="AT21">
        <f>ABS(K21)/$B$4</f>
        <v>0</v>
      </c>
      <c r="AU21">
        <f t="shared" ca="1" si="42"/>
        <v>0.12544294612562085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0.80867662942726637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0.92356965125805102</v>
      </c>
      <c r="AZ21">
        <f ca="1">MAX(1-(IF(Z21/(G21-AA21)&gt;0,Z21/(G21-AA21),Collision_Time_Buffer)/Collision_Time_Buffer),0)*IF($L$15&lt;&gt;L21,Lane_Change_Multiplier,1)</f>
        <v>0</v>
      </c>
      <c r="BA21">
        <f t="shared" ca="1" si="43"/>
        <v>0</v>
      </c>
      <c r="BB21">
        <f t="shared" ca="1" si="44"/>
        <v>0</v>
      </c>
      <c r="BC21">
        <f t="shared" si="45"/>
        <v>0</v>
      </c>
      <c r="BE21">
        <f t="shared" si="7"/>
        <v>0</v>
      </c>
      <c r="BF21">
        <f t="shared" si="46"/>
        <v>0</v>
      </c>
      <c r="BG21">
        <f t="shared" si="47"/>
        <v>0</v>
      </c>
      <c r="BH21">
        <f t="shared" si="8"/>
        <v>7.0742772380908963E-3</v>
      </c>
      <c r="BI21">
        <f t="shared" si="9"/>
        <v>0</v>
      </c>
      <c r="BJ21">
        <f t="shared" si="10"/>
        <v>0</v>
      </c>
      <c r="BK21">
        <f t="shared" si="11"/>
        <v>4.1921097212671696E-116</v>
      </c>
      <c r="BL21">
        <f t="shared" si="48"/>
        <v>0</v>
      </c>
      <c r="BM21">
        <f t="shared" si="12"/>
        <v>0</v>
      </c>
      <c r="BN21">
        <f t="shared" si="13"/>
        <v>0</v>
      </c>
      <c r="BO21">
        <f t="shared" si="14"/>
        <v>0</v>
      </c>
      <c r="BP21">
        <f t="shared" si="15"/>
        <v>1.8749978027374863E-3</v>
      </c>
      <c r="BQ21">
        <f t="shared" si="16"/>
        <v>7.4125854165424596E-3</v>
      </c>
    </row>
    <row r="22" spans="1:69" x14ac:dyDescent="0.25">
      <c r="A22" s="1" t="s">
        <v>11</v>
      </c>
      <c r="B22">
        <f t="shared" ca="1" si="2"/>
        <v>77.358883478922564</v>
      </c>
      <c r="C22" t="s">
        <v>335</v>
      </c>
      <c r="D22">
        <f t="shared" si="17"/>
        <v>50</v>
      </c>
      <c r="E22">
        <f t="shared" si="18"/>
        <v>338.36</v>
      </c>
      <c r="F22">
        <f t="shared" si="19"/>
        <v>10.15</v>
      </c>
      <c r="G22">
        <f t="shared" si="20"/>
        <v>20.9</v>
      </c>
      <c r="H22">
        <f t="shared" si="21"/>
        <v>0</v>
      </c>
      <c r="I22">
        <f t="shared" si="22"/>
        <v>0.03</v>
      </c>
      <c r="J22">
        <f t="shared" si="23"/>
        <v>0</v>
      </c>
      <c r="K22">
        <f t="shared" si="24"/>
        <v>0</v>
      </c>
      <c r="L22">
        <f t="shared" si="3"/>
        <v>3</v>
      </c>
      <c r="M22">
        <f t="shared" si="0"/>
        <v>8</v>
      </c>
      <c r="N22">
        <f t="shared" si="1"/>
        <v>12</v>
      </c>
      <c r="O22">
        <f t="shared" si="4"/>
        <v>10</v>
      </c>
      <c r="P22">
        <f t="shared" si="5"/>
        <v>49</v>
      </c>
      <c r="Q22">
        <f t="shared" ca="1" si="25"/>
        <v>13.78810900000002</v>
      </c>
      <c r="R22">
        <f t="shared" ca="1" si="26"/>
        <v>13.703296</v>
      </c>
      <c r="S22">
        <f t="shared" si="27"/>
        <v>55</v>
      </c>
      <c r="T22">
        <f t="shared" ca="1" si="28"/>
        <v>-50.842961000000003</v>
      </c>
      <c r="U22">
        <f t="shared" ca="1" si="29"/>
        <v>21.276153999999998</v>
      </c>
      <c r="V22">
        <f t="shared" si="30"/>
        <v>49</v>
      </c>
      <c r="W22">
        <f t="shared" ca="1" si="31"/>
        <v>5.5081089999999904</v>
      </c>
      <c r="X22">
        <f t="shared" ca="1" si="32"/>
        <v>13.703296</v>
      </c>
      <c r="Y22" t="e">
        <f>GetFollowingCarRow($B$45:$E$54,L22,$E$15,E22)</f>
        <v>#VALUE!</v>
      </c>
      <c r="Z22">
        <f t="shared" ca="1" si="33"/>
        <v>1000000000</v>
      </c>
      <c r="AA22">
        <f t="shared" ca="1" si="34"/>
        <v>100</v>
      </c>
      <c r="AB22">
        <f t="shared" si="35"/>
        <v>7.0000000000000284E-2</v>
      </c>
      <c r="AC22">
        <f t="shared" si="36"/>
        <v>8.2800000000000296</v>
      </c>
      <c r="AD22">
        <f t="shared" si="37"/>
        <v>13.010531400966185</v>
      </c>
      <c r="AE22">
        <f t="shared" si="38"/>
        <v>-107.72720000000039</v>
      </c>
      <c r="AF22">
        <f t="shared" si="39"/>
        <v>8.2802958884330025</v>
      </c>
      <c r="AG22">
        <f t="shared" si="40"/>
        <v>12.170436690647223</v>
      </c>
      <c r="AH22">
        <f t="shared" si="41"/>
        <v>0</v>
      </c>
      <c r="AI22">
        <f>IF(G22&lt;=0,1,0)</f>
        <v>0</v>
      </c>
      <c r="AJ22">
        <f>IF(G22&lt;0,1,0)</f>
        <v>0</v>
      </c>
      <c r="AK22">
        <f>MAX(($B$3-G22)/(G22 + 1),0) / $B$3</f>
        <v>6.8858963930814026E-4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1.8749978027374863E-3</v>
      </c>
      <c r="AQ22">
        <f>IF(I22&gt;$B$5,1,0)</f>
        <v>0</v>
      </c>
      <c r="AR22">
        <f>Logistic(ABS(F22-O22)/($B$6/2))</f>
        <v>3.7482431757070556E-2</v>
      </c>
      <c r="AS22">
        <f>IF(OR(F22&lt;M22,F22&gt;N22),1,0)</f>
        <v>0</v>
      </c>
      <c r="AT22">
        <f>ABS(K22)/$B$4</f>
        <v>0</v>
      </c>
      <c r="AU22">
        <f t="shared" ca="1" si="42"/>
        <v>0.12544294612562085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0.80841078082411033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0.92346344937904923</v>
      </c>
      <c r="AZ22">
        <f ca="1">MAX(1-(IF(Z22/(G22-AA22)&gt;0,Z22/(G22-AA22),Collision_Time_Buffer)/Collision_Time_Buffer),0)*IF($L$15&lt;&gt;L22,Lane_Change_Multiplier,1)</f>
        <v>0</v>
      </c>
      <c r="BA22">
        <f t="shared" ca="1" si="43"/>
        <v>0</v>
      </c>
      <c r="BB22">
        <f t="shared" ca="1" si="44"/>
        <v>0</v>
      </c>
      <c r="BC22">
        <f t="shared" si="45"/>
        <v>0</v>
      </c>
      <c r="BE22">
        <f t="shared" si="7"/>
        <v>0</v>
      </c>
      <c r="BF22">
        <f t="shared" si="46"/>
        <v>0</v>
      </c>
      <c r="BG22">
        <f t="shared" si="47"/>
        <v>0</v>
      </c>
      <c r="BH22">
        <f t="shared" si="8"/>
        <v>7.3058060869107145E-3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8"/>
        <v>0</v>
      </c>
      <c r="BM22">
        <f t="shared" si="12"/>
        <v>4.1921097212671696E-116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7.6553528412299397E-3</v>
      </c>
    </row>
    <row r="23" spans="1:69" x14ac:dyDescent="0.25">
      <c r="A23" s="1" t="s">
        <v>34</v>
      </c>
      <c r="B23">
        <f t="shared" si="2"/>
        <v>1000000</v>
      </c>
      <c r="D23" t="e">
        <f t="shared" si="17"/>
        <v>#VALUE!</v>
      </c>
      <c r="E23" t="e">
        <f t="shared" si="18"/>
        <v>#VALUE!</v>
      </c>
      <c r="F23" t="e">
        <f t="shared" si="19"/>
        <v>#VALUE!</v>
      </c>
      <c r="G23" t="e">
        <f t="shared" si="20"/>
        <v>#VALUE!</v>
      </c>
      <c r="H23" t="e">
        <f t="shared" si="21"/>
        <v>#VALUE!</v>
      </c>
      <c r="I23" t="e">
        <f t="shared" si="22"/>
        <v>#VALUE!</v>
      </c>
      <c r="J23" t="e">
        <f t="shared" si="23"/>
        <v>#VALUE!</v>
      </c>
      <c r="K23" t="e">
        <f t="shared" si="24"/>
        <v>#VALUE!</v>
      </c>
      <c r="L23" t="e">
        <f t="shared" si="3"/>
        <v>#VALUE!</v>
      </c>
      <c r="M23" t="e">
        <f t="shared" si="0"/>
        <v>#VALUE!</v>
      </c>
      <c r="N23" t="e">
        <f t="shared" si="1"/>
        <v>#VALUE!</v>
      </c>
      <c r="O23" t="e">
        <f t="shared" si="4"/>
        <v>#VALUE!</v>
      </c>
      <c r="P23" t="e">
        <f t="shared" si="5"/>
        <v>#VALUE!</v>
      </c>
      <c r="Q23">
        <f t="shared" ca="1" si="25"/>
        <v>1000000</v>
      </c>
      <c r="R23">
        <f t="shared" ca="1" si="26"/>
        <v>100</v>
      </c>
      <c r="S23" t="e">
        <f t="shared" si="27"/>
        <v>#VALUE!</v>
      </c>
      <c r="T23">
        <f t="shared" ca="1" si="28"/>
        <v>1000000</v>
      </c>
      <c r="U23">
        <f t="shared" ca="1" si="29"/>
        <v>100</v>
      </c>
      <c r="V23" t="e">
        <f t="shared" si="30"/>
        <v>#VALUE!</v>
      </c>
      <c r="W23">
        <f t="shared" ca="1" si="31"/>
        <v>1000000000</v>
      </c>
      <c r="X23">
        <f t="shared" ca="1" si="32"/>
        <v>100</v>
      </c>
      <c r="Y23" t="e">
        <f>GetFollowingCarRow($B$45:$E$54,L23,$E$15,E23)</f>
        <v>#VALUE!</v>
      </c>
      <c r="Z23">
        <f t="shared" ca="1" si="33"/>
        <v>1000000000</v>
      </c>
      <c r="AA23">
        <f t="shared" ca="1" si="34"/>
        <v>100</v>
      </c>
      <c r="AB23" t="e">
        <f t="shared" si="35"/>
        <v>#VALUE!</v>
      </c>
      <c r="AC23" t="e">
        <f t="shared" si="36"/>
        <v>#VALUE!</v>
      </c>
      <c r="AD23" t="e">
        <f t="shared" si="37"/>
        <v>#VALUE!</v>
      </c>
      <c r="AE23" t="e">
        <f t="shared" si="38"/>
        <v>#VALUE!</v>
      </c>
      <c r="AF23" t="e">
        <f t="shared" si="39"/>
        <v>#VALUE!</v>
      </c>
      <c r="AG23" t="e">
        <f t="shared" si="40"/>
        <v>#VALUE!</v>
      </c>
      <c r="AH23" t="e">
        <f t="shared" si="41"/>
        <v>#VALUE!</v>
      </c>
      <c r="AI23" t="e">
        <f>IF(G23&lt;=0,1,0)</f>
        <v>#VALUE!</v>
      </c>
      <c r="AJ23" t="e">
        <f>IF(G23&lt;0,1,0)</f>
        <v>#VALUE!</v>
      </c>
      <c r="AK23" t="e">
        <f>MAX(($B$3-G23)/(G23 + 1),0) / $B$3</f>
        <v>#VALUE!</v>
      </c>
      <c r="AL23" t="e">
        <f>IF(H23+ABS(K23)&lt;0,Logistic(SQRT(H23^2+K23^2)/$B$4),0)</f>
        <v>#VALUE!</v>
      </c>
      <c r="AM23" t="e">
        <f>IF(G23&gt;$B$3,1,0)</f>
        <v>#VALUE!</v>
      </c>
      <c r="AN23" t="e">
        <f>IF(H23&gt;$B$4,1,0)</f>
        <v>#VALUE!</v>
      </c>
      <c r="AO23" t="e">
        <f>ABS(H23)/$B$4</f>
        <v>#VALUE!</v>
      </c>
      <c r="AP23" t="e">
        <f>Logistic(I23/$B$5)</f>
        <v>#VALUE!</v>
      </c>
      <c r="AQ23" t="e">
        <f>IF(I23&gt;$B$5,1,0)</f>
        <v>#VALUE!</v>
      </c>
      <c r="AR23" t="e">
        <f>Logistic(ABS(F23-O23)/($B$6/2))</f>
        <v>#VALUE!</v>
      </c>
      <c r="AS23" t="e">
        <f>IF(OR(F23&lt;M23,F23&gt;N23),1,0)</f>
        <v>#VALUE!</v>
      </c>
      <c r="AT23" t="e">
        <f>ABS(K23)/$B$4</f>
        <v>#VALUE!</v>
      </c>
      <c r="AU23">
        <f t="shared" ca="1" si="42"/>
        <v>0</v>
      </c>
      <c r="AV23" t="e">
        <f ca="1">IF(AND(L23&lt;&gt;$L$15,$Q$15&gt;Safety_Distance),1,0)</f>
        <v>#VALUE!</v>
      </c>
      <c r="AW23" t="e">
        <f ca="1">MAX(1-(IF(Q23/(G23-R23)&gt;0,Q23/(G23-R23),Collision_Time_Buffer)/Collision_Time_Buffer),0)*IF($L$15&lt;&gt;L23,Lane_Change_Multiplier,1)</f>
        <v>#VALUE!</v>
      </c>
      <c r="AX23" t="e">
        <f ca="1">MAX(1-(IF(T23/(G23-U23)&gt;0,T23/(G23-U23),Collision_Time_Buffer)/Collision_Time_Buffer),0)*IF($L$15&lt;&gt;L23,Lane_Change_Multiplier,1)</f>
        <v>#VALUE!</v>
      </c>
      <c r="AY23" t="e">
        <f ca="1">MAX(1-(IF(W23/(G23-X23)&gt;0,W23/(G23-X23),Collision_Time_Buffer)/Collision_Time_Buffer),0)*IF($L$15&lt;&gt;L23,Lane_Change_Multiplier,1)</f>
        <v>#VALUE!</v>
      </c>
      <c r="AZ23" t="e">
        <f ca="1">MAX(1-(IF(Z23/(G23-AA23)&gt;0,Z23/(G23-AA23),Collision_Time_Buffer)/Collision_Time_Buffer),0)*IF($L$15&lt;&gt;L23,Lane_Change_Multiplier,1)</f>
        <v>#VALUE!</v>
      </c>
      <c r="BA23">
        <f t="shared" ca="1" si="43"/>
        <v>0</v>
      </c>
      <c r="BB23">
        <f t="shared" ca="1" si="44"/>
        <v>0</v>
      </c>
      <c r="BC23">
        <f t="shared" si="45"/>
        <v>0</v>
      </c>
      <c r="BE23" t="e">
        <f t="shared" si="7"/>
        <v>#VALUE!</v>
      </c>
      <c r="BF23" t="e">
        <f t="shared" si="46"/>
        <v>#VALUE!</v>
      </c>
      <c r="BG23" t="e">
        <f t="shared" si="47"/>
        <v>#VALUE!</v>
      </c>
      <c r="BH23" t="e">
        <f t="shared" si="8"/>
        <v>#VALUE!</v>
      </c>
      <c r="BI23" t="e">
        <f t="shared" si="9"/>
        <v>#VALUE!</v>
      </c>
      <c r="BJ23" t="e">
        <f t="shared" si="10"/>
        <v>#VALUE!</v>
      </c>
      <c r="BK23" t="e">
        <f t="shared" si="11"/>
        <v>#VALUE!</v>
      </c>
      <c r="BL23" t="e">
        <f t="shared" si="48"/>
        <v>#VALUE!</v>
      </c>
      <c r="BM23" t="e">
        <f t="shared" si="12"/>
        <v>#VALUE!</v>
      </c>
      <c r="BN23" t="e">
        <f t="shared" si="13"/>
        <v>#VALUE!</v>
      </c>
      <c r="BO23" t="e">
        <f t="shared" si="14"/>
        <v>#VALUE!</v>
      </c>
      <c r="BP23" t="e">
        <f t="shared" si="15"/>
        <v>#VALUE!</v>
      </c>
      <c r="BQ23" t="e">
        <f t="shared" si="16"/>
        <v>#VALUE!</v>
      </c>
    </row>
    <row r="24" spans="1:69" x14ac:dyDescent="0.25">
      <c r="A24" s="1" t="s">
        <v>35</v>
      </c>
      <c r="B24">
        <f t="shared" si="2"/>
        <v>1000000</v>
      </c>
      <c r="D24" t="e">
        <f t="shared" si="17"/>
        <v>#VALUE!</v>
      </c>
      <c r="E24" t="e">
        <f t="shared" si="18"/>
        <v>#VALUE!</v>
      </c>
      <c r="F24" t="e">
        <f t="shared" si="19"/>
        <v>#VALUE!</v>
      </c>
      <c r="G24" t="e">
        <f t="shared" si="20"/>
        <v>#VALUE!</v>
      </c>
      <c r="H24" t="e">
        <f t="shared" si="21"/>
        <v>#VALUE!</v>
      </c>
      <c r="I24" t="e">
        <f t="shared" si="22"/>
        <v>#VALUE!</v>
      </c>
      <c r="J24" t="e">
        <f t="shared" si="23"/>
        <v>#VALUE!</v>
      </c>
      <c r="K24" t="e">
        <f t="shared" si="24"/>
        <v>#VALUE!</v>
      </c>
      <c r="L24" t="e">
        <f t="shared" si="3"/>
        <v>#VALUE!</v>
      </c>
      <c r="M24" t="e">
        <f t="shared" si="0"/>
        <v>#VALUE!</v>
      </c>
      <c r="N24" t="e">
        <f t="shared" si="1"/>
        <v>#VALUE!</v>
      </c>
      <c r="O24" t="e">
        <f t="shared" si="4"/>
        <v>#VALUE!</v>
      </c>
      <c r="P24" t="e">
        <f t="shared" si="5"/>
        <v>#VALUE!</v>
      </c>
      <c r="Q24">
        <f t="shared" ca="1" si="25"/>
        <v>1000000</v>
      </c>
      <c r="R24">
        <f t="shared" ca="1" si="26"/>
        <v>100</v>
      </c>
      <c r="S24" t="e">
        <f t="shared" si="27"/>
        <v>#VALUE!</v>
      </c>
      <c r="T24">
        <f t="shared" ca="1" si="28"/>
        <v>1000000</v>
      </c>
      <c r="U24">
        <f t="shared" ca="1" si="29"/>
        <v>100</v>
      </c>
      <c r="V24" t="e">
        <f t="shared" si="30"/>
        <v>#VALUE!</v>
      </c>
      <c r="W24">
        <f t="shared" ca="1" si="31"/>
        <v>1000000000</v>
      </c>
      <c r="X24">
        <f t="shared" ca="1" si="32"/>
        <v>100</v>
      </c>
      <c r="Y24" t="e">
        <f>GetFollowingCarRow($B$45:$E$54,L24,$E$15,E24)</f>
        <v>#VALUE!</v>
      </c>
      <c r="Z24">
        <f t="shared" ca="1" si="33"/>
        <v>1000000000</v>
      </c>
      <c r="AA24">
        <f t="shared" ca="1" si="34"/>
        <v>100</v>
      </c>
      <c r="AB24" t="e">
        <f t="shared" si="35"/>
        <v>#VALUE!</v>
      </c>
      <c r="AC24" t="e">
        <f t="shared" si="36"/>
        <v>#VALUE!</v>
      </c>
      <c r="AD24" t="e">
        <f t="shared" si="37"/>
        <v>#VALUE!</v>
      </c>
      <c r="AE24" t="e">
        <f t="shared" si="38"/>
        <v>#VALUE!</v>
      </c>
      <c r="AF24" t="e">
        <f t="shared" si="39"/>
        <v>#VALUE!</v>
      </c>
      <c r="AG24" t="e">
        <f t="shared" si="40"/>
        <v>#VALUE!</v>
      </c>
      <c r="AH24" t="e">
        <f t="shared" si="41"/>
        <v>#VALUE!</v>
      </c>
      <c r="AI24" t="e">
        <f>IF(G24&lt;=0,1,0)</f>
        <v>#VALUE!</v>
      </c>
      <c r="AJ24" t="e">
        <f>IF(G24&lt;0,1,0)</f>
        <v>#VALUE!</v>
      </c>
      <c r="AK24" t="e">
        <f>MAX(($B$3-G24)/(G24 + 1),0) / $B$3</f>
        <v>#VALUE!</v>
      </c>
      <c r="AL24" t="e">
        <f>IF(H24+ABS(K24)&lt;0,Logistic(SQRT(H24^2+K24^2)/$B$4),0)</f>
        <v>#VALUE!</v>
      </c>
      <c r="AM24" t="e">
        <f>IF(G24&gt;$B$3,1,0)</f>
        <v>#VALUE!</v>
      </c>
      <c r="AN24" t="e">
        <f>IF(H24&gt;$B$4,1,0)</f>
        <v>#VALUE!</v>
      </c>
      <c r="AO24" t="e">
        <f>ABS(H24)/$B$4</f>
        <v>#VALUE!</v>
      </c>
      <c r="AP24" t="e">
        <f>Logistic(I24/$B$5)</f>
        <v>#VALUE!</v>
      </c>
      <c r="AQ24" t="e">
        <f>IF(I24&gt;$B$5,1,0)</f>
        <v>#VALUE!</v>
      </c>
      <c r="AR24" t="e">
        <f>Logistic(ABS(F24-O24)/($B$6/2))</f>
        <v>#VALUE!</v>
      </c>
      <c r="AS24" t="e">
        <f>IF(OR(F24&lt;M24,F24&gt;N24),1,0)</f>
        <v>#VALUE!</v>
      </c>
      <c r="AT24" t="e">
        <f>ABS(K24)/$B$4</f>
        <v>#VALUE!</v>
      </c>
      <c r="AU24">
        <f t="shared" ca="1" si="42"/>
        <v>0</v>
      </c>
      <c r="AV24" t="e">
        <f ca="1">IF(AND(L24&lt;&gt;$L$15,$Q$15&gt;Safety_Distance),1,0)</f>
        <v>#VALUE!</v>
      </c>
      <c r="AW24" t="e">
        <f ca="1">MAX(1-(IF(Q24/(G24-R24)&gt;0,Q24/(G24-R24),Collision_Time_Buffer)/Collision_Time_Buffer),0)*IF($L$15&lt;&gt;L24,Lane_Change_Multiplier,1)</f>
        <v>#VALUE!</v>
      </c>
      <c r="AX24" t="e">
        <f ca="1">MAX(1-(IF(T24/(G24-U24)&gt;0,T24/(G24-U24),Collision_Time_Buffer)/Collision_Time_Buffer),0)*IF($L$15&lt;&gt;L24,Lane_Change_Multiplier,1)</f>
        <v>#VALUE!</v>
      </c>
      <c r="AY24" t="e">
        <f ca="1">MAX(1-(IF(W24/(G24-X24)&gt;0,W24/(G24-X24),Collision_Time_Buffer)/Collision_Time_Buffer),0)*IF($L$15&lt;&gt;L24,Lane_Change_Multiplier,1)</f>
        <v>#VALUE!</v>
      </c>
      <c r="AZ24" t="e">
        <f ca="1">MAX(1-(IF(Z24/(G24-AA24)&gt;0,Z24/(G24-AA24),Collision_Time_Buffer)/Collision_Time_Buffer),0)*IF($L$15&lt;&gt;L24,Lane_Change_Multiplier,1)</f>
        <v>#VALUE!</v>
      </c>
      <c r="BA24">
        <f t="shared" ca="1" si="43"/>
        <v>0</v>
      </c>
      <c r="BB24">
        <f t="shared" ca="1" si="44"/>
        <v>0</v>
      </c>
      <c r="BC24">
        <f t="shared" si="45"/>
        <v>0</v>
      </c>
      <c r="BE24" t="e">
        <f t="shared" si="7"/>
        <v>#VALUE!</v>
      </c>
      <c r="BF24" t="e">
        <f t="shared" si="46"/>
        <v>#VALUE!</v>
      </c>
      <c r="BG24" t="e">
        <f t="shared" si="47"/>
        <v>#VALUE!</v>
      </c>
      <c r="BH24" t="e">
        <f t="shared" si="8"/>
        <v>#VALUE!</v>
      </c>
      <c r="BI24" t="e">
        <f t="shared" si="9"/>
        <v>#VALUE!</v>
      </c>
      <c r="BJ24" t="e">
        <f t="shared" si="10"/>
        <v>#VALUE!</v>
      </c>
      <c r="BK24" t="e">
        <f t="shared" si="11"/>
        <v>#VALUE!</v>
      </c>
      <c r="BL24" t="e">
        <f t="shared" si="48"/>
        <v>#VALUE!</v>
      </c>
      <c r="BM24" t="e">
        <f t="shared" si="12"/>
        <v>#VALUE!</v>
      </c>
      <c r="BN24" t="e">
        <f t="shared" si="13"/>
        <v>#VALUE!</v>
      </c>
      <c r="BO24" t="e">
        <f t="shared" si="14"/>
        <v>#VALUE!</v>
      </c>
      <c r="BP24" t="e">
        <f t="shared" si="15"/>
        <v>#VALUE!</v>
      </c>
      <c r="BQ24" t="e">
        <f t="shared" si="16"/>
        <v>#VALUE!</v>
      </c>
    </row>
    <row r="25" spans="1:69" x14ac:dyDescent="0.25">
      <c r="A25" s="1" t="s">
        <v>36</v>
      </c>
      <c r="B25">
        <f t="shared" si="2"/>
        <v>1000000</v>
      </c>
      <c r="D25" t="e">
        <f t="shared" si="17"/>
        <v>#VALUE!</v>
      </c>
      <c r="E25" t="e">
        <f t="shared" si="18"/>
        <v>#VALUE!</v>
      </c>
      <c r="F25" t="e">
        <f t="shared" si="19"/>
        <v>#VALUE!</v>
      </c>
      <c r="G25" t="e">
        <f t="shared" si="20"/>
        <v>#VALUE!</v>
      </c>
      <c r="H25" t="e">
        <f t="shared" si="21"/>
        <v>#VALUE!</v>
      </c>
      <c r="I25" t="e">
        <f t="shared" si="22"/>
        <v>#VALUE!</v>
      </c>
      <c r="J25" t="e">
        <f t="shared" si="23"/>
        <v>#VALUE!</v>
      </c>
      <c r="K25" t="e">
        <f t="shared" si="24"/>
        <v>#VALUE!</v>
      </c>
      <c r="L25" t="e">
        <f t="shared" si="3"/>
        <v>#VALUE!</v>
      </c>
      <c r="M25" t="e">
        <f t="shared" si="0"/>
        <v>#VALUE!</v>
      </c>
      <c r="N25" t="e">
        <f t="shared" si="1"/>
        <v>#VALUE!</v>
      </c>
      <c r="O25" t="e">
        <f t="shared" si="4"/>
        <v>#VALUE!</v>
      </c>
      <c r="P25" t="e">
        <f t="shared" si="5"/>
        <v>#VALUE!</v>
      </c>
      <c r="Q25">
        <f t="shared" ca="1" si="25"/>
        <v>1000000</v>
      </c>
      <c r="R25">
        <f t="shared" ca="1" si="26"/>
        <v>100</v>
      </c>
      <c r="S25" t="e">
        <f t="shared" si="27"/>
        <v>#VALUE!</v>
      </c>
      <c r="T25">
        <f t="shared" ca="1" si="28"/>
        <v>1000000</v>
      </c>
      <c r="U25">
        <f t="shared" ca="1" si="29"/>
        <v>100</v>
      </c>
      <c r="V25" t="e">
        <f t="shared" si="30"/>
        <v>#VALUE!</v>
      </c>
      <c r="W25">
        <f t="shared" ca="1" si="31"/>
        <v>1000000000</v>
      </c>
      <c r="X25">
        <f t="shared" ca="1" si="32"/>
        <v>100</v>
      </c>
      <c r="Y25" t="e">
        <f>GetFollowingCarRow($B$45:$E$54,L25,$E$15,E25)</f>
        <v>#VALUE!</v>
      </c>
      <c r="Z25">
        <f t="shared" ca="1" si="33"/>
        <v>1000000000</v>
      </c>
      <c r="AA25">
        <f t="shared" ca="1" si="34"/>
        <v>100</v>
      </c>
      <c r="AB25" t="e">
        <f t="shared" si="35"/>
        <v>#VALUE!</v>
      </c>
      <c r="AC25" t="e">
        <f t="shared" si="36"/>
        <v>#VALUE!</v>
      </c>
      <c r="AD25" t="e">
        <f t="shared" si="37"/>
        <v>#VALUE!</v>
      </c>
      <c r="AE25" t="e">
        <f t="shared" si="38"/>
        <v>#VALUE!</v>
      </c>
      <c r="AF25" t="e">
        <f t="shared" si="39"/>
        <v>#VALUE!</v>
      </c>
      <c r="AG25" t="e">
        <f t="shared" si="40"/>
        <v>#VALUE!</v>
      </c>
      <c r="AH25" t="e">
        <f t="shared" si="41"/>
        <v>#VALUE!</v>
      </c>
      <c r="AI25" t="e">
        <f>IF(G25&lt;=0,1,0)</f>
        <v>#VALUE!</v>
      </c>
      <c r="AJ25" t="e">
        <f>IF(G25&lt;0,1,0)</f>
        <v>#VALUE!</v>
      </c>
      <c r="AK25" t="e">
        <f>MAX(($B$3-G25)/(G25 + 1),0) / $B$3</f>
        <v>#VALUE!</v>
      </c>
      <c r="AL25" t="e">
        <f>IF(H25+ABS(K25)&lt;0,Logistic(SQRT(H25^2+K25^2)/$B$4),0)</f>
        <v>#VALUE!</v>
      </c>
      <c r="AM25" t="e">
        <f>IF(G25&gt;$B$3,1,0)</f>
        <v>#VALUE!</v>
      </c>
      <c r="AN25" t="e">
        <f>IF(H25&gt;$B$4,1,0)</f>
        <v>#VALUE!</v>
      </c>
      <c r="AO25" t="e">
        <f>ABS(H25)/$B$4</f>
        <v>#VALUE!</v>
      </c>
      <c r="AP25" t="e">
        <f>Logistic(I25/$B$5)</f>
        <v>#VALUE!</v>
      </c>
      <c r="AQ25" t="e">
        <f>IF(I25&gt;$B$5,1,0)</f>
        <v>#VALUE!</v>
      </c>
      <c r="AR25" t="e">
        <f>Logistic(ABS(F25-O25)/($B$6/2))</f>
        <v>#VALUE!</v>
      </c>
      <c r="AS25" t="e">
        <f>IF(OR(F25&lt;M25,F25&gt;N25),1,0)</f>
        <v>#VALUE!</v>
      </c>
      <c r="AT25" t="e">
        <f>ABS(K25)/$B$4</f>
        <v>#VALUE!</v>
      </c>
      <c r="AU25">
        <f t="shared" ca="1" si="42"/>
        <v>0</v>
      </c>
      <c r="AV25" t="e">
        <f ca="1">IF(AND(L25&lt;&gt;$L$15,$Q$15&gt;Safety_Distance),1,0)</f>
        <v>#VALUE!</v>
      </c>
      <c r="AW25" t="e">
        <f ca="1">MAX(1-(IF(Q25/(G25-R25)&gt;0,Q25/(G25-R25),Collision_Time_Buffer)/Collision_Time_Buffer),0)*IF($L$15&lt;&gt;L25,Lane_Change_Multiplier,1)</f>
        <v>#VALUE!</v>
      </c>
      <c r="AX25" t="e">
        <f ca="1">MAX(1-(IF(T25/(G25-U25)&gt;0,T25/(G25-U25),Collision_Time_Buffer)/Collision_Time_Buffer),0)*IF($L$15&lt;&gt;L25,Lane_Change_Multiplier,1)</f>
        <v>#VALUE!</v>
      </c>
      <c r="AY25" t="e">
        <f ca="1">MAX(1-(IF(W25/(G25-X25)&gt;0,W25/(G25-X25),Collision_Time_Buffer)/Collision_Time_Buffer),0)*IF($L$15&lt;&gt;L25,Lane_Change_Multiplier,1)</f>
        <v>#VALUE!</v>
      </c>
      <c r="AZ25" t="e">
        <f ca="1">MAX(1-(IF(Z25/(G25-AA25)&gt;0,Z25/(G25-AA25),Collision_Time_Buffer)/Collision_Time_Buffer),0)*IF($L$15&lt;&gt;L25,Lane_Change_Multiplier,1)</f>
        <v>#VALUE!</v>
      </c>
      <c r="BA25">
        <f t="shared" ca="1" si="43"/>
        <v>0</v>
      </c>
      <c r="BB25">
        <f t="shared" ca="1" si="44"/>
        <v>0</v>
      </c>
      <c r="BC25">
        <f t="shared" si="45"/>
        <v>0</v>
      </c>
      <c r="BE25" t="e">
        <f t="shared" si="7"/>
        <v>#VALUE!</v>
      </c>
      <c r="BF25" t="e">
        <f t="shared" si="46"/>
        <v>#VALUE!</v>
      </c>
      <c r="BG25" t="e">
        <f t="shared" si="47"/>
        <v>#VALUE!</v>
      </c>
      <c r="BH25" t="e">
        <f t="shared" si="8"/>
        <v>#VALUE!</v>
      </c>
      <c r="BI25" t="e">
        <f t="shared" si="9"/>
        <v>#VALUE!</v>
      </c>
      <c r="BJ25" t="e">
        <f t="shared" si="10"/>
        <v>#VALUE!</v>
      </c>
      <c r="BK25" t="e">
        <f t="shared" si="11"/>
        <v>#VALUE!</v>
      </c>
      <c r="BL25" t="e">
        <f t="shared" si="48"/>
        <v>#VALUE!</v>
      </c>
      <c r="BM25" t="e">
        <f t="shared" si="12"/>
        <v>#VALUE!</v>
      </c>
      <c r="BN25" t="e">
        <f t="shared" si="13"/>
        <v>#VALUE!</v>
      </c>
      <c r="BO25" t="e">
        <f t="shared" si="14"/>
        <v>#VALUE!</v>
      </c>
      <c r="BP25" t="e">
        <f t="shared" si="15"/>
        <v>#VALUE!</v>
      </c>
      <c r="BQ25" t="e">
        <f t="shared" si="16"/>
        <v>#VALUE!</v>
      </c>
    </row>
    <row r="26" spans="1:69" x14ac:dyDescent="0.25">
      <c r="A26" s="1" t="s">
        <v>79</v>
      </c>
      <c r="B26">
        <f t="shared" si="2"/>
        <v>1000000</v>
      </c>
      <c r="D26" t="e">
        <f t="shared" si="17"/>
        <v>#VALUE!</v>
      </c>
      <c r="E26" t="e">
        <f t="shared" si="18"/>
        <v>#VALUE!</v>
      </c>
      <c r="F26" t="e">
        <f t="shared" si="19"/>
        <v>#VALUE!</v>
      </c>
      <c r="G26" t="e">
        <f t="shared" si="20"/>
        <v>#VALUE!</v>
      </c>
      <c r="H26" t="e">
        <f t="shared" si="21"/>
        <v>#VALUE!</v>
      </c>
      <c r="I26" t="e">
        <f t="shared" si="22"/>
        <v>#VALUE!</v>
      </c>
      <c r="J26" t="e">
        <f t="shared" si="23"/>
        <v>#VALUE!</v>
      </c>
      <c r="K26" t="e">
        <f t="shared" si="24"/>
        <v>#VALUE!</v>
      </c>
      <c r="L26" t="e">
        <f t="shared" si="3"/>
        <v>#VALUE!</v>
      </c>
      <c r="M26" t="e">
        <f t="shared" si="0"/>
        <v>#VALUE!</v>
      </c>
      <c r="N26" t="e">
        <f t="shared" si="1"/>
        <v>#VALUE!</v>
      </c>
      <c r="O26" t="e">
        <f t="shared" si="4"/>
        <v>#VALUE!</v>
      </c>
      <c r="P26" t="e">
        <f t="shared" si="5"/>
        <v>#VALUE!</v>
      </c>
      <c r="Q26">
        <f t="shared" ca="1" si="25"/>
        <v>1000000</v>
      </c>
      <c r="R26">
        <f t="shared" ca="1" si="26"/>
        <v>100</v>
      </c>
      <c r="S26" t="e">
        <f t="shared" si="27"/>
        <v>#VALUE!</v>
      </c>
      <c r="T26">
        <f t="shared" ca="1" si="28"/>
        <v>1000000</v>
      </c>
      <c r="U26">
        <f t="shared" ca="1" si="29"/>
        <v>100</v>
      </c>
      <c r="V26" t="e">
        <f t="shared" si="30"/>
        <v>#VALUE!</v>
      </c>
      <c r="W26">
        <f t="shared" ca="1" si="31"/>
        <v>1000000000</v>
      </c>
      <c r="X26">
        <f t="shared" ca="1" si="32"/>
        <v>100</v>
      </c>
      <c r="Y26" t="e">
        <f>GetFollowingCarRow($B$45:$E$54,L26,$E$15,E26)</f>
        <v>#VALUE!</v>
      </c>
      <c r="Z26">
        <f t="shared" ca="1" si="33"/>
        <v>1000000000</v>
      </c>
      <c r="AA26">
        <f t="shared" ca="1" si="34"/>
        <v>100</v>
      </c>
      <c r="AB26" t="e">
        <f t="shared" si="35"/>
        <v>#VALUE!</v>
      </c>
      <c r="AC26" t="e">
        <f t="shared" si="36"/>
        <v>#VALUE!</v>
      </c>
      <c r="AD26" t="e">
        <f t="shared" si="37"/>
        <v>#VALUE!</v>
      </c>
      <c r="AE26" t="e">
        <f t="shared" si="38"/>
        <v>#VALUE!</v>
      </c>
      <c r="AF26" t="e">
        <f t="shared" si="39"/>
        <v>#VALUE!</v>
      </c>
      <c r="AG26" t="e">
        <f t="shared" si="40"/>
        <v>#VALUE!</v>
      </c>
      <c r="AH26" t="e">
        <f t="shared" si="41"/>
        <v>#VALUE!</v>
      </c>
      <c r="AI26" t="e">
        <f>IF(G26&lt;=0,1,0)</f>
        <v>#VALUE!</v>
      </c>
      <c r="AJ26" t="e">
        <f>IF(G26&lt;0,1,0)</f>
        <v>#VALUE!</v>
      </c>
      <c r="AK26" t="e">
        <f>MAX(($B$3-G26)/(G26 + 1),0) / $B$3</f>
        <v>#VALUE!</v>
      </c>
      <c r="AL26" t="e">
        <f>IF(H26+ABS(K26)&lt;0,Logistic(SQRT(H26^2+K26^2)/$B$4),0)</f>
        <v>#VALUE!</v>
      </c>
      <c r="AM26" t="e">
        <f>IF(G26&gt;$B$3,1,0)</f>
        <v>#VALUE!</v>
      </c>
      <c r="AN26" t="e">
        <f>IF(H26&gt;$B$4,1,0)</f>
        <v>#VALUE!</v>
      </c>
      <c r="AO26" t="e">
        <f>ABS(H26)/$B$4</f>
        <v>#VALUE!</v>
      </c>
      <c r="AP26" t="e">
        <f>Logistic(I26/$B$5)</f>
        <v>#VALUE!</v>
      </c>
      <c r="AQ26" t="e">
        <f>IF(I26&gt;$B$5,1,0)</f>
        <v>#VALUE!</v>
      </c>
      <c r="AR26" t="e">
        <f>Logistic(ABS(F26-O26)/($B$6/2))</f>
        <v>#VALUE!</v>
      </c>
      <c r="AS26" t="e">
        <f>IF(OR(F26&lt;M26,F26&gt;N26),1,0)</f>
        <v>#VALUE!</v>
      </c>
      <c r="AT26" t="e">
        <f>ABS(K26)/$B$4</f>
        <v>#VALUE!</v>
      </c>
      <c r="AU26">
        <f t="shared" ca="1" si="42"/>
        <v>0</v>
      </c>
      <c r="AV26" t="e">
        <f ca="1">IF(AND(L26&lt;&gt;$L$15,$Q$15&gt;Safety_Distance),1,0)</f>
        <v>#VALUE!</v>
      </c>
      <c r="AW26" t="e">
        <f ca="1">MAX(1-(IF(Q26/(G26-R26)&gt;0,Q26/(G26-R26),Collision_Time_Buffer)/Collision_Time_Buffer),0)*IF($L$15&lt;&gt;L26,Lane_Change_Multiplier,1)</f>
        <v>#VALUE!</v>
      </c>
      <c r="AX26" t="e">
        <f ca="1">MAX(1-(IF(T26/(G26-U26)&gt;0,T26/(G26-U26),Collision_Time_Buffer)/Collision_Time_Buffer),0)*IF($L$15&lt;&gt;L26,Lane_Change_Multiplier,1)</f>
        <v>#VALUE!</v>
      </c>
      <c r="AY26" t="e">
        <f ca="1">MAX(1-(IF(W26/(G26-X26)&gt;0,W26/(G26-X26),Collision_Time_Buffer)/Collision_Time_Buffer),0)*IF($L$15&lt;&gt;L26,Lane_Change_Multiplier,1)</f>
        <v>#VALUE!</v>
      </c>
      <c r="AZ26" t="e">
        <f ca="1">MAX(1-(IF(Z26/(G26-AA26)&gt;0,Z26/(G26-AA26),Collision_Time_Buffer)/Collision_Time_Buffer),0)*IF($L$15&lt;&gt;L26,Lane_Change_Multiplier,1)</f>
        <v>#VALUE!</v>
      </c>
      <c r="BA26">
        <f t="shared" ca="1" si="43"/>
        <v>0</v>
      </c>
      <c r="BB26">
        <f t="shared" ca="1" si="44"/>
        <v>0</v>
      </c>
      <c r="BC26">
        <f t="shared" si="45"/>
        <v>0</v>
      </c>
      <c r="BE26" t="e">
        <f t="shared" si="7"/>
        <v>#VALUE!</v>
      </c>
      <c r="BF26" t="e">
        <f t="shared" si="46"/>
        <v>#VALUE!</v>
      </c>
      <c r="BG26" t="e">
        <f t="shared" si="47"/>
        <v>#VALUE!</v>
      </c>
      <c r="BH26" t="e">
        <f t="shared" si="8"/>
        <v>#VALUE!</v>
      </c>
      <c r="BI26" t="e">
        <f t="shared" si="9"/>
        <v>#VALUE!</v>
      </c>
      <c r="BJ26" t="e">
        <f t="shared" si="10"/>
        <v>#VALUE!</v>
      </c>
      <c r="BK26" t="e">
        <f t="shared" si="11"/>
        <v>#VALUE!</v>
      </c>
      <c r="BL26" t="e">
        <f t="shared" si="48"/>
        <v>#VALUE!</v>
      </c>
      <c r="BM26" t="e">
        <f t="shared" si="12"/>
        <v>#VALUE!</v>
      </c>
      <c r="BN26" t="e">
        <f t="shared" si="13"/>
        <v>#VALUE!</v>
      </c>
      <c r="BO26" t="e">
        <f t="shared" si="14"/>
        <v>#VALUE!</v>
      </c>
      <c r="BP26" t="e">
        <f t="shared" si="15"/>
        <v>#VALUE!</v>
      </c>
      <c r="BQ26" t="e">
        <f t="shared" si="16"/>
        <v>#VALUE!</v>
      </c>
    </row>
    <row r="27" spans="1:69" x14ac:dyDescent="0.25">
      <c r="A27" s="1" t="s">
        <v>80</v>
      </c>
      <c r="B27">
        <f t="shared" si="2"/>
        <v>1000000</v>
      </c>
      <c r="D27" t="e">
        <f t="shared" si="17"/>
        <v>#VALUE!</v>
      </c>
      <c r="E27" t="e">
        <f t="shared" si="18"/>
        <v>#VALUE!</v>
      </c>
      <c r="F27" t="e">
        <f t="shared" si="19"/>
        <v>#VALUE!</v>
      </c>
      <c r="G27" t="e">
        <f t="shared" si="20"/>
        <v>#VALUE!</v>
      </c>
      <c r="H27" t="e">
        <f t="shared" si="21"/>
        <v>#VALUE!</v>
      </c>
      <c r="I27" t="e">
        <f t="shared" si="22"/>
        <v>#VALUE!</v>
      </c>
      <c r="J27" t="e">
        <f t="shared" si="23"/>
        <v>#VALUE!</v>
      </c>
      <c r="K27" t="e">
        <f t="shared" si="24"/>
        <v>#VALUE!</v>
      </c>
      <c r="L27" t="e">
        <f t="shared" si="3"/>
        <v>#VALUE!</v>
      </c>
      <c r="M27" t="e">
        <f t="shared" si="0"/>
        <v>#VALUE!</v>
      </c>
      <c r="N27" t="e">
        <f t="shared" si="1"/>
        <v>#VALUE!</v>
      </c>
      <c r="O27" t="e">
        <f t="shared" si="4"/>
        <v>#VALUE!</v>
      </c>
      <c r="P27" t="e">
        <f t="shared" si="5"/>
        <v>#VALUE!</v>
      </c>
      <c r="Q27">
        <f t="shared" ca="1" si="25"/>
        <v>1000000</v>
      </c>
      <c r="R27">
        <f t="shared" ca="1" si="26"/>
        <v>100</v>
      </c>
      <c r="S27" t="e">
        <f t="shared" si="27"/>
        <v>#VALUE!</v>
      </c>
      <c r="T27">
        <f t="shared" ca="1" si="28"/>
        <v>1000000</v>
      </c>
      <c r="U27">
        <f t="shared" ca="1" si="29"/>
        <v>100</v>
      </c>
      <c r="V27" t="e">
        <f t="shared" si="30"/>
        <v>#VALUE!</v>
      </c>
      <c r="W27">
        <f t="shared" ca="1" si="31"/>
        <v>1000000000</v>
      </c>
      <c r="X27">
        <f t="shared" ca="1" si="32"/>
        <v>100</v>
      </c>
      <c r="Y27" t="e">
        <f>GetFollowingCarRow($B$45:$E$54,L27,$E$15,E27)</f>
        <v>#VALUE!</v>
      </c>
      <c r="Z27">
        <f t="shared" ca="1" si="33"/>
        <v>1000000000</v>
      </c>
      <c r="AA27">
        <f t="shared" ca="1" si="34"/>
        <v>100</v>
      </c>
      <c r="AB27" t="e">
        <f t="shared" si="35"/>
        <v>#VALUE!</v>
      </c>
      <c r="AC27" t="e">
        <f t="shared" si="36"/>
        <v>#VALUE!</v>
      </c>
      <c r="AD27" t="e">
        <f t="shared" si="37"/>
        <v>#VALUE!</v>
      </c>
      <c r="AE27" t="e">
        <f t="shared" si="38"/>
        <v>#VALUE!</v>
      </c>
      <c r="AF27" t="e">
        <f t="shared" si="39"/>
        <v>#VALUE!</v>
      </c>
      <c r="AG27" t="e">
        <f t="shared" si="40"/>
        <v>#VALUE!</v>
      </c>
      <c r="AH27" t="e">
        <f t="shared" si="41"/>
        <v>#VALUE!</v>
      </c>
      <c r="AI27" t="e">
        <f>IF(G27&lt;=0,1,0)</f>
        <v>#VALUE!</v>
      </c>
      <c r="AJ27" t="e">
        <f>IF(G27&lt;0,1,0)</f>
        <v>#VALUE!</v>
      </c>
      <c r="AK27" t="e">
        <f>MAX(($B$3-G27)/(G27 + 1),0) / $B$3</f>
        <v>#VALUE!</v>
      </c>
      <c r="AL27" t="e">
        <f>IF(H27+ABS(K27)&lt;0,Logistic(SQRT(H27^2+K27^2)/$B$4),0)</f>
        <v>#VALUE!</v>
      </c>
      <c r="AM27" t="e">
        <f>IF(G27&gt;$B$3,1,0)</f>
        <v>#VALUE!</v>
      </c>
      <c r="AN27" t="e">
        <f>IF(H27&gt;$B$4,1,0)</f>
        <v>#VALUE!</v>
      </c>
      <c r="AO27" t="e">
        <f>ABS(H27)/$B$4</f>
        <v>#VALUE!</v>
      </c>
      <c r="AP27" t="e">
        <f>Logistic(I27/$B$5)</f>
        <v>#VALUE!</v>
      </c>
      <c r="AQ27" t="e">
        <f>IF(I27&gt;$B$5,1,0)</f>
        <v>#VALUE!</v>
      </c>
      <c r="AR27" t="e">
        <f>Logistic(ABS(F27-O27)/($B$6/2))</f>
        <v>#VALUE!</v>
      </c>
      <c r="AS27" t="e">
        <f>IF(OR(F27&lt;M27,F27&gt;N27),1,0)</f>
        <v>#VALUE!</v>
      </c>
      <c r="AT27" t="e">
        <f>ABS(K27)/$B$4</f>
        <v>#VALUE!</v>
      </c>
      <c r="AU27">
        <f t="shared" ca="1" si="42"/>
        <v>0</v>
      </c>
      <c r="AV27" t="e">
        <f ca="1">IF(AND(L27&lt;&gt;$L$15,$Q$15&gt;Safety_Distance),1,0)</f>
        <v>#VALUE!</v>
      </c>
      <c r="AW27" t="e">
        <f ca="1">MAX(1-(IF(Q27/(G27-R27)&gt;0,Q27/(G27-R27),Collision_Time_Buffer)/Collision_Time_Buffer),0)*IF($L$15&lt;&gt;L27,Lane_Change_Multiplier,1)</f>
        <v>#VALUE!</v>
      </c>
      <c r="AX27" t="e">
        <f ca="1">MAX(1-(IF(T27/(G27-U27)&gt;0,T27/(G27-U27),Collision_Time_Buffer)/Collision_Time_Buffer),0)*IF($L$15&lt;&gt;L27,Lane_Change_Multiplier,1)</f>
        <v>#VALUE!</v>
      </c>
      <c r="AY27" t="e">
        <f ca="1">MAX(1-(IF(W27/(G27-X27)&gt;0,W27/(G27-X27),Collision_Time_Buffer)/Collision_Time_Buffer),0)*IF($L$15&lt;&gt;L27,Lane_Change_Multiplier,1)</f>
        <v>#VALUE!</v>
      </c>
      <c r="AZ27" t="e">
        <f ca="1">MAX(1-(IF(Z27/(G27-AA27)&gt;0,Z27/(G27-AA27),Collision_Time_Buffer)/Collision_Time_Buffer),0)*IF($L$15&lt;&gt;L27,Lane_Change_Multiplier,1)</f>
        <v>#VALUE!</v>
      </c>
      <c r="BA27">
        <f t="shared" ca="1" si="43"/>
        <v>0</v>
      </c>
      <c r="BB27">
        <f t="shared" ca="1" si="44"/>
        <v>0</v>
      </c>
      <c r="BC27">
        <f t="shared" si="45"/>
        <v>0</v>
      </c>
      <c r="BE27" t="e">
        <f t="shared" si="7"/>
        <v>#VALUE!</v>
      </c>
      <c r="BF27" t="e">
        <f t="shared" si="46"/>
        <v>#VALUE!</v>
      </c>
      <c r="BG27" t="e">
        <f t="shared" si="47"/>
        <v>#VALUE!</v>
      </c>
      <c r="BH27" t="e">
        <f t="shared" si="8"/>
        <v>#VALUE!</v>
      </c>
      <c r="BI27" t="e">
        <f t="shared" si="9"/>
        <v>#VALUE!</v>
      </c>
      <c r="BJ27" t="e">
        <f t="shared" si="10"/>
        <v>#VALUE!</v>
      </c>
      <c r="BK27" t="e">
        <f t="shared" si="11"/>
        <v>#VALUE!</v>
      </c>
      <c r="BL27" t="e">
        <f t="shared" si="48"/>
        <v>#VALUE!</v>
      </c>
      <c r="BM27" t="e">
        <f t="shared" si="12"/>
        <v>#VALUE!</v>
      </c>
      <c r="BN27" t="e">
        <f t="shared" si="13"/>
        <v>#VALUE!</v>
      </c>
      <c r="BO27" t="e">
        <f t="shared" si="14"/>
        <v>#VALUE!</v>
      </c>
      <c r="BP27" t="e">
        <f t="shared" si="15"/>
        <v>#VALUE!</v>
      </c>
      <c r="BQ27" t="e">
        <f t="shared" si="16"/>
        <v>#VALUE!</v>
      </c>
    </row>
    <row r="28" spans="1:69" x14ac:dyDescent="0.25">
      <c r="A28" s="1" t="s">
        <v>81</v>
      </c>
      <c r="B28">
        <f t="shared" si="2"/>
        <v>1000000</v>
      </c>
      <c r="D28" t="e">
        <f t="shared" si="17"/>
        <v>#VALUE!</v>
      </c>
      <c r="E28" t="e">
        <f t="shared" si="18"/>
        <v>#VALUE!</v>
      </c>
      <c r="F28" t="e">
        <f t="shared" si="19"/>
        <v>#VALUE!</v>
      </c>
      <c r="G28" t="e">
        <f t="shared" si="20"/>
        <v>#VALUE!</v>
      </c>
      <c r="H28" t="e">
        <f t="shared" si="21"/>
        <v>#VALUE!</v>
      </c>
      <c r="I28" t="e">
        <f t="shared" si="22"/>
        <v>#VALUE!</v>
      </c>
      <c r="J28" t="e">
        <f t="shared" si="23"/>
        <v>#VALUE!</v>
      </c>
      <c r="K28" t="e">
        <f t="shared" si="24"/>
        <v>#VALUE!</v>
      </c>
      <c r="L28" t="e">
        <f t="shared" si="3"/>
        <v>#VALUE!</v>
      </c>
      <c r="M28" t="e">
        <f t="shared" si="0"/>
        <v>#VALUE!</v>
      </c>
      <c r="N28" t="e">
        <f t="shared" si="1"/>
        <v>#VALUE!</v>
      </c>
      <c r="O28" t="e">
        <f t="shared" si="4"/>
        <v>#VALUE!</v>
      </c>
      <c r="P28" t="e">
        <f t="shared" si="5"/>
        <v>#VALUE!</v>
      </c>
      <c r="Q28">
        <f t="shared" ca="1" si="25"/>
        <v>1000000</v>
      </c>
      <c r="R28">
        <f t="shared" ca="1" si="26"/>
        <v>100</v>
      </c>
      <c r="S28" t="e">
        <f t="shared" si="27"/>
        <v>#VALUE!</v>
      </c>
      <c r="T28">
        <f t="shared" ca="1" si="28"/>
        <v>1000000</v>
      </c>
      <c r="U28">
        <f t="shared" ca="1" si="29"/>
        <v>100</v>
      </c>
      <c r="V28" t="e">
        <f t="shared" si="30"/>
        <v>#VALUE!</v>
      </c>
      <c r="W28">
        <f t="shared" ca="1" si="31"/>
        <v>1000000000</v>
      </c>
      <c r="X28">
        <f t="shared" ca="1" si="32"/>
        <v>100</v>
      </c>
      <c r="Y28" t="e">
        <f>GetFollowingCarRow($B$45:$E$54,L28,$E$15,E28)</f>
        <v>#VALUE!</v>
      </c>
      <c r="Z28">
        <f t="shared" ca="1" si="33"/>
        <v>1000000000</v>
      </c>
      <c r="AA28">
        <f t="shared" ca="1" si="34"/>
        <v>100</v>
      </c>
      <c r="AB28" t="e">
        <f t="shared" si="35"/>
        <v>#VALUE!</v>
      </c>
      <c r="AC28" t="e">
        <f t="shared" si="36"/>
        <v>#VALUE!</v>
      </c>
      <c r="AD28" t="e">
        <f t="shared" si="37"/>
        <v>#VALUE!</v>
      </c>
      <c r="AE28" t="e">
        <f t="shared" si="38"/>
        <v>#VALUE!</v>
      </c>
      <c r="AF28" t="e">
        <f t="shared" si="39"/>
        <v>#VALUE!</v>
      </c>
      <c r="AG28" t="e">
        <f t="shared" si="40"/>
        <v>#VALUE!</v>
      </c>
      <c r="AH28" t="e">
        <f t="shared" si="41"/>
        <v>#VALUE!</v>
      </c>
      <c r="AI28" t="e">
        <f>IF(G28&lt;=0,1,0)</f>
        <v>#VALUE!</v>
      </c>
      <c r="AJ28" t="e">
        <f>IF(G28&lt;0,1,0)</f>
        <v>#VALUE!</v>
      </c>
      <c r="AK28" t="e">
        <f>MAX(($B$3-G28)/(G28 + 1),0) / $B$3</f>
        <v>#VALUE!</v>
      </c>
      <c r="AL28" t="e">
        <f>IF(H28+ABS(K28)&lt;0,Logistic(SQRT(H28^2+K28^2)/$B$4),0)</f>
        <v>#VALUE!</v>
      </c>
      <c r="AM28" t="e">
        <f>IF(G28&gt;$B$3,1,0)</f>
        <v>#VALUE!</v>
      </c>
      <c r="AN28" t="e">
        <f>IF(H28&gt;$B$4,1,0)</f>
        <v>#VALUE!</v>
      </c>
      <c r="AO28" t="e">
        <f>ABS(H28)/$B$4</f>
        <v>#VALUE!</v>
      </c>
      <c r="AP28" t="e">
        <f>Logistic(I28/$B$5)</f>
        <v>#VALUE!</v>
      </c>
      <c r="AQ28" t="e">
        <f>IF(I28&gt;$B$5,1,0)</f>
        <v>#VALUE!</v>
      </c>
      <c r="AR28" t="e">
        <f>Logistic(ABS(F28-O28)/($B$6/2))</f>
        <v>#VALUE!</v>
      </c>
      <c r="AS28" t="e">
        <f>IF(OR(F28&lt;M28,F28&gt;N28),1,0)</f>
        <v>#VALUE!</v>
      </c>
      <c r="AT28" t="e">
        <f>ABS(K28)/$B$4</f>
        <v>#VALUE!</v>
      </c>
      <c r="AU28">
        <f t="shared" ca="1" si="42"/>
        <v>0</v>
      </c>
      <c r="AV28" t="e">
        <f ca="1">IF(AND(L28&lt;&gt;$L$15,$Q$15&gt;Safety_Distance),1,0)</f>
        <v>#VALUE!</v>
      </c>
      <c r="AW28" t="e">
        <f ca="1">MAX(1-(IF(Q28/(G28-R28)&gt;0,Q28/(G28-R28),Collision_Time_Buffer)/Collision_Time_Buffer),0)*IF($L$15&lt;&gt;L28,Lane_Change_Multiplier,1)</f>
        <v>#VALUE!</v>
      </c>
      <c r="AX28" t="e">
        <f ca="1">MAX(1-(IF(T28/(G28-U28)&gt;0,T28/(G28-U28),Collision_Time_Buffer)/Collision_Time_Buffer),0)*IF($L$15&lt;&gt;L28,Lane_Change_Multiplier,1)</f>
        <v>#VALUE!</v>
      </c>
      <c r="AY28" t="e">
        <f ca="1">MAX(1-(IF(W28/(G28-X28)&gt;0,W28/(G28-X28),Collision_Time_Buffer)/Collision_Time_Buffer),0)*IF($L$15&lt;&gt;L28,Lane_Change_Multiplier,1)</f>
        <v>#VALUE!</v>
      </c>
      <c r="AZ28" t="e">
        <f ca="1">MAX(1-(IF(Z28/(G28-AA28)&gt;0,Z28/(G28-AA28),Collision_Time_Buffer)/Collision_Time_Buffer),0)*IF($L$15&lt;&gt;L28,Lane_Change_Multiplier,1)</f>
        <v>#VALUE!</v>
      </c>
      <c r="BA28">
        <f t="shared" ca="1" si="43"/>
        <v>0</v>
      </c>
      <c r="BB28">
        <f t="shared" ca="1" si="44"/>
        <v>0</v>
      </c>
      <c r="BC28">
        <f t="shared" si="45"/>
        <v>0</v>
      </c>
      <c r="BE28" t="e">
        <f t="shared" si="7"/>
        <v>#VALUE!</v>
      </c>
      <c r="BF28" t="e">
        <f t="shared" si="46"/>
        <v>#VALUE!</v>
      </c>
      <c r="BG28" t="e">
        <f t="shared" si="47"/>
        <v>#VALUE!</v>
      </c>
      <c r="BH28" t="e">
        <f t="shared" si="8"/>
        <v>#VALUE!</v>
      </c>
      <c r="BI28" t="e">
        <f t="shared" si="9"/>
        <v>#VALUE!</v>
      </c>
      <c r="BJ28" t="e">
        <f t="shared" si="10"/>
        <v>#VALUE!</v>
      </c>
      <c r="BK28" t="e">
        <f t="shared" si="11"/>
        <v>#VALUE!</v>
      </c>
      <c r="BL28" t="e">
        <f t="shared" si="48"/>
        <v>#VALUE!</v>
      </c>
      <c r="BM28" t="e">
        <f t="shared" si="12"/>
        <v>#VALUE!</v>
      </c>
      <c r="BN28" t="e">
        <f t="shared" si="13"/>
        <v>#VALUE!</v>
      </c>
      <c r="BO28" t="e">
        <f t="shared" si="14"/>
        <v>#VALUE!</v>
      </c>
      <c r="BP28" t="e">
        <f t="shared" si="15"/>
        <v>#VALUE!</v>
      </c>
      <c r="BQ28" t="e">
        <f t="shared" si="16"/>
        <v>#VALUE!</v>
      </c>
    </row>
    <row r="29" spans="1:69" x14ac:dyDescent="0.25">
      <c r="A29" s="1" t="s">
        <v>22</v>
      </c>
      <c r="B29">
        <f t="shared" si="2"/>
        <v>1000000</v>
      </c>
      <c r="D29" t="e">
        <f t="shared" si="17"/>
        <v>#VALUE!</v>
      </c>
      <c r="E29" t="e">
        <f t="shared" si="18"/>
        <v>#VALUE!</v>
      </c>
      <c r="F29" t="e">
        <f t="shared" si="19"/>
        <v>#VALUE!</v>
      </c>
      <c r="G29" t="e">
        <f t="shared" si="20"/>
        <v>#VALUE!</v>
      </c>
      <c r="H29" t="e">
        <f t="shared" si="21"/>
        <v>#VALUE!</v>
      </c>
      <c r="I29" t="e">
        <f t="shared" si="22"/>
        <v>#VALUE!</v>
      </c>
      <c r="J29" t="e">
        <f t="shared" si="23"/>
        <v>#VALUE!</v>
      </c>
      <c r="K29" t="e">
        <f t="shared" si="24"/>
        <v>#VALUE!</v>
      </c>
      <c r="L29" t="e">
        <f t="shared" si="3"/>
        <v>#VALUE!</v>
      </c>
      <c r="M29" t="e">
        <f t="shared" si="0"/>
        <v>#VALUE!</v>
      </c>
      <c r="N29" t="e">
        <f t="shared" si="1"/>
        <v>#VALUE!</v>
      </c>
      <c r="O29" t="e">
        <f t="shared" si="4"/>
        <v>#VALUE!</v>
      </c>
      <c r="P29" t="e">
        <f t="shared" si="5"/>
        <v>#VALUE!</v>
      </c>
      <c r="Q29">
        <f t="shared" ca="1" si="25"/>
        <v>1000000</v>
      </c>
      <c r="R29">
        <f t="shared" ca="1" si="26"/>
        <v>100</v>
      </c>
      <c r="S29" t="e">
        <f t="shared" si="27"/>
        <v>#VALUE!</v>
      </c>
      <c r="T29">
        <f t="shared" ca="1" si="28"/>
        <v>1000000</v>
      </c>
      <c r="U29">
        <f t="shared" ca="1" si="29"/>
        <v>100</v>
      </c>
      <c r="V29" t="e">
        <f t="shared" si="30"/>
        <v>#VALUE!</v>
      </c>
      <c r="W29">
        <f t="shared" ca="1" si="31"/>
        <v>1000000000</v>
      </c>
      <c r="X29">
        <f t="shared" ca="1" si="32"/>
        <v>100</v>
      </c>
      <c r="Y29" t="e">
        <f>GetFollowingCarRow($B$45:$E$54,L29,$E$15,E29)</f>
        <v>#VALUE!</v>
      </c>
      <c r="Z29">
        <f t="shared" ca="1" si="33"/>
        <v>1000000000</v>
      </c>
      <c r="AA29">
        <f t="shared" ca="1" si="34"/>
        <v>100</v>
      </c>
      <c r="AB29" t="e">
        <f t="shared" si="35"/>
        <v>#VALUE!</v>
      </c>
      <c r="AC29" t="e">
        <f t="shared" si="36"/>
        <v>#VALUE!</v>
      </c>
      <c r="AD29" t="e">
        <f t="shared" si="37"/>
        <v>#VALUE!</v>
      </c>
      <c r="AE29" t="e">
        <f t="shared" si="38"/>
        <v>#VALUE!</v>
      </c>
      <c r="AF29" t="e">
        <f t="shared" si="39"/>
        <v>#VALUE!</v>
      </c>
      <c r="AG29" t="e">
        <f t="shared" si="40"/>
        <v>#VALUE!</v>
      </c>
      <c r="AH29" t="e">
        <f t="shared" si="41"/>
        <v>#VALUE!</v>
      </c>
      <c r="AI29" t="e">
        <f>IF(G29&lt;=0,1,0)</f>
        <v>#VALUE!</v>
      </c>
      <c r="AJ29" t="e">
        <f>IF(G29&lt;0,1,0)</f>
        <v>#VALUE!</v>
      </c>
      <c r="AK29" t="e">
        <f>MAX(($B$3-G29)/(G29 + 1),0) / $B$3</f>
        <v>#VALUE!</v>
      </c>
      <c r="AL29" t="e">
        <f>IF(H29+ABS(K29)&lt;0,Logistic(SQRT(H29^2+K29^2)/$B$4),0)</f>
        <v>#VALUE!</v>
      </c>
      <c r="AM29" t="e">
        <f>IF(G29&gt;$B$3,1,0)</f>
        <v>#VALUE!</v>
      </c>
      <c r="AN29" t="e">
        <f>IF(H29&gt;$B$4,1,0)</f>
        <v>#VALUE!</v>
      </c>
      <c r="AO29" t="e">
        <f>ABS(H29)/$B$4</f>
        <v>#VALUE!</v>
      </c>
      <c r="AP29" t="e">
        <f>Logistic(I29/$B$5)</f>
        <v>#VALUE!</v>
      </c>
      <c r="AQ29" t="e">
        <f>IF(I29&gt;$B$5,1,0)</f>
        <v>#VALUE!</v>
      </c>
      <c r="AR29" t="e">
        <f>Logistic(ABS(F29-O29)/($B$6/2))</f>
        <v>#VALUE!</v>
      </c>
      <c r="AS29" t="e">
        <f>IF(OR(F29&lt;M29,F29&gt;N29),1,0)</f>
        <v>#VALUE!</v>
      </c>
      <c r="AT29" t="e">
        <f>ABS(K29)/$B$4</f>
        <v>#VALUE!</v>
      </c>
      <c r="AU29">
        <f t="shared" ca="1" si="42"/>
        <v>0</v>
      </c>
      <c r="AV29" t="e">
        <f ca="1">IF(AND(L29&lt;&gt;$L$15,$Q$15&gt;Safety_Distance),1,0)</f>
        <v>#VALUE!</v>
      </c>
      <c r="AW29" t="e">
        <f ca="1">MAX(1-(IF(Q29/(G29-R29)&gt;0,Q29/(G29-R29),Collision_Time_Buffer)/Collision_Time_Buffer),0)*IF($L$15&lt;&gt;L29,Lane_Change_Multiplier,1)</f>
        <v>#VALUE!</v>
      </c>
      <c r="AX29" t="e">
        <f ca="1">MAX(1-(IF(T29/(G29-U29)&gt;0,T29/(G29-U29),Collision_Time_Buffer)/Collision_Time_Buffer),0)*IF($L$15&lt;&gt;L29,Lane_Change_Multiplier,1)</f>
        <v>#VALUE!</v>
      </c>
      <c r="AY29" t="e">
        <f ca="1">MAX(1-(IF(W29/(G29-X29)&gt;0,W29/(G29-X29),Collision_Time_Buffer)/Collision_Time_Buffer),0)*IF($L$15&lt;&gt;L29,Lane_Change_Multiplier,1)</f>
        <v>#VALUE!</v>
      </c>
      <c r="AZ29" t="e">
        <f ca="1">MAX(1-(IF(Z29/(G29-AA29)&gt;0,Z29/(G29-AA29),Collision_Time_Buffer)/Collision_Time_Buffer),0)*IF($L$15&lt;&gt;L29,Lane_Change_Multiplier,1)</f>
        <v>#VALUE!</v>
      </c>
      <c r="BA29">
        <f t="shared" ca="1" si="43"/>
        <v>0</v>
      </c>
      <c r="BB29">
        <f t="shared" ca="1" si="44"/>
        <v>0</v>
      </c>
      <c r="BC29">
        <f t="shared" si="45"/>
        <v>0</v>
      </c>
      <c r="BE29" t="e">
        <f t="shared" si="7"/>
        <v>#VALUE!</v>
      </c>
      <c r="BF29" t="e">
        <f t="shared" si="46"/>
        <v>#VALUE!</v>
      </c>
      <c r="BG29" t="e">
        <f t="shared" si="47"/>
        <v>#VALUE!</v>
      </c>
      <c r="BH29" t="e">
        <f t="shared" si="8"/>
        <v>#VALUE!</v>
      </c>
      <c r="BI29" t="e">
        <f t="shared" si="9"/>
        <v>#VALUE!</v>
      </c>
      <c r="BJ29" t="e">
        <f t="shared" si="10"/>
        <v>#VALUE!</v>
      </c>
      <c r="BK29" t="e">
        <f t="shared" si="11"/>
        <v>#VALUE!</v>
      </c>
      <c r="BL29" t="e">
        <f t="shared" si="48"/>
        <v>#VALUE!</v>
      </c>
      <c r="BM29" t="e">
        <f t="shared" si="12"/>
        <v>#VALUE!</v>
      </c>
      <c r="BN29" t="e">
        <f t="shared" si="13"/>
        <v>#VALUE!</v>
      </c>
      <c r="BO29" t="e">
        <f t="shared" si="14"/>
        <v>#VALUE!</v>
      </c>
      <c r="BP29" t="e">
        <f t="shared" si="15"/>
        <v>#VALUE!</v>
      </c>
      <c r="BQ29" t="e">
        <f t="shared" si="16"/>
        <v>#VALUE!</v>
      </c>
    </row>
    <row r="30" spans="1:69" x14ac:dyDescent="0.25">
      <c r="A30" s="1" t="s">
        <v>21</v>
      </c>
      <c r="B30">
        <f t="shared" si="2"/>
        <v>1000000</v>
      </c>
      <c r="D30" t="e">
        <f t="shared" si="17"/>
        <v>#VALUE!</v>
      </c>
      <c r="E30" t="e">
        <f t="shared" si="18"/>
        <v>#VALUE!</v>
      </c>
      <c r="F30" t="e">
        <f t="shared" si="19"/>
        <v>#VALUE!</v>
      </c>
      <c r="G30" t="e">
        <f t="shared" si="20"/>
        <v>#VALUE!</v>
      </c>
      <c r="H30" t="e">
        <f t="shared" si="21"/>
        <v>#VALUE!</v>
      </c>
      <c r="I30" t="e">
        <f t="shared" si="22"/>
        <v>#VALUE!</v>
      </c>
      <c r="J30" t="e">
        <f t="shared" si="23"/>
        <v>#VALUE!</v>
      </c>
      <c r="K30" t="e">
        <f t="shared" si="24"/>
        <v>#VALUE!</v>
      </c>
      <c r="L30" t="e">
        <f t="shared" si="3"/>
        <v>#VALUE!</v>
      </c>
      <c r="M30" t="e">
        <f t="shared" si="0"/>
        <v>#VALUE!</v>
      </c>
      <c r="N30" t="e">
        <f t="shared" si="1"/>
        <v>#VALUE!</v>
      </c>
      <c r="O30" t="e">
        <f t="shared" si="4"/>
        <v>#VALUE!</v>
      </c>
      <c r="P30" t="e">
        <f t="shared" si="5"/>
        <v>#VALUE!</v>
      </c>
      <c r="Q30">
        <f t="shared" ca="1" si="25"/>
        <v>1000000</v>
      </c>
      <c r="R30">
        <f t="shared" ca="1" si="26"/>
        <v>100</v>
      </c>
      <c r="S30" t="e">
        <f t="shared" si="27"/>
        <v>#VALUE!</v>
      </c>
      <c r="T30">
        <f t="shared" ca="1" si="28"/>
        <v>1000000</v>
      </c>
      <c r="U30">
        <f t="shared" ca="1" si="29"/>
        <v>100</v>
      </c>
      <c r="V30" t="e">
        <f t="shared" si="30"/>
        <v>#VALUE!</v>
      </c>
      <c r="W30">
        <f t="shared" ca="1" si="31"/>
        <v>1000000000</v>
      </c>
      <c r="X30">
        <f t="shared" ca="1" si="32"/>
        <v>100</v>
      </c>
      <c r="Y30" t="e">
        <f>GetFollowingCarRow($B$45:$E$54,L30,$E$15,E30)</f>
        <v>#VALUE!</v>
      </c>
      <c r="Z30">
        <f t="shared" ca="1" si="33"/>
        <v>1000000000</v>
      </c>
      <c r="AA30">
        <f t="shared" ca="1" si="34"/>
        <v>100</v>
      </c>
      <c r="AB30" t="e">
        <f t="shared" si="35"/>
        <v>#VALUE!</v>
      </c>
      <c r="AC30" t="e">
        <f t="shared" si="36"/>
        <v>#VALUE!</v>
      </c>
      <c r="AD30" t="e">
        <f t="shared" si="37"/>
        <v>#VALUE!</v>
      </c>
      <c r="AE30" t="e">
        <f t="shared" si="38"/>
        <v>#VALUE!</v>
      </c>
      <c r="AF30" t="e">
        <f t="shared" si="39"/>
        <v>#VALUE!</v>
      </c>
      <c r="AG30" t="e">
        <f t="shared" si="40"/>
        <v>#VALUE!</v>
      </c>
      <c r="AH30" t="e">
        <f t="shared" si="41"/>
        <v>#VALUE!</v>
      </c>
      <c r="AI30" t="e">
        <f>IF(G30&lt;=0,1,0)</f>
        <v>#VALUE!</v>
      </c>
      <c r="AJ30" t="e">
        <f>IF(G30&lt;0,1,0)</f>
        <v>#VALUE!</v>
      </c>
      <c r="AK30" t="e">
        <f>MAX(($B$3-G30)/(G30 + 1),0) / $B$3</f>
        <v>#VALUE!</v>
      </c>
      <c r="AL30" t="e">
        <f>IF(H30+ABS(K30)&lt;0,Logistic(SQRT(H30^2+K30^2)/$B$4),0)</f>
        <v>#VALUE!</v>
      </c>
      <c r="AM30" t="e">
        <f>IF(G30&gt;$B$3,1,0)</f>
        <v>#VALUE!</v>
      </c>
      <c r="AN30" t="e">
        <f>IF(H30&gt;$B$4,1,0)</f>
        <v>#VALUE!</v>
      </c>
      <c r="AO30" t="e">
        <f>ABS(H30)/$B$4</f>
        <v>#VALUE!</v>
      </c>
      <c r="AP30" t="e">
        <f>Logistic(I30/$B$5)</f>
        <v>#VALUE!</v>
      </c>
      <c r="AQ30" t="e">
        <f>IF(I30&gt;$B$5,1,0)</f>
        <v>#VALUE!</v>
      </c>
      <c r="AR30" t="e">
        <f>Logistic(ABS(F30-O30)/($B$6/2))</f>
        <v>#VALUE!</v>
      </c>
      <c r="AS30" t="e">
        <f>IF(OR(F30&lt;M30,F30&gt;N30),1,0)</f>
        <v>#VALUE!</v>
      </c>
      <c r="AT30" t="e">
        <f>ABS(K30)/$B$4</f>
        <v>#VALUE!</v>
      </c>
      <c r="AU30">
        <f t="shared" ca="1" si="42"/>
        <v>0</v>
      </c>
      <c r="AV30" t="e">
        <f ca="1">IF(AND(L30&lt;&gt;$L$15,$Q$15&gt;Safety_Distance),1,0)</f>
        <v>#VALUE!</v>
      </c>
      <c r="AW30" t="e">
        <f ca="1">MAX(1-(IF(Q30/(G30-R30)&gt;0,Q30/(G30-R30),Collision_Time_Buffer)/Collision_Time_Buffer),0)*IF($L$15&lt;&gt;L30,Lane_Change_Multiplier,1)</f>
        <v>#VALUE!</v>
      </c>
      <c r="AX30" t="e">
        <f ca="1">MAX(1-(IF(T30/(G30-U30)&gt;0,T30/(G30-U30),Collision_Time_Buffer)/Collision_Time_Buffer),0)*IF($L$15&lt;&gt;L30,Lane_Change_Multiplier,1)</f>
        <v>#VALUE!</v>
      </c>
      <c r="AY30" t="e">
        <f ca="1">MAX(1-(IF(W30/(G30-X30)&gt;0,W30/(G30-X30),Collision_Time_Buffer)/Collision_Time_Buffer),0)*IF($L$15&lt;&gt;L30,Lane_Change_Multiplier,1)</f>
        <v>#VALUE!</v>
      </c>
      <c r="AZ30" t="e">
        <f ca="1">MAX(1-(IF(Z30/(G30-AA30)&gt;0,Z30/(G30-AA30),Collision_Time_Buffer)/Collision_Time_Buffer),0)*IF($L$15&lt;&gt;L30,Lane_Change_Multiplier,1)</f>
        <v>#VALUE!</v>
      </c>
      <c r="BA30">
        <f t="shared" ca="1" si="43"/>
        <v>0</v>
      </c>
      <c r="BB30">
        <f t="shared" ca="1" si="44"/>
        <v>0</v>
      </c>
      <c r="BC30">
        <f t="shared" si="45"/>
        <v>0</v>
      </c>
      <c r="BE30" t="e">
        <f t="shared" si="7"/>
        <v>#VALUE!</v>
      </c>
      <c r="BF30" t="e">
        <f t="shared" si="46"/>
        <v>#VALUE!</v>
      </c>
      <c r="BG30" t="e">
        <f t="shared" si="47"/>
        <v>#VALUE!</v>
      </c>
      <c r="BH30" t="e">
        <f t="shared" si="8"/>
        <v>#VALUE!</v>
      </c>
      <c r="BI30" t="e">
        <f t="shared" si="9"/>
        <v>#VALUE!</v>
      </c>
      <c r="BJ30" t="e">
        <f t="shared" si="10"/>
        <v>#VALUE!</v>
      </c>
      <c r="BK30" t="e">
        <f t="shared" si="11"/>
        <v>#VALUE!</v>
      </c>
      <c r="BL30" t="e">
        <f t="shared" si="48"/>
        <v>#VALUE!</v>
      </c>
      <c r="BM30" t="e">
        <f t="shared" si="12"/>
        <v>#VALUE!</v>
      </c>
      <c r="BN30" t="e">
        <f t="shared" si="13"/>
        <v>#VALUE!</v>
      </c>
      <c r="BO30" t="e">
        <f t="shared" si="14"/>
        <v>#VALUE!</v>
      </c>
      <c r="BP30" t="e">
        <f t="shared" si="15"/>
        <v>#VALUE!</v>
      </c>
      <c r="BQ30" t="e">
        <f t="shared" si="16"/>
        <v>#VALUE!</v>
      </c>
    </row>
    <row r="31" spans="1:69" x14ac:dyDescent="0.25">
      <c r="A31" s="1" t="s">
        <v>20</v>
      </c>
      <c r="B31">
        <f t="shared" si="2"/>
        <v>1000000</v>
      </c>
      <c r="D31" t="e">
        <f t="shared" si="17"/>
        <v>#VALUE!</v>
      </c>
      <c r="E31" t="e">
        <f t="shared" si="18"/>
        <v>#VALUE!</v>
      </c>
      <c r="F31" t="e">
        <f t="shared" si="19"/>
        <v>#VALUE!</v>
      </c>
      <c r="G31" t="e">
        <f t="shared" si="20"/>
        <v>#VALUE!</v>
      </c>
      <c r="H31" t="e">
        <f t="shared" si="21"/>
        <v>#VALUE!</v>
      </c>
      <c r="I31" t="e">
        <f t="shared" si="22"/>
        <v>#VALUE!</v>
      </c>
      <c r="J31" t="e">
        <f t="shared" si="23"/>
        <v>#VALUE!</v>
      </c>
      <c r="K31" t="e">
        <f t="shared" si="24"/>
        <v>#VALUE!</v>
      </c>
      <c r="L31" t="e">
        <f t="shared" si="3"/>
        <v>#VALUE!</v>
      </c>
      <c r="M31" t="e">
        <f t="shared" si="0"/>
        <v>#VALUE!</v>
      </c>
      <c r="N31" t="e">
        <f t="shared" si="1"/>
        <v>#VALUE!</v>
      </c>
      <c r="O31" t="e">
        <f t="shared" si="4"/>
        <v>#VALUE!</v>
      </c>
      <c r="P31" t="e">
        <f t="shared" si="5"/>
        <v>#VALUE!</v>
      </c>
      <c r="Q31">
        <f t="shared" ca="1" si="25"/>
        <v>1000000</v>
      </c>
      <c r="R31">
        <f t="shared" ca="1" si="26"/>
        <v>100</v>
      </c>
      <c r="S31" t="e">
        <f t="shared" si="27"/>
        <v>#VALUE!</v>
      </c>
      <c r="T31">
        <f t="shared" ca="1" si="28"/>
        <v>1000000</v>
      </c>
      <c r="U31">
        <f t="shared" ca="1" si="29"/>
        <v>100</v>
      </c>
      <c r="V31" t="e">
        <f t="shared" si="30"/>
        <v>#VALUE!</v>
      </c>
      <c r="W31">
        <f t="shared" ca="1" si="31"/>
        <v>1000000000</v>
      </c>
      <c r="X31">
        <f t="shared" ca="1" si="32"/>
        <v>100</v>
      </c>
      <c r="Y31" t="e">
        <f>GetFollowingCarRow($B$45:$E$54,L31,$E$15,E31)</f>
        <v>#VALUE!</v>
      </c>
      <c r="Z31">
        <f t="shared" ca="1" si="33"/>
        <v>1000000000</v>
      </c>
      <c r="AA31">
        <f t="shared" ca="1" si="34"/>
        <v>100</v>
      </c>
      <c r="AB31" t="e">
        <f t="shared" si="35"/>
        <v>#VALUE!</v>
      </c>
      <c r="AC31" t="e">
        <f t="shared" si="36"/>
        <v>#VALUE!</v>
      </c>
      <c r="AD31" t="e">
        <f t="shared" si="37"/>
        <v>#VALUE!</v>
      </c>
      <c r="AE31" t="e">
        <f t="shared" si="38"/>
        <v>#VALUE!</v>
      </c>
      <c r="AF31" t="e">
        <f t="shared" si="39"/>
        <v>#VALUE!</v>
      </c>
      <c r="AG31" t="e">
        <f t="shared" si="40"/>
        <v>#VALUE!</v>
      </c>
      <c r="AH31" t="e">
        <f t="shared" si="41"/>
        <v>#VALUE!</v>
      </c>
      <c r="AI31" t="e">
        <f>IF(G31&lt;=0,1,0)</f>
        <v>#VALUE!</v>
      </c>
      <c r="AJ31" t="e">
        <f>IF(G31&lt;0,1,0)</f>
        <v>#VALUE!</v>
      </c>
      <c r="AK31" t="e">
        <f>MAX(($B$3-G31)/(G31 + 1),0) / $B$3</f>
        <v>#VALUE!</v>
      </c>
      <c r="AL31" t="e">
        <f>IF(H31+ABS(K31)&lt;0,Logistic(SQRT(H31^2+K31^2)/$B$4),0)</f>
        <v>#VALUE!</v>
      </c>
      <c r="AM31" t="e">
        <f>IF(G31&gt;$B$3,1,0)</f>
        <v>#VALUE!</v>
      </c>
      <c r="AN31" t="e">
        <f>IF(H31&gt;$B$4,1,0)</f>
        <v>#VALUE!</v>
      </c>
      <c r="AO31" t="e">
        <f>ABS(H31)/$B$4</f>
        <v>#VALUE!</v>
      </c>
      <c r="AP31" t="e">
        <f>Logistic(I31/$B$5)</f>
        <v>#VALUE!</v>
      </c>
      <c r="AQ31" t="e">
        <f>IF(I31&gt;$B$5,1,0)</f>
        <v>#VALUE!</v>
      </c>
      <c r="AR31" t="e">
        <f>Logistic(ABS(F31-O31)/($B$6/2))</f>
        <v>#VALUE!</v>
      </c>
      <c r="AS31" t="e">
        <f>IF(OR(F31&lt;M31,F31&gt;N31),1,0)</f>
        <v>#VALUE!</v>
      </c>
      <c r="AT31" t="e">
        <f>ABS(K31)/$B$4</f>
        <v>#VALUE!</v>
      </c>
      <c r="AU31">
        <f t="shared" ca="1" si="42"/>
        <v>0</v>
      </c>
      <c r="AV31" t="e">
        <f ca="1">IF(AND(L31&lt;&gt;$L$15,$Q$15&gt;Safety_Distance),1,0)</f>
        <v>#VALUE!</v>
      </c>
      <c r="AW31" t="e">
        <f ca="1">MAX(1-(IF(Q31/(G31-R31)&gt;0,Q31/(G31-R31),Collision_Time_Buffer)/Collision_Time_Buffer),0)*IF($L$15&lt;&gt;L31,Lane_Change_Multiplier,1)</f>
        <v>#VALUE!</v>
      </c>
      <c r="AX31" t="e">
        <f ca="1">MAX(1-(IF(T31/(G31-U31)&gt;0,T31/(G31-U31),Collision_Time_Buffer)/Collision_Time_Buffer),0)*IF($L$15&lt;&gt;L31,Lane_Change_Multiplier,1)</f>
        <v>#VALUE!</v>
      </c>
      <c r="AY31" t="e">
        <f ca="1">MAX(1-(IF(W31/(G31-X31)&gt;0,W31/(G31-X31),Collision_Time_Buffer)/Collision_Time_Buffer),0)*IF($L$15&lt;&gt;L31,Lane_Change_Multiplier,1)</f>
        <v>#VALUE!</v>
      </c>
      <c r="AZ31" t="e">
        <f ca="1">MAX(1-(IF(Z31/(G31-AA31)&gt;0,Z31/(G31-AA31),Collision_Time_Buffer)/Collision_Time_Buffer),0)*IF($L$15&lt;&gt;L31,Lane_Change_Multiplier,1)</f>
        <v>#VALUE!</v>
      </c>
      <c r="BA31">
        <f t="shared" ca="1" si="43"/>
        <v>0</v>
      </c>
      <c r="BB31">
        <f t="shared" ca="1" si="44"/>
        <v>0</v>
      </c>
      <c r="BC31">
        <f t="shared" si="45"/>
        <v>0</v>
      </c>
      <c r="BE31" t="e">
        <f t="shared" si="7"/>
        <v>#VALUE!</v>
      </c>
      <c r="BF31" t="e">
        <f t="shared" si="46"/>
        <v>#VALUE!</v>
      </c>
      <c r="BG31" t="e">
        <f t="shared" si="47"/>
        <v>#VALUE!</v>
      </c>
      <c r="BH31" t="e">
        <f t="shared" si="8"/>
        <v>#VALUE!</v>
      </c>
      <c r="BI31" t="e">
        <f t="shared" si="9"/>
        <v>#VALUE!</v>
      </c>
      <c r="BJ31" t="e">
        <f t="shared" si="10"/>
        <v>#VALUE!</v>
      </c>
      <c r="BK31" t="e">
        <f t="shared" si="11"/>
        <v>#VALUE!</v>
      </c>
      <c r="BL31" t="e">
        <f t="shared" si="48"/>
        <v>#VALUE!</v>
      </c>
      <c r="BM31" t="e">
        <f t="shared" si="12"/>
        <v>#VALUE!</v>
      </c>
      <c r="BN31" t="e">
        <f t="shared" si="13"/>
        <v>#VALUE!</v>
      </c>
      <c r="BO31" t="e">
        <f t="shared" si="14"/>
        <v>#VALUE!</v>
      </c>
      <c r="BP31" t="e">
        <f t="shared" si="15"/>
        <v>#VALUE!</v>
      </c>
      <c r="BQ31" t="e">
        <f t="shared" si="16"/>
        <v>#VALUE!</v>
      </c>
    </row>
    <row r="32" spans="1:69" x14ac:dyDescent="0.25">
      <c r="A32" s="1" t="s">
        <v>37</v>
      </c>
      <c r="B32">
        <f t="shared" ca="1" si="2"/>
        <v>25.562993069656368</v>
      </c>
      <c r="C32" t="s">
        <v>345</v>
      </c>
      <c r="D32">
        <f t="shared" si="17"/>
        <v>132</v>
      </c>
      <c r="E32">
        <f t="shared" si="18"/>
        <v>372.4</v>
      </c>
      <c r="F32">
        <f t="shared" si="19"/>
        <v>8.4600000000000009</v>
      </c>
      <c r="G32">
        <f t="shared" si="20"/>
        <v>20.25</v>
      </c>
      <c r="H32">
        <f t="shared" si="21"/>
        <v>-0.16</v>
      </c>
      <c r="I32">
        <f t="shared" si="22"/>
        <v>0.19</v>
      </c>
      <c r="J32">
        <f t="shared" si="23"/>
        <v>-0.92</v>
      </c>
      <c r="K32">
        <f t="shared" si="24"/>
        <v>1.1000000000000001</v>
      </c>
      <c r="L32">
        <f t="shared" si="3"/>
        <v>2</v>
      </c>
      <c r="M32">
        <f t="shared" ref="M32:M37" si="49">$B$6*(L32-1)</f>
        <v>4</v>
      </c>
      <c r="N32">
        <f t="shared" ref="N32:N37" si="50">$B$6*L32</f>
        <v>8</v>
      </c>
      <c r="O32">
        <f t="shared" si="4"/>
        <v>6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>
        <f t="shared" si="27"/>
        <v>54</v>
      </c>
      <c r="T32">
        <f t="shared" ca="1" si="28"/>
        <v>-84.433457999999973</v>
      </c>
      <c r="U32">
        <f t="shared" ca="1" si="29"/>
        <v>20.606627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>
        <f>GetFollowingCarRow($B$45:$E$54,L32,$E$15,E32)</f>
        <v>54</v>
      </c>
      <c r="Z32">
        <f t="shared" ca="1" si="33"/>
        <v>-126.75345799999997</v>
      </c>
      <c r="AA32">
        <f t="shared" ca="1" si="34"/>
        <v>20.606627</v>
      </c>
      <c r="AB32">
        <f t="shared" si="35"/>
        <v>1.7599999999999998</v>
      </c>
      <c r="AC32">
        <f t="shared" si="36"/>
        <v>42.319999999999993</v>
      </c>
      <c r="AD32">
        <f t="shared" si="37"/>
        <v>23.94733459357278</v>
      </c>
      <c r="AE32">
        <f t="shared" si="38"/>
        <v>-1013.4511999999999</v>
      </c>
      <c r="AF32">
        <f t="shared" si="39"/>
        <v>42.356581542896016</v>
      </c>
      <c r="AG32">
        <f t="shared" si="40"/>
        <v>16.792145058252252</v>
      </c>
      <c r="AH32">
        <f t="shared" si="41"/>
        <v>0.67506987483860781</v>
      </c>
      <c r="AI32">
        <f>IF(G32&lt;=0,1,0)</f>
        <v>0</v>
      </c>
      <c r="AJ32">
        <f>IF(G32&lt;0,1,0)</f>
        <v>0</v>
      </c>
      <c r="AK32">
        <f>MAX(($B$3-G32)/(G32 + 1),0) / $B$3</f>
        <v>2.1511337805621756E-3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0.02</v>
      </c>
      <c r="AP32">
        <f>Logistic(I32/$B$5)</f>
        <v>1.1874441844634499E-2</v>
      </c>
      <c r="AQ32">
        <f>IF(I32&gt;$B$5,1,0)</f>
        <v>0</v>
      </c>
      <c r="AR32">
        <f>Logistic(ABS(F32-O32)/($B$6/2))</f>
        <v>0.54763714853890777</v>
      </c>
      <c r="AS32">
        <f>IF(OR(F32&lt;M32,F32&gt;N32),1,0)</f>
        <v>1</v>
      </c>
      <c r="AT32">
        <f>ABS(K32)/$B$4</f>
        <v>0.13750000000000001</v>
      </c>
      <c r="AU32">
        <f t="shared" ca="1" si="42"/>
        <v>0</v>
      </c>
      <c r="AV32">
        <f ca="1">IF(AND(L32&lt;&gt;$L$15,$Q$15&gt;Safety_Distance),1,0)</f>
        <v>0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3"/>
        <v>0</v>
      </c>
      <c r="BB32">
        <f t="shared" ca="1" si="44"/>
        <v>0</v>
      </c>
      <c r="BC32">
        <f t="shared" si="45"/>
        <v>0</v>
      </c>
      <c r="BE32">
        <f t="shared" ref="BE32:BE37" si="51">Logistic((D32-$B$2)/$B$2)</f>
        <v>0.67506987483860781</v>
      </c>
      <c r="BF32">
        <f t="shared" si="46"/>
        <v>0</v>
      </c>
      <c r="BG32">
        <f t="shared" si="47"/>
        <v>0</v>
      </c>
      <c r="BH32">
        <f t="shared" ref="BH32:BH37" si="52">Logistic(($B$3-G32)/(G32+1))</f>
        <v>2.2819567209191937E-2</v>
      </c>
      <c r="BI32">
        <f t="shared" ref="BI32:BI37" si="53">IF(G32&gt;$B$3,1,0)</f>
        <v>0</v>
      </c>
      <c r="BJ32">
        <f t="shared" ref="BJ32:BJ37" si="54">IF(H32&gt;$B$5,1,0)</f>
        <v>0</v>
      </c>
      <c r="BK32">
        <f t="shared" ref="BK32:BK37" si="55">EXP(-($B$4-ABS(H32))/MAX(ABS(H32),0.000000001))</f>
        <v>5.2428856633634639E-22</v>
      </c>
      <c r="BL32">
        <f t="shared" si="48"/>
        <v>0</v>
      </c>
      <c r="BM32">
        <f t="shared" ref="BM32:BM37" si="56">EXP(-($B$5-I32)/MAX(I32,0.000000001))</f>
        <v>1.4067309199104699E-18</v>
      </c>
      <c r="BN32">
        <f t="shared" ref="BN32:BN37" si="57">IF(F32&gt;N32,(F32-N32)/$B$6,0)+IF(F32&lt;M32,(M32-F32)/$B$6,0)</f>
        <v>0.11500000000000021</v>
      </c>
      <c r="BO32">
        <f t="shared" ref="BO32:BO37" si="58">ABS(K32/$B$4)</f>
        <v>0.13750000000000001</v>
      </c>
      <c r="BP32">
        <f t="shared" ref="BP32:BP37" si="59">Logistic(ABS(H32)/$B$4)</f>
        <v>9.9996666799994863E-3</v>
      </c>
      <c r="BQ32">
        <f t="shared" ref="BQ32:BQ37" si="60">Logistic(($B$3-G32)/G32)</f>
        <v>2.3946038720468951E-2</v>
      </c>
    </row>
    <row r="33" spans="1:69" x14ac:dyDescent="0.25">
      <c r="A33" s="1" t="s">
        <v>38</v>
      </c>
      <c r="B33">
        <f t="shared" ca="1" si="2"/>
        <v>16.69945309344315</v>
      </c>
      <c r="C33" t="s">
        <v>344</v>
      </c>
      <c r="D33">
        <f t="shared" si="17"/>
        <v>132</v>
      </c>
      <c r="E33">
        <f t="shared" si="18"/>
        <v>361.88</v>
      </c>
      <c r="F33">
        <f t="shared" si="19"/>
        <v>7.51</v>
      </c>
      <c r="G33">
        <f t="shared" si="20"/>
        <v>9.7899999999999991</v>
      </c>
      <c r="H33">
        <f t="shared" si="21"/>
        <v>-2.79</v>
      </c>
      <c r="I33">
        <f t="shared" si="22"/>
        <v>2.82</v>
      </c>
      <c r="J33">
        <f t="shared" si="23"/>
        <v>0.21</v>
      </c>
      <c r="K33">
        <f t="shared" si="24"/>
        <v>1.96</v>
      </c>
      <c r="L33">
        <f t="shared" si="3"/>
        <v>2</v>
      </c>
      <c r="M33">
        <f t="shared" si="49"/>
        <v>4</v>
      </c>
      <c r="N33">
        <f t="shared" si="50"/>
        <v>8</v>
      </c>
      <c r="O33">
        <f t="shared" si="4"/>
        <v>6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>
        <f t="shared" si="27"/>
        <v>54</v>
      </c>
      <c r="T33">
        <f t="shared" ca="1" si="28"/>
        <v>-84.433457999999973</v>
      </c>
      <c r="U33">
        <f t="shared" ca="1" si="29"/>
        <v>20.606627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>
        <f>GetFollowingCarRow($B$45:$E$54,L33,$E$15,E33)</f>
        <v>54</v>
      </c>
      <c r="Z33">
        <f t="shared" ca="1" si="33"/>
        <v>-116.23345799999998</v>
      </c>
      <c r="AA33">
        <f t="shared" ca="1" si="34"/>
        <v>20.606627</v>
      </c>
      <c r="AB33">
        <f t="shared" si="35"/>
        <v>2.7100000000000009</v>
      </c>
      <c r="AC33">
        <f t="shared" si="36"/>
        <v>31.800000000000011</v>
      </c>
      <c r="AD33">
        <f t="shared" si="37"/>
        <v>38.349459119496856</v>
      </c>
      <c r="AE33">
        <f t="shared" si="38"/>
        <v>-1219.5128000000004</v>
      </c>
      <c r="AF33">
        <f t="shared" si="39"/>
        <v>31.915264373023778</v>
      </c>
      <c r="AG33">
        <f t="shared" si="40"/>
        <v>27.425357452461927</v>
      </c>
      <c r="AH33">
        <f t="shared" si="41"/>
        <v>0.67506987483860781</v>
      </c>
      <c r="AI33">
        <f>IF(G33&lt;=0,1,0)</f>
        <v>0</v>
      </c>
      <c r="AJ33">
        <f>IF(G33&lt;0,1,0)</f>
        <v>0</v>
      </c>
      <c r="AK33">
        <f>MAX(($B$3-G33)/(G33 + 1),0) / $B$3</f>
        <v>4.9920555127055032E-2</v>
      </c>
      <c r="AL33">
        <f>IF(H33+ABS(K33)&lt;0,Logistic(SQRT(H33^2+K33^2)/$B$4),0)</f>
        <v>0.20993467110267522</v>
      </c>
      <c r="AM33">
        <f>IF(G33&gt;$B$3,1,0)</f>
        <v>0</v>
      </c>
      <c r="AN33">
        <f>IF(H33&gt;$B$4,1,0)</f>
        <v>0</v>
      </c>
      <c r="AO33">
        <f>ABS(H33)/$B$4</f>
        <v>0.34875</v>
      </c>
      <c r="AP33">
        <f>Logistic(I33/$B$5)</f>
        <v>0.17444738167866991</v>
      </c>
      <c r="AQ33">
        <f>IF(I33&gt;$B$5,1,0)</f>
        <v>0</v>
      </c>
      <c r="AR33">
        <f>Logistic(ABS(F33-O33)/($B$6/2))</f>
        <v>0.36053439339729687</v>
      </c>
      <c r="AS33">
        <f>IF(OR(F33&lt;M33,F33&gt;N33),1,0)</f>
        <v>0</v>
      </c>
      <c r="AT33">
        <f>ABS(K33)/$B$4</f>
        <v>0.245</v>
      </c>
      <c r="AU33">
        <f t="shared" ca="1" si="42"/>
        <v>0</v>
      </c>
      <c r="AV33">
        <f ca="1">IF(AND(L33&lt;&gt;$L$15,$Q$15&gt;Safety_Distance),1,0)</f>
        <v>0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0.21941046871635705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</v>
      </c>
      <c r="BA33">
        <f t="shared" ca="1" si="43"/>
        <v>0</v>
      </c>
      <c r="BB33">
        <f t="shared" ca="1" si="44"/>
        <v>0</v>
      </c>
      <c r="BC33">
        <f t="shared" si="45"/>
        <v>0</v>
      </c>
      <c r="BE33">
        <f t="shared" si="51"/>
        <v>0.67506987483860781</v>
      </c>
      <c r="BF33">
        <f t="shared" si="46"/>
        <v>0</v>
      </c>
      <c r="BG33">
        <f t="shared" si="47"/>
        <v>0</v>
      </c>
      <c r="BH33">
        <f t="shared" si="52"/>
        <v>0.48511892471622037</v>
      </c>
      <c r="BI33">
        <f t="shared" si="53"/>
        <v>0</v>
      </c>
      <c r="BJ33">
        <f t="shared" si="54"/>
        <v>0</v>
      </c>
      <c r="BK33">
        <f t="shared" si="55"/>
        <v>0.15452745246904726</v>
      </c>
      <c r="BL33">
        <f t="shared" si="48"/>
        <v>0</v>
      </c>
      <c r="BM33">
        <f t="shared" si="56"/>
        <v>0.15931380066787734</v>
      </c>
      <c r="BN33">
        <f t="shared" si="57"/>
        <v>0</v>
      </c>
      <c r="BO33">
        <f t="shared" si="58"/>
        <v>0.245</v>
      </c>
      <c r="BP33">
        <f t="shared" si="59"/>
        <v>0.17262884877977236</v>
      </c>
      <c r="BQ33">
        <f t="shared" si="60"/>
        <v>0.52539213406072227</v>
      </c>
    </row>
    <row r="34" spans="1:69" x14ac:dyDescent="0.25">
      <c r="A34" s="1" t="s">
        <v>39</v>
      </c>
      <c r="B34">
        <f t="shared" ca="1" si="2"/>
        <v>184.86853346741063</v>
      </c>
      <c r="C34" t="s">
        <v>343</v>
      </c>
      <c r="D34">
        <f t="shared" si="17"/>
        <v>132</v>
      </c>
      <c r="E34">
        <f t="shared" si="18"/>
        <v>299.39</v>
      </c>
      <c r="F34">
        <f t="shared" si="19"/>
        <v>9.9700000000000006</v>
      </c>
      <c r="G34">
        <f t="shared" si="20"/>
        <v>-52.39</v>
      </c>
      <c r="H34">
        <f t="shared" si="21"/>
        <v>-18.420000000000002</v>
      </c>
      <c r="I34">
        <f t="shared" si="22"/>
        <v>18.440000000000001</v>
      </c>
      <c r="J34">
        <f t="shared" si="23"/>
        <v>0.12</v>
      </c>
      <c r="K34">
        <f t="shared" si="24"/>
        <v>4.41</v>
      </c>
      <c r="L34">
        <f t="shared" si="3"/>
        <v>2</v>
      </c>
      <c r="M34">
        <f t="shared" si="49"/>
        <v>4</v>
      </c>
      <c r="N34">
        <f t="shared" si="50"/>
        <v>8</v>
      </c>
      <c r="O34">
        <f t="shared" si="4"/>
        <v>6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>
        <f t="shared" si="27"/>
        <v>54</v>
      </c>
      <c r="T34">
        <f t="shared" ca="1" si="28"/>
        <v>-84.433457999999973</v>
      </c>
      <c r="U34">
        <f t="shared" ca="1" si="29"/>
        <v>20.606627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>
        <f>GetFollowingCarRow($B$45:$E$54,L34,$E$15,E34)</f>
        <v>54</v>
      </c>
      <c r="Z34">
        <f t="shared" ca="1" si="33"/>
        <v>-53.743457999999976</v>
      </c>
      <c r="AA34">
        <f t="shared" ca="1" si="34"/>
        <v>20.606627</v>
      </c>
      <c r="AB34">
        <f t="shared" si="35"/>
        <v>0.25</v>
      </c>
      <c r="AC34">
        <f t="shared" si="36"/>
        <v>-30.689999999999998</v>
      </c>
      <c r="AD34">
        <f t="shared" si="37"/>
        <v>7.5311762789182151</v>
      </c>
      <c r="AE34">
        <f t="shared" si="38"/>
        <v>231.1318</v>
      </c>
      <c r="AF34">
        <f t="shared" si="39"/>
        <v>30.691018230094613</v>
      </c>
      <c r="AG34">
        <f t="shared" si="40"/>
        <v>4.5895529201399761</v>
      </c>
      <c r="AH34">
        <f t="shared" si="41"/>
        <v>0.67506987483860781</v>
      </c>
      <c r="AI34">
        <f>IF(G34&lt;=0,1,0)</f>
        <v>1</v>
      </c>
      <c r="AJ34">
        <f>IF(G34&lt;0,1,0)</f>
        <v>1</v>
      </c>
      <c r="AK34">
        <f>MAX(($B$3-G34)/(G34 + 1),0) / $B$3</f>
        <v>0</v>
      </c>
      <c r="AL34">
        <f>IF(H34+ABS(K34)&lt;0,Logistic(SQRT(H34^2+K34^2)/$B$4),0)</f>
        <v>0.82864121790626177</v>
      </c>
      <c r="AM34">
        <f>IF(G34&gt;$B$3,1,0)</f>
        <v>0</v>
      </c>
      <c r="AN34">
        <f>IF(H34&gt;$B$4,1,0)</f>
        <v>0</v>
      </c>
      <c r="AO34">
        <f>ABS(H34)/$B$4</f>
        <v>2.3025000000000002</v>
      </c>
      <c r="AP34">
        <f>Logistic(I34/$B$5)</f>
        <v>0.81858058222524965</v>
      </c>
      <c r="AQ34">
        <f>IF(I34&gt;$B$5,1,0)</f>
        <v>1</v>
      </c>
      <c r="AR34">
        <f>Logistic(ABS(F34-O34)/($B$6/2))</f>
        <v>0.75842631321158127</v>
      </c>
      <c r="AS34">
        <f>IF(OR(F34&lt;M34,F34&gt;N34),1,0)</f>
        <v>1</v>
      </c>
      <c r="AT34">
        <f>ABS(K34)/$B$4</f>
        <v>0.55125000000000002</v>
      </c>
      <c r="AU34">
        <f t="shared" ca="1" si="42"/>
        <v>0</v>
      </c>
      <c r="AV34">
        <f ca="1">IF(AND(L34&lt;&gt;$L$15,$Q$15&gt;Safety_Distance),1,0)</f>
        <v>0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0.88433238428948235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0.92637542279864526</v>
      </c>
      <c r="BA34">
        <f t="shared" ca="1" si="43"/>
        <v>0</v>
      </c>
      <c r="BB34">
        <f t="shared" ca="1" si="44"/>
        <v>0</v>
      </c>
      <c r="BC34">
        <f t="shared" si="45"/>
        <v>0</v>
      </c>
      <c r="BE34">
        <f t="shared" si="51"/>
        <v>0.67506987483860781</v>
      </c>
      <c r="BF34">
        <f t="shared" si="46"/>
        <v>1</v>
      </c>
      <c r="BG34">
        <f t="shared" si="47"/>
        <v>1</v>
      </c>
      <c r="BH34">
        <f t="shared" si="52"/>
        <v>-0.61454370333088548</v>
      </c>
      <c r="BI34">
        <f t="shared" si="53"/>
        <v>0</v>
      </c>
      <c r="BJ34">
        <f t="shared" si="54"/>
        <v>0</v>
      </c>
      <c r="BK34">
        <f t="shared" si="55"/>
        <v>1.7606612838992075</v>
      </c>
      <c r="BL34">
        <f t="shared" si="48"/>
        <v>1</v>
      </c>
      <c r="BM34">
        <f t="shared" si="56"/>
        <v>1.7614908434089784</v>
      </c>
      <c r="BN34">
        <f t="shared" si="57"/>
        <v>0.49250000000000016</v>
      </c>
      <c r="BO34">
        <f t="shared" si="58"/>
        <v>0.55125000000000002</v>
      </c>
      <c r="BP34">
        <f t="shared" si="59"/>
        <v>0.81816775273450415</v>
      </c>
      <c r="BQ34">
        <f t="shared" si="60"/>
        <v>-0.60596460970091115</v>
      </c>
    </row>
    <row r="35" spans="1:69" x14ac:dyDescent="0.25">
      <c r="A35" s="1" t="s">
        <v>82</v>
      </c>
      <c r="B35">
        <f t="shared" ca="1" si="2"/>
        <v>28.588615599767554</v>
      </c>
      <c r="C35" t="s">
        <v>342</v>
      </c>
      <c r="D35">
        <f t="shared" si="17"/>
        <v>132</v>
      </c>
      <c r="E35">
        <f t="shared" si="18"/>
        <v>368.19</v>
      </c>
      <c r="F35">
        <f t="shared" si="19"/>
        <v>8.34</v>
      </c>
      <c r="G35">
        <f t="shared" si="20"/>
        <v>16.059999999999999</v>
      </c>
      <c r="H35">
        <f t="shared" si="21"/>
        <v>-1.22</v>
      </c>
      <c r="I35">
        <f t="shared" si="22"/>
        <v>1.24</v>
      </c>
      <c r="J35">
        <f t="shared" si="23"/>
        <v>-0.12</v>
      </c>
      <c r="K35">
        <f t="shared" si="24"/>
        <v>1.1000000000000001</v>
      </c>
      <c r="L35">
        <f t="shared" si="3"/>
        <v>2</v>
      </c>
      <c r="M35">
        <f t="shared" si="49"/>
        <v>4</v>
      </c>
      <c r="N35">
        <f t="shared" si="50"/>
        <v>8</v>
      </c>
      <c r="O35">
        <f t="shared" si="4"/>
        <v>6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>
        <f t="shared" si="27"/>
        <v>54</v>
      </c>
      <c r="T35">
        <f t="shared" ca="1" si="28"/>
        <v>-84.433457999999973</v>
      </c>
      <c r="U35">
        <f t="shared" ca="1" si="29"/>
        <v>20.606627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>
        <f>GetFollowingCarRow($B$45:$E$54,L35,$E$15,E35)</f>
        <v>54</v>
      </c>
      <c r="Z35">
        <f t="shared" ca="1" si="33"/>
        <v>-122.54345799999999</v>
      </c>
      <c r="AA35">
        <f t="shared" ca="1" si="34"/>
        <v>20.606627</v>
      </c>
      <c r="AB35">
        <f t="shared" si="35"/>
        <v>1.8800000000000008</v>
      </c>
      <c r="AC35">
        <f t="shared" si="36"/>
        <v>38.110000000000014</v>
      </c>
      <c r="AD35">
        <f t="shared" si="37"/>
        <v>26.503138283914986</v>
      </c>
      <c r="AE35">
        <f t="shared" si="38"/>
        <v>-1010.0346000000004</v>
      </c>
      <c r="AF35">
        <f t="shared" si="39"/>
        <v>38.156342854104885</v>
      </c>
      <c r="AG35">
        <f t="shared" si="40"/>
        <v>18.68597445636215</v>
      </c>
      <c r="AH35">
        <f t="shared" si="41"/>
        <v>0.67506987483860781</v>
      </c>
      <c r="AI35">
        <f>IF(G35&lt;=0,1,0)</f>
        <v>0</v>
      </c>
      <c r="AJ35">
        <f>IF(G35&lt;0,1,0)</f>
        <v>0</v>
      </c>
      <c r="AK35">
        <f>MAX(($B$3-G35)/(G35 + 1),0) / $B$3</f>
        <v>1.4253623901006925E-2</v>
      </c>
      <c r="AL35">
        <f>IF(H35+ABS(K35)&lt;0,Logistic(SQRT(H35^2+K35^2)/$B$4),0)</f>
        <v>0.10230833374390515</v>
      </c>
      <c r="AM35">
        <f>IF(G35&gt;$B$3,1,0)</f>
        <v>0</v>
      </c>
      <c r="AN35">
        <f>IF(H35&gt;$B$4,1,0)</f>
        <v>0</v>
      </c>
      <c r="AO35">
        <f>ABS(H35)/$B$4</f>
        <v>0.1525</v>
      </c>
      <c r="AP35">
        <f>Logistic(I35/$B$5)</f>
        <v>7.734521041301598E-2</v>
      </c>
      <c r="AQ35">
        <f>IF(I35&gt;$B$5,1,0)</f>
        <v>0</v>
      </c>
      <c r="AR35">
        <f>Logistic(ABS(F35-O35)/($B$6/2))</f>
        <v>0.52629003145371078</v>
      </c>
      <c r="AS35">
        <f>IF(OR(F35&lt;M35,F35&gt;N35),1,0)</f>
        <v>1</v>
      </c>
      <c r="AT35">
        <f>ABS(K35)/$B$4</f>
        <v>0.13750000000000001</v>
      </c>
      <c r="AU35">
        <f t="shared" ca="1" si="42"/>
        <v>0</v>
      </c>
      <c r="AV35">
        <f ca="1">IF(AND(L35&lt;&gt;$L$15,$Q$15&gt;Safety_Distance),1,0)</f>
        <v>0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43"/>
        <v>0</v>
      </c>
      <c r="BB35">
        <f t="shared" ca="1" si="44"/>
        <v>0</v>
      </c>
      <c r="BC35">
        <f t="shared" si="45"/>
        <v>0</v>
      </c>
      <c r="BE35">
        <f t="shared" si="51"/>
        <v>0.67506987483860781</v>
      </c>
      <c r="BF35">
        <f t="shared" si="46"/>
        <v>0</v>
      </c>
      <c r="BG35">
        <f t="shared" si="47"/>
        <v>0</v>
      </c>
      <c r="BH35">
        <f t="shared" si="52"/>
        <v>0.15008847589453619</v>
      </c>
      <c r="BI35">
        <f t="shared" si="53"/>
        <v>0</v>
      </c>
      <c r="BJ35">
        <f t="shared" si="54"/>
        <v>0</v>
      </c>
      <c r="BK35">
        <f t="shared" si="55"/>
        <v>3.8588847999431052E-3</v>
      </c>
      <c r="BL35">
        <f t="shared" si="48"/>
        <v>0</v>
      </c>
      <c r="BM35">
        <f t="shared" si="56"/>
        <v>4.289380752379876E-3</v>
      </c>
      <c r="BN35">
        <f t="shared" si="57"/>
        <v>8.4999999999999964E-2</v>
      </c>
      <c r="BO35">
        <f t="shared" si="58"/>
        <v>0.13750000000000001</v>
      </c>
      <c r="BP35">
        <f t="shared" si="59"/>
        <v>7.6102568771718379E-2</v>
      </c>
      <c r="BQ35">
        <f t="shared" si="60"/>
        <v>0.15927971201275454</v>
      </c>
    </row>
    <row r="36" spans="1:69" x14ac:dyDescent="0.25">
      <c r="A36" s="1" t="s">
        <v>83</v>
      </c>
      <c r="B36">
        <f t="shared" ca="1" si="2"/>
        <v>34.345233666091715</v>
      </c>
      <c r="C36" t="s">
        <v>341</v>
      </c>
      <c r="D36">
        <f t="shared" si="17"/>
        <v>132</v>
      </c>
      <c r="E36">
        <f t="shared" si="18"/>
        <v>357.67</v>
      </c>
      <c r="F36">
        <f t="shared" si="19"/>
        <v>7.7</v>
      </c>
      <c r="G36">
        <f t="shared" si="20"/>
        <v>5.59</v>
      </c>
      <c r="H36">
        <f t="shared" si="21"/>
        <v>-3.85</v>
      </c>
      <c r="I36">
        <f t="shared" si="22"/>
        <v>3.87</v>
      </c>
      <c r="J36">
        <f t="shared" si="23"/>
        <v>0.39</v>
      </c>
      <c r="K36">
        <f t="shared" si="24"/>
        <v>1.96</v>
      </c>
      <c r="L36">
        <f t="shared" si="3"/>
        <v>2</v>
      </c>
      <c r="M36">
        <f t="shared" si="49"/>
        <v>4</v>
      </c>
      <c r="N36">
        <f t="shared" si="50"/>
        <v>8</v>
      </c>
      <c r="O36">
        <f t="shared" si="4"/>
        <v>6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>
        <f t="shared" si="27"/>
        <v>54</v>
      </c>
      <c r="T36">
        <f t="shared" ca="1" si="28"/>
        <v>-84.433457999999973</v>
      </c>
      <c r="U36">
        <f t="shared" ca="1" si="29"/>
        <v>20.606627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>
        <f>GetFollowingCarRow($B$45:$E$54,L36,$E$15,E36)</f>
        <v>54</v>
      </c>
      <c r="Z36">
        <f t="shared" ca="1" si="33"/>
        <v>-112.02345800000001</v>
      </c>
      <c r="AA36">
        <f t="shared" ca="1" si="34"/>
        <v>20.606627</v>
      </c>
      <c r="AB36">
        <f t="shared" si="35"/>
        <v>2.5200000000000005</v>
      </c>
      <c r="AC36">
        <f t="shared" si="36"/>
        <v>27.590000000000032</v>
      </c>
      <c r="AD36">
        <f t="shared" si="37"/>
        <v>40.368662558898123</v>
      </c>
      <c r="AE36">
        <f t="shared" si="38"/>
        <v>-1113.7714000000005</v>
      </c>
      <c r="AF36">
        <f t="shared" si="39"/>
        <v>27.704846146477728</v>
      </c>
      <c r="AG36">
        <f t="shared" si="40"/>
        <v>28.907133713926765</v>
      </c>
      <c r="AH36">
        <f t="shared" si="41"/>
        <v>0.67506987483860781</v>
      </c>
      <c r="AI36">
        <f>IF(G36&lt;=0,1,0)</f>
        <v>0</v>
      </c>
      <c r="AJ36">
        <f>IF(G36&lt;0,1,0)</f>
        <v>0</v>
      </c>
      <c r="AK36">
        <f>MAX(($B$3-G36)/(G36 + 1),0) / $B$3</f>
        <v>0.11177075482087359</v>
      </c>
      <c r="AL36">
        <f>IF(H36+ABS(K36)&lt;0,Logistic(SQRT(H36^2+K36^2)/$B$4),0)</f>
        <v>0.26363627797913575</v>
      </c>
      <c r="AM36">
        <f>IF(G36&gt;$B$3,1,0)</f>
        <v>0</v>
      </c>
      <c r="AN36">
        <f>IF(H36&gt;$B$4,1,0)</f>
        <v>0</v>
      </c>
      <c r="AO36">
        <f>ABS(H36)/$B$4</f>
        <v>0.48125000000000001</v>
      </c>
      <c r="AP36">
        <f>Logistic(I36/$B$5)</f>
        <v>0.23726598159492834</v>
      </c>
      <c r="AQ36">
        <f>IF(I36&gt;$B$5,1,0)</f>
        <v>0</v>
      </c>
      <c r="AR36">
        <f>Logistic(ABS(F36-O36)/($B$6/2))</f>
        <v>0.4011342849479459</v>
      </c>
      <c r="AS36">
        <f>IF(OR(F36&lt;M36,F36&gt;N36),1,0)</f>
        <v>0</v>
      </c>
      <c r="AT36">
        <f>ABS(K36)/$B$4</f>
        <v>0.245</v>
      </c>
      <c r="AU36">
        <f t="shared" ca="1" si="42"/>
        <v>0</v>
      </c>
      <c r="AV36">
        <f ca="1">IF(AND(L36&lt;&gt;$L$15,$Q$15&gt;Safety_Distance),1,0)</f>
        <v>0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0.43773353363574941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0.25400385852295593</v>
      </c>
      <c r="BA36">
        <f t="shared" ca="1" si="43"/>
        <v>0</v>
      </c>
      <c r="BB36">
        <f t="shared" ca="1" si="44"/>
        <v>0</v>
      </c>
      <c r="BC36">
        <f t="shared" si="45"/>
        <v>0</v>
      </c>
      <c r="BE36">
        <f t="shared" si="51"/>
        <v>0.67506987483860781</v>
      </c>
      <c r="BF36">
        <f t="shared" si="46"/>
        <v>0</v>
      </c>
      <c r="BG36">
        <f t="shared" si="47"/>
        <v>0</v>
      </c>
      <c r="BH36">
        <f t="shared" si="52"/>
        <v>0.82929912380810189</v>
      </c>
      <c r="BI36">
        <f t="shared" si="53"/>
        <v>0</v>
      </c>
      <c r="BJ36">
        <f t="shared" si="54"/>
        <v>0</v>
      </c>
      <c r="BK36">
        <f t="shared" si="55"/>
        <v>0.34030191233932688</v>
      </c>
      <c r="BL36">
        <f t="shared" si="48"/>
        <v>0</v>
      </c>
      <c r="BM36">
        <f t="shared" si="56"/>
        <v>0.34397597556124926</v>
      </c>
      <c r="BN36">
        <f t="shared" si="57"/>
        <v>0</v>
      </c>
      <c r="BO36">
        <f t="shared" si="58"/>
        <v>0.245</v>
      </c>
      <c r="BP36">
        <f t="shared" si="59"/>
        <v>0.23608600118051504</v>
      </c>
      <c r="BQ36">
        <f t="shared" si="60"/>
        <v>0.88492556169506031</v>
      </c>
    </row>
    <row r="37" spans="1:69" x14ac:dyDescent="0.25">
      <c r="A37" s="1" t="s">
        <v>84</v>
      </c>
      <c r="B37">
        <f t="shared" ca="1" si="2"/>
        <v>184.93146419442078</v>
      </c>
      <c r="C37" t="s">
        <v>340</v>
      </c>
      <c r="D37">
        <f t="shared" si="17"/>
        <v>132</v>
      </c>
      <c r="E37">
        <f t="shared" si="18"/>
        <v>295.18</v>
      </c>
      <c r="F37">
        <f t="shared" si="19"/>
        <v>9.9600000000000009</v>
      </c>
      <c r="G37">
        <f t="shared" si="20"/>
        <v>-56.59</v>
      </c>
      <c r="H37">
        <f t="shared" si="21"/>
        <v>-19.47</v>
      </c>
      <c r="I37">
        <f t="shared" si="22"/>
        <v>19.5</v>
      </c>
      <c r="J37">
        <f t="shared" si="23"/>
        <v>0.13</v>
      </c>
      <c r="K37">
        <f t="shared" si="24"/>
        <v>4.41</v>
      </c>
      <c r="L37">
        <f t="shared" si="3"/>
        <v>2</v>
      </c>
      <c r="M37">
        <f t="shared" si="49"/>
        <v>4</v>
      </c>
      <c r="N37">
        <f t="shared" si="50"/>
        <v>8</v>
      </c>
      <c r="O37">
        <f t="shared" si="4"/>
        <v>6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>
        <f t="shared" si="27"/>
        <v>54</v>
      </c>
      <c r="T37">
        <f t="shared" ca="1" si="28"/>
        <v>-84.433457999999973</v>
      </c>
      <c r="U37">
        <f t="shared" ca="1" si="29"/>
        <v>20.606627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>
        <f>GetFollowingCarRow($B$45:$E$54,L37,$E$15,E37)</f>
        <v>54</v>
      </c>
      <c r="Z37">
        <f t="shared" ca="1" si="33"/>
        <v>-49.533457999999996</v>
      </c>
      <c r="AA37">
        <f t="shared" ca="1" si="34"/>
        <v>20.606627</v>
      </c>
      <c r="AB37">
        <f t="shared" si="35"/>
        <v>0.25999999999999979</v>
      </c>
      <c r="AC37">
        <f t="shared" si="36"/>
        <v>-34.899999999999977</v>
      </c>
      <c r="AD37">
        <f t="shared" si="37"/>
        <v>7.7609512893982817</v>
      </c>
      <c r="AE37">
        <f t="shared" si="38"/>
        <v>270.85719999999986</v>
      </c>
      <c r="AF37">
        <f t="shared" si="39"/>
        <v>34.900968467937943</v>
      </c>
      <c r="AG37">
        <f t="shared" si="40"/>
        <v>4.7605723500949155</v>
      </c>
      <c r="AH37">
        <f t="shared" si="41"/>
        <v>0.67506987483860781</v>
      </c>
      <c r="AI37">
        <f>IF(G37&lt;=0,1,0)</f>
        <v>1</v>
      </c>
      <c r="AJ37">
        <f>IF(G37&lt;0,1,0)</f>
        <v>1</v>
      </c>
      <c r="AK37">
        <f>MAX(($B$3-G37)/(G37 + 1),0) / $B$3</f>
        <v>0</v>
      </c>
      <c r="AL37">
        <f>IF(H37+ABS(K37)&lt;0,Logistic(SQRT(H37^2+K37^2)/$B$4),0)</f>
        <v>0.84763727000416067</v>
      </c>
      <c r="AM37">
        <f>IF(G37&gt;$B$3,1,0)</f>
        <v>0</v>
      </c>
      <c r="AN37">
        <f>IF(H37&gt;$B$4,1,0)</f>
        <v>0</v>
      </c>
      <c r="AO37">
        <f>ABS(H37)/$B$4</f>
        <v>2.4337499999999999</v>
      </c>
      <c r="AP37">
        <f>Logistic(I37/$B$5)</f>
        <v>0.83928506235558586</v>
      </c>
      <c r="AQ37">
        <f>IF(I37&gt;$B$5,1,0)</f>
        <v>1</v>
      </c>
      <c r="AR37">
        <f>Logistic(ABS(F37-O37)/($B$6/2))</f>
        <v>0.75736232421652638</v>
      </c>
      <c r="AS37">
        <f>IF(OR(F37&lt;M37,F37&gt;N37),1,0)</f>
        <v>1</v>
      </c>
      <c r="AT37">
        <f>ABS(K37)/$B$4</f>
        <v>0.55125000000000002</v>
      </c>
      <c r="AU37">
        <f t="shared" ca="1" si="42"/>
        <v>0</v>
      </c>
      <c r="AV37">
        <f ca="1">IF(AND(L37&lt;&gt;$L$15,$Q$15&gt;Safety_Distance),1,0)</f>
        <v>0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0.89062545699049778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0.93583468614503063</v>
      </c>
      <c r="BA37">
        <f t="shared" ca="1" si="43"/>
        <v>0</v>
      </c>
      <c r="BB37">
        <f t="shared" ca="1" si="44"/>
        <v>0</v>
      </c>
      <c r="BC37">
        <f t="shared" si="45"/>
        <v>0</v>
      </c>
      <c r="BE37">
        <f t="shared" si="51"/>
        <v>0.67506987483860781</v>
      </c>
      <c r="BF37">
        <f t="shared" si="46"/>
        <v>1</v>
      </c>
      <c r="BG37">
        <f t="shared" si="47"/>
        <v>1</v>
      </c>
      <c r="BH37">
        <f t="shared" si="52"/>
        <v>-0.60427642330577291</v>
      </c>
      <c r="BI37">
        <f t="shared" si="53"/>
        <v>0</v>
      </c>
      <c r="BJ37">
        <f t="shared" si="54"/>
        <v>0</v>
      </c>
      <c r="BK37">
        <f t="shared" si="55"/>
        <v>1.8023861997651531</v>
      </c>
      <c r="BL37">
        <f t="shared" si="48"/>
        <v>1</v>
      </c>
      <c r="BM37">
        <f t="shared" si="56"/>
        <v>1.8035259135633446</v>
      </c>
      <c r="BN37">
        <f t="shared" si="57"/>
        <v>0.49000000000000021</v>
      </c>
      <c r="BO37">
        <f t="shared" si="58"/>
        <v>0.55125000000000002</v>
      </c>
      <c r="BP37">
        <f t="shared" si="59"/>
        <v>0.83872993833473686</v>
      </c>
      <c r="BQ37">
        <f t="shared" si="60"/>
        <v>-0.59636643912888998</v>
      </c>
    </row>
    <row r="38" spans="1:69" x14ac:dyDescent="0.25">
      <c r="A38" s="1" t="s">
        <v>19</v>
      </c>
      <c r="B38">
        <f t="shared" ca="1" si="2"/>
        <v>28.588615599767554</v>
      </c>
      <c r="C38" t="s">
        <v>339</v>
      </c>
      <c r="D38">
        <f t="shared" si="17"/>
        <v>132</v>
      </c>
      <c r="E38">
        <f t="shared" si="18"/>
        <v>368.19</v>
      </c>
      <c r="F38">
        <f t="shared" si="19"/>
        <v>8.34</v>
      </c>
      <c r="G38">
        <f t="shared" si="20"/>
        <v>16.059999999999999</v>
      </c>
      <c r="H38">
        <f t="shared" si="21"/>
        <v>-1.22</v>
      </c>
      <c r="I38">
        <f t="shared" si="22"/>
        <v>1.24</v>
      </c>
      <c r="J38">
        <f t="shared" si="23"/>
        <v>-0.12</v>
      </c>
      <c r="K38">
        <f t="shared" si="24"/>
        <v>1.1000000000000001</v>
      </c>
      <c r="L38">
        <f t="shared" si="3"/>
        <v>2</v>
      </c>
      <c r="M38">
        <f>$B$6*(L38-1)</f>
        <v>4</v>
      </c>
      <c r="N38">
        <f>$B$6*L38</f>
        <v>8</v>
      </c>
      <c r="O38">
        <f t="shared" si="4"/>
        <v>6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>
        <f t="shared" si="27"/>
        <v>54</v>
      </c>
      <c r="T38">
        <f t="shared" ca="1" si="28"/>
        <v>-84.433457999999973</v>
      </c>
      <c r="U38">
        <f t="shared" ca="1" si="29"/>
        <v>20.606627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>
        <f>GetFollowingCarRow($B$45:$E$54,L38,$E$15,E38)</f>
        <v>54</v>
      </c>
      <c r="Z38">
        <f t="shared" ca="1" si="33"/>
        <v>-122.54345799999999</v>
      </c>
      <c r="AA38">
        <f t="shared" ca="1" si="34"/>
        <v>20.606627</v>
      </c>
      <c r="AB38">
        <f t="shared" si="35"/>
        <v>1.8800000000000008</v>
      </c>
      <c r="AC38">
        <f t="shared" si="36"/>
        <v>38.110000000000014</v>
      </c>
      <c r="AD38">
        <f t="shared" si="37"/>
        <v>26.503138283914986</v>
      </c>
      <c r="AE38">
        <f t="shared" si="38"/>
        <v>-1010.0346000000004</v>
      </c>
      <c r="AF38">
        <f t="shared" si="39"/>
        <v>38.156342854104885</v>
      </c>
      <c r="AG38">
        <f t="shared" si="40"/>
        <v>18.68597445636215</v>
      </c>
      <c r="AH38">
        <f t="shared" si="41"/>
        <v>0.67506987483860781</v>
      </c>
      <c r="AI38">
        <f>IF(G38&lt;=0,1,0)</f>
        <v>0</v>
      </c>
      <c r="AJ38">
        <f>IF(G38&lt;0,1,0)</f>
        <v>0</v>
      </c>
      <c r="AK38">
        <f>MAX(($B$3-G38)/(G38 + 1),0) / $B$3</f>
        <v>1.4253623901006925E-2</v>
      </c>
      <c r="AL38">
        <f>IF(H38+ABS(K38)&lt;0,Logistic(SQRT(H38^2+K38^2)/$B$4),0)</f>
        <v>0.10230833374390515</v>
      </c>
      <c r="AM38">
        <f>IF(G38&gt;$B$3,1,0)</f>
        <v>0</v>
      </c>
      <c r="AN38">
        <f>IF(H38&gt;$B$4,1,0)</f>
        <v>0</v>
      </c>
      <c r="AO38">
        <f>ABS(H38)/$B$4</f>
        <v>0.1525</v>
      </c>
      <c r="AP38">
        <f>Logistic(I38/$B$5)</f>
        <v>7.734521041301598E-2</v>
      </c>
      <c r="AQ38">
        <f>IF(I38&gt;$B$5,1,0)</f>
        <v>0</v>
      </c>
      <c r="AR38">
        <f>Logistic(ABS(F38-O38)/($B$6/2))</f>
        <v>0.52629003145371078</v>
      </c>
      <c r="AS38">
        <f>IF(OR(F38&lt;M38,F38&gt;N38),1,0)</f>
        <v>1</v>
      </c>
      <c r="AT38">
        <f>ABS(K38)/$B$4</f>
        <v>0.13750000000000001</v>
      </c>
      <c r="AU38">
        <f t="shared" ca="1" si="42"/>
        <v>0</v>
      </c>
      <c r="AV38">
        <f ca="1">IF(AND(L38&lt;&gt;$L$15,$Q$15&gt;Safety_Distance),1,0)</f>
        <v>0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3"/>
        <v>0</v>
      </c>
      <c r="BB38">
        <f t="shared" ca="1" si="44"/>
        <v>0</v>
      </c>
      <c r="BC38">
        <f t="shared" si="45"/>
        <v>0</v>
      </c>
      <c r="BE38">
        <f>Logistic((D38-$B$2)/$B$2)</f>
        <v>0.67506987483860781</v>
      </c>
      <c r="BF38">
        <f t="shared" si="46"/>
        <v>0</v>
      </c>
      <c r="BG38">
        <f t="shared" si="47"/>
        <v>0</v>
      </c>
      <c r="BH38">
        <f>Logistic(($B$3-G38)/(G38+1))</f>
        <v>0.15008847589453619</v>
      </c>
      <c r="BI38">
        <f>IF(G38&gt;$B$3,1,0)</f>
        <v>0</v>
      </c>
      <c r="BJ38">
        <f>IF(H38&gt;$B$5,1,0)</f>
        <v>0</v>
      </c>
      <c r="BK38">
        <f>EXP(-($B$4-ABS(H38))/MAX(ABS(H38),0.000000001))</f>
        <v>3.8588847999431052E-3</v>
      </c>
      <c r="BL38">
        <f t="shared" si="48"/>
        <v>0</v>
      </c>
      <c r="BM38">
        <f>EXP(-($B$5-I38)/MAX(I38,0.000000001))</f>
        <v>4.289380752379876E-3</v>
      </c>
      <c r="BN38">
        <f>IF(F38&gt;N38,(F38-N38)/$B$6,0)+IF(F38&lt;M38,(M38-F38)/$B$6,0)</f>
        <v>8.4999999999999964E-2</v>
      </c>
      <c r="BO38">
        <f>ABS(K38/$B$4)</f>
        <v>0.13750000000000001</v>
      </c>
      <c r="BP38">
        <f>Logistic(ABS(H38)/$B$4)</f>
        <v>7.6102568771718379E-2</v>
      </c>
      <c r="BQ38">
        <f>Logistic(($B$3-G38)/G38)</f>
        <v>0.15927971201275454</v>
      </c>
    </row>
    <row r="39" spans="1:69" x14ac:dyDescent="0.25">
      <c r="A39" s="1" t="s">
        <v>18</v>
      </c>
      <c r="B39">
        <f t="shared" ca="1" si="2"/>
        <v>34.281298958517624</v>
      </c>
      <c r="C39" t="s">
        <v>338</v>
      </c>
      <c r="D39">
        <f t="shared" si="17"/>
        <v>132</v>
      </c>
      <c r="E39">
        <f t="shared" si="18"/>
        <v>357.67</v>
      </c>
      <c r="F39">
        <f t="shared" si="19"/>
        <v>7.7</v>
      </c>
      <c r="G39">
        <f t="shared" si="20"/>
        <v>5.6</v>
      </c>
      <c r="H39">
        <f t="shared" si="21"/>
        <v>-3.85</v>
      </c>
      <c r="I39">
        <f t="shared" si="22"/>
        <v>3.87</v>
      </c>
      <c r="J39">
        <f t="shared" si="23"/>
        <v>0.39</v>
      </c>
      <c r="K39">
        <f t="shared" si="24"/>
        <v>1.96</v>
      </c>
      <c r="L39">
        <f t="shared" si="3"/>
        <v>2</v>
      </c>
      <c r="M39">
        <f>$B$6*(L39-1)</f>
        <v>4</v>
      </c>
      <c r="N39">
        <f>$B$6*L39</f>
        <v>8</v>
      </c>
      <c r="O39">
        <f t="shared" si="4"/>
        <v>6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>
        <f t="shared" si="27"/>
        <v>54</v>
      </c>
      <c r="T39">
        <f t="shared" ca="1" si="28"/>
        <v>-84.433457999999973</v>
      </c>
      <c r="U39">
        <f t="shared" ca="1" si="29"/>
        <v>20.606627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>
        <f>GetFollowingCarRow($B$45:$E$54,L39,$E$15,E39)</f>
        <v>54</v>
      </c>
      <c r="Z39">
        <f t="shared" ca="1" si="33"/>
        <v>-112.02345800000001</v>
      </c>
      <c r="AA39">
        <f t="shared" ca="1" si="34"/>
        <v>20.606627</v>
      </c>
      <c r="AB39">
        <f t="shared" si="35"/>
        <v>2.5200000000000005</v>
      </c>
      <c r="AC39">
        <f t="shared" si="36"/>
        <v>27.590000000000032</v>
      </c>
      <c r="AD39">
        <f t="shared" si="37"/>
        <v>40.368662558898123</v>
      </c>
      <c r="AE39">
        <f t="shared" si="38"/>
        <v>-1113.7714000000005</v>
      </c>
      <c r="AF39">
        <f t="shared" si="39"/>
        <v>27.704846146477728</v>
      </c>
      <c r="AG39">
        <f t="shared" si="40"/>
        <v>28.907133713926765</v>
      </c>
      <c r="AH39">
        <f t="shared" si="41"/>
        <v>0.67506987483860781</v>
      </c>
      <c r="AI39">
        <f>IF(G39&lt;=0,1,0)</f>
        <v>0</v>
      </c>
      <c r="AJ39">
        <f>IF(G39&lt;0,1,0)</f>
        <v>0</v>
      </c>
      <c r="AK39">
        <f>MAX(($B$3-G39)/(G39 + 1),0) / $B$3</f>
        <v>0.11153000314169023</v>
      </c>
      <c r="AL39">
        <f>IF(H39+ABS(K39)&lt;0,Logistic(SQRT(H39^2+K39^2)/$B$4),0)</f>
        <v>0.26363627797913575</v>
      </c>
      <c r="AM39">
        <f>IF(G39&gt;$B$3,1,0)</f>
        <v>0</v>
      </c>
      <c r="AN39">
        <f>IF(H39&gt;$B$4,1,0)</f>
        <v>0</v>
      </c>
      <c r="AO39">
        <f>ABS(H39)/$B$4</f>
        <v>0.48125000000000001</v>
      </c>
      <c r="AP39">
        <f>Logistic(I39/$B$5)</f>
        <v>0.23726598159492834</v>
      </c>
      <c r="AQ39">
        <f>IF(I39&gt;$B$5,1,0)</f>
        <v>0</v>
      </c>
      <c r="AR39">
        <f>Logistic(ABS(F39-O39)/($B$6/2))</f>
        <v>0.4011342849479459</v>
      </c>
      <c r="AS39">
        <f>IF(OR(F39&lt;M39,F39&gt;N39),1,0)</f>
        <v>0</v>
      </c>
      <c r="AT39">
        <f>ABS(K39)/$B$4</f>
        <v>0.245</v>
      </c>
      <c r="AU39">
        <f t="shared" ca="1" si="42"/>
        <v>0</v>
      </c>
      <c r="AV39">
        <f ca="1">IF(AND(L39&lt;&gt;$L$15,$Q$15&gt;Safety_Distance),1,0)</f>
        <v>0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0.43735885485792392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0.25350674738567158</v>
      </c>
      <c r="BA39">
        <f t="shared" ca="1" si="43"/>
        <v>0</v>
      </c>
      <c r="BB39">
        <f t="shared" ca="1" si="44"/>
        <v>0</v>
      </c>
      <c r="BC39">
        <f t="shared" si="45"/>
        <v>0</v>
      </c>
      <c r="BE39">
        <f>Logistic((D39-$B$2)/$B$2)</f>
        <v>0.67506987483860781</v>
      </c>
      <c r="BF39">
        <f t="shared" si="46"/>
        <v>0</v>
      </c>
      <c r="BG39">
        <f t="shared" si="47"/>
        <v>0</v>
      </c>
      <c r="BH39">
        <f>Logistic(($B$3-G39)/(G39+1))</f>
        <v>0.82849979549100816</v>
      </c>
      <c r="BI39">
        <f>IF(G39&gt;$B$3,1,0)</f>
        <v>0</v>
      </c>
      <c r="BJ39">
        <f>IF(H39&gt;$B$5,1,0)</f>
        <v>0</v>
      </c>
      <c r="BK39">
        <f>EXP(-($B$4-ABS(H39))/MAX(ABS(H39),0.000000001))</f>
        <v>0.34030191233932688</v>
      </c>
      <c r="BL39">
        <f t="shared" si="48"/>
        <v>0</v>
      </c>
      <c r="BM39">
        <f>EXP(-($B$5-I39)/MAX(I39,0.000000001))</f>
        <v>0.34397597556124926</v>
      </c>
      <c r="BN39">
        <f>IF(F39&gt;N39,(F39-N39)/$B$6,0)+IF(F39&lt;M39,(M39-F39)/$B$6,0)</f>
        <v>0</v>
      </c>
      <c r="BO39">
        <f>ABS(K39/$B$4)</f>
        <v>0.245</v>
      </c>
      <c r="BP39">
        <f>Logistic(ABS(H39)/$B$4)</f>
        <v>0.23608600118051504</v>
      </c>
      <c r="BQ39">
        <f>Logistic(($B$3-G39)/G39)</f>
        <v>0.88418818145971712</v>
      </c>
    </row>
    <row r="40" spans="1:69" x14ac:dyDescent="0.25">
      <c r="A40" s="1" t="s">
        <v>17</v>
      </c>
      <c r="B40">
        <f t="shared" ca="1" si="2"/>
        <v>184.93132249300533</v>
      </c>
      <c r="C40" t="s">
        <v>337</v>
      </c>
      <c r="D40">
        <f t="shared" si="17"/>
        <v>132</v>
      </c>
      <c r="E40">
        <f t="shared" si="18"/>
        <v>295.18</v>
      </c>
      <c r="F40">
        <f t="shared" si="19"/>
        <v>9.9600000000000009</v>
      </c>
      <c r="G40">
        <f t="shared" si="20"/>
        <v>-56.58</v>
      </c>
      <c r="H40">
        <f t="shared" si="21"/>
        <v>-19.47</v>
      </c>
      <c r="I40">
        <f t="shared" si="22"/>
        <v>19.489999999999998</v>
      </c>
      <c r="J40">
        <f t="shared" si="23"/>
        <v>0.13</v>
      </c>
      <c r="K40">
        <f t="shared" si="24"/>
        <v>4.41</v>
      </c>
      <c r="L40">
        <f t="shared" si="3"/>
        <v>2</v>
      </c>
      <c r="M40">
        <f>$B$6*(L40-1)</f>
        <v>4</v>
      </c>
      <c r="N40">
        <f>$B$6*L40</f>
        <v>8</v>
      </c>
      <c r="O40">
        <f t="shared" si="4"/>
        <v>6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>
        <f t="shared" si="27"/>
        <v>54</v>
      </c>
      <c r="T40">
        <f t="shared" ca="1" si="28"/>
        <v>-84.433457999999973</v>
      </c>
      <c r="U40">
        <f t="shared" ca="1" si="29"/>
        <v>20.606627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>
        <f>GetFollowingCarRow($B$45:$E$54,L40,$E$15,E40)</f>
        <v>54</v>
      </c>
      <c r="Z40">
        <f t="shared" ca="1" si="33"/>
        <v>-49.533457999999996</v>
      </c>
      <c r="AA40">
        <f t="shared" ca="1" si="34"/>
        <v>20.606627</v>
      </c>
      <c r="AB40">
        <f t="shared" si="35"/>
        <v>0.25999999999999979</v>
      </c>
      <c r="AC40">
        <f t="shared" si="36"/>
        <v>-34.899999999999977</v>
      </c>
      <c r="AD40">
        <f t="shared" si="37"/>
        <v>7.7609512893982817</v>
      </c>
      <c r="AE40">
        <f t="shared" si="38"/>
        <v>270.85719999999986</v>
      </c>
      <c r="AF40">
        <f t="shared" si="39"/>
        <v>34.900968467937943</v>
      </c>
      <c r="AG40">
        <f t="shared" si="40"/>
        <v>4.7605723500949155</v>
      </c>
      <c r="AH40">
        <f t="shared" si="41"/>
        <v>0.67506987483860781</v>
      </c>
      <c r="AI40">
        <f>IF(G40&lt;=0,1,0)</f>
        <v>1</v>
      </c>
      <c r="AJ40">
        <f>IF(G40&lt;0,1,0)</f>
        <v>1</v>
      </c>
      <c r="AK40">
        <f>MAX(($B$3-G40)/(G40 + 1),0) / $B$3</f>
        <v>0</v>
      </c>
      <c r="AL40">
        <f>IF(H40+ABS(K40)&lt;0,Logistic(SQRT(H40^2+K40^2)/$B$4),0)</f>
        <v>0.84763727000416067</v>
      </c>
      <c r="AM40">
        <f>IF(G40&gt;$B$3,1,0)</f>
        <v>0</v>
      </c>
      <c r="AN40">
        <f>IF(H40&gt;$B$4,1,0)</f>
        <v>0</v>
      </c>
      <c r="AO40">
        <f>ABS(H40)/$B$4</f>
        <v>2.4337499999999999</v>
      </c>
      <c r="AP40">
        <f>Logistic(I40/$B$5)</f>
        <v>0.83910021505235</v>
      </c>
      <c r="AQ40">
        <f>IF(I40&gt;$B$5,1,0)</f>
        <v>1</v>
      </c>
      <c r="AR40">
        <f>Logistic(ABS(F40-O40)/($B$6/2))</f>
        <v>0.75736232421652638</v>
      </c>
      <c r="AS40">
        <f>IF(OR(F40&lt;M40,F40&gt;N40),1,0)</f>
        <v>1</v>
      </c>
      <c r="AT40">
        <f>ABS(K40)/$B$4</f>
        <v>0.55125000000000002</v>
      </c>
      <c r="AU40">
        <f t="shared" ca="1" si="42"/>
        <v>0</v>
      </c>
      <c r="AV40">
        <f ca="1">IF(AND(L40&lt;&gt;$L$15,$Q$15&gt;Safety_Distance),1,0)</f>
        <v>0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0.89061128684895119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0.93582637313585426</v>
      </c>
      <c r="BA40">
        <f t="shared" ca="1" si="43"/>
        <v>0</v>
      </c>
      <c r="BB40">
        <f t="shared" ca="1" si="44"/>
        <v>0</v>
      </c>
      <c r="BC40">
        <f t="shared" si="45"/>
        <v>0</v>
      </c>
      <c r="BE40">
        <f>Logistic((D40-$B$2)/$B$2)</f>
        <v>0.67506987483860781</v>
      </c>
      <c r="BF40">
        <f t="shared" si="46"/>
        <v>1</v>
      </c>
      <c r="BG40">
        <f t="shared" si="47"/>
        <v>1</v>
      </c>
      <c r="BH40">
        <f>Logistic(($B$3-G40)/(G40+1))</f>
        <v>-0.60429925092041559</v>
      </c>
      <c r="BI40">
        <f>IF(G40&gt;$B$3,1,0)</f>
        <v>0</v>
      </c>
      <c r="BJ40">
        <f>IF(H40&gt;$B$5,1,0)</f>
        <v>0</v>
      </c>
      <c r="BK40">
        <f>EXP(-($B$4-ABS(H40))/MAX(ABS(H40),0.000000001))</f>
        <v>1.8023861997651531</v>
      </c>
      <c r="BL40">
        <f t="shared" si="48"/>
        <v>1</v>
      </c>
      <c r="BM40">
        <f>EXP(-($B$5-I40)/MAX(I40,0.000000001))</f>
        <v>1.8031463187974246</v>
      </c>
      <c r="BN40">
        <f>IF(F40&gt;N40,(F40-N40)/$B$6,0)+IF(F40&lt;M40,(M40-F40)/$B$6,0)</f>
        <v>0.49000000000000021</v>
      </c>
      <c r="BO40">
        <f>ABS(K40/$B$4)</f>
        <v>0.55125000000000002</v>
      </c>
      <c r="BP40">
        <f>Logistic(ABS(H40)/$B$4)</f>
        <v>0.83872993833473686</v>
      </c>
      <c r="BQ40">
        <f>Logistic(($B$3-G40)/G40)</f>
        <v>-0.59638779041413281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487.68577199999999</v>
      </c>
      <c r="C45">
        <v>9.7953399999999995</v>
      </c>
      <c r="D45">
        <v>15.869176</v>
      </c>
      <c r="E45">
        <v>3</v>
      </c>
    </row>
    <row r="46" spans="1:69" x14ac:dyDescent="0.25">
      <c r="B46">
        <v>301.68491499999999</v>
      </c>
      <c r="C46">
        <v>2.183878</v>
      </c>
      <c r="D46">
        <v>19.981117000000001</v>
      </c>
      <c r="E46">
        <v>1</v>
      </c>
    </row>
    <row r="47" spans="1:69" x14ac:dyDescent="0.25">
      <c r="B47">
        <v>444.63361500000002</v>
      </c>
      <c r="C47">
        <v>2.0101939999999998</v>
      </c>
      <c r="D47">
        <v>16.490805000000002</v>
      </c>
      <c r="E47">
        <v>1</v>
      </c>
    </row>
    <row r="48" spans="1:69" x14ac:dyDescent="0.25">
      <c r="B48">
        <v>251.88951299999999</v>
      </c>
      <c r="C48">
        <v>2.4085009999999998</v>
      </c>
      <c r="D48">
        <v>18.520177</v>
      </c>
      <c r="E48">
        <v>1</v>
      </c>
    </row>
    <row r="49" spans="2:5" x14ac:dyDescent="0.25">
      <c r="B49">
        <v>343.868109</v>
      </c>
      <c r="C49">
        <v>9.5368440000000003</v>
      </c>
      <c r="D49">
        <v>13.703296</v>
      </c>
      <c r="E49">
        <v>3</v>
      </c>
    </row>
    <row r="50" spans="2:5" x14ac:dyDescent="0.25">
      <c r="B50">
        <v>416.84676000000002</v>
      </c>
      <c r="C50">
        <v>9.9561930000000007</v>
      </c>
      <c r="D50">
        <v>15.840249999999999</v>
      </c>
      <c r="E50">
        <v>3</v>
      </c>
    </row>
    <row r="51" spans="2:5" x14ac:dyDescent="0.25">
      <c r="B51">
        <v>449.43311299999999</v>
      </c>
      <c r="C51">
        <v>9.9820209999999996</v>
      </c>
      <c r="D51">
        <v>16.158458</v>
      </c>
      <c r="E51">
        <v>3</v>
      </c>
    </row>
    <row r="52" spans="2:5" x14ac:dyDescent="0.25">
      <c r="B52">
        <v>378.71045299999997</v>
      </c>
      <c r="C52">
        <v>9.7852510000000006</v>
      </c>
      <c r="D52">
        <v>14.439145999999999</v>
      </c>
      <c r="E52">
        <v>3</v>
      </c>
    </row>
    <row r="53" spans="2:5" x14ac:dyDescent="0.25">
      <c r="B53">
        <v>424.47167200000001</v>
      </c>
      <c r="C53">
        <v>1.9700930000000001</v>
      </c>
      <c r="D53">
        <v>15.889174000000001</v>
      </c>
      <c r="E53">
        <v>1</v>
      </c>
    </row>
    <row r="54" spans="2:5" x14ac:dyDescent="0.25">
      <c r="B54">
        <v>245.64654200000001</v>
      </c>
      <c r="C54">
        <v>6.5907359999999997</v>
      </c>
      <c r="D54">
        <v>20.606627</v>
      </c>
      <c r="E54">
        <v>2</v>
      </c>
    </row>
    <row r="55" spans="2:5" x14ac:dyDescent="0.25">
      <c r="B55">
        <v>279.23703899999998</v>
      </c>
      <c r="C55">
        <v>9.8101719999999997</v>
      </c>
      <c r="D55">
        <v>21.276153999999998</v>
      </c>
      <c r="E55">
        <v>3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BQ47"/>
  <sheetViews>
    <sheetView topLeftCell="A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12" t="s">
        <v>183</v>
      </c>
      <c r="B12">
        <f ca="1">INDEX(A16:F40,MATCH(MIN(B16:B40),B16:B40,0),5)</f>
        <v>125.81</v>
      </c>
      <c r="C12">
        <f ca="1">INDEX(A16:F40,MATCH(MIN(B16:B40),B16:B40,0),6)</f>
        <v>6.17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352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125.79</v>
      </c>
      <c r="F15">
        <f>VALUE(MID(C15,FIND("d[",C15)+2,FIND("]",C15,FIND("d[",C15))-(FIND("d[",C15)+2)))</f>
        <v>6.16</v>
      </c>
      <c r="G15">
        <f>VALUE(MID(C15,FIND("s_dot[",C15)+6,FIND("]",C15,FIND("s_dot[",C15))-(FIND("s_dot[",C15)+6)))</f>
        <v>0.98</v>
      </c>
      <c r="H15">
        <f>VALUE(MID(C15,FIND("s_dot2[",C15)+7,FIND("]",C15,FIND("s_dot2[",C15))-(FIND("s_dot2[",C15)+7)))</f>
        <v>1</v>
      </c>
      <c r="I15">
        <f>VALUE(MID(C15,FIND("s_dot3[",C15)+7,FIND("]",C15,FIND("s_dot3[",C15))-(FIND("s_dot3[",C15)+7)))</f>
        <v>1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1" si="0">$B$6*(L15-1)</f>
        <v>4</v>
      </c>
      <c r="N15">
        <f t="shared" ref="N15:N31" si="1">$B$6*L15</f>
        <v>8</v>
      </c>
      <c r="O15">
        <f>(N15+M15)/2</f>
        <v>6</v>
      </c>
      <c r="P15">
        <f>GetLeadingCarRow($B$45:$E$56,L15,$E$15, $E$15)</f>
        <v>46</v>
      </c>
      <c r="Q15">
        <f ca="1">IFERROR(INDIRECT(CONCATENATE("B", P15))-$E$15,1000000)</f>
        <v>137.37127199999998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120.43145879149648</v>
      </c>
      <c r="C16" t="s">
        <v>377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125.81</v>
      </c>
      <c r="F16">
        <f>VALUE(MID(C16,FIND("d[",C16)+2,FIND("]",C16,FIND("d[",C16))-(FIND("d[",C16)+2)))</f>
        <v>6.17</v>
      </c>
      <c r="G16">
        <f>VALUE(MID(C16,FIND("s_dot[",C16)+6,FIND("]",C16,FIND("s_dot[",C16))-(FIND("s_dot[",C16)+6)))</f>
        <v>0.98</v>
      </c>
      <c r="H16">
        <f>VALUE(MID(C16,FIND("s_dot2[",C16)+7,FIND("]",C16,FIND("s_dot2[",C16))-(FIND("s_dot2[",C16)+7)))</f>
        <v>0</v>
      </c>
      <c r="I16">
        <f>VALUE(MID(C16,FIND("s_dot3[",C16)+7,FIND("]",C16,FIND("s_dot3[",C16))-(FIND("s_dot3[",C16)+7)))</f>
        <v>2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>
        <f t="shared" ref="P16:P40" si="5">GetLeadingCarRow($B$45:$E$56,L16,$E$15, $E$15)</f>
        <v>46</v>
      </c>
      <c r="Q16">
        <f ca="1">IFERROR(INDIRECT(CONCATENATE("B", P16))-$E$15,1000000)</f>
        <v>137.37127199999998</v>
      </c>
      <c r="R16">
        <f ca="1">IFERROR(INDIRECT(CONCATENATE("D", P16)),100)</f>
        <v>19.600908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>
        <f>GetLeadingCarRow($B$45:$E$56,L16,$E$15,E16)</f>
        <v>46</v>
      </c>
      <c r="W16">
        <f ca="1">IFERROR(INDIRECT(CONCATENATE("B", V16))-E16,1000000000)</f>
        <v>137.35127199999999</v>
      </c>
      <c r="X16">
        <f ca="1">IFERROR(INDIRECT(CONCATENATE("D", V16)),100)</f>
        <v>19.600908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-9.9999999999997868E-3</v>
      </c>
      <c r="AC16">
        <f>E16-$E$15</f>
        <v>1.9999999999996021E-2</v>
      </c>
      <c r="AD16">
        <f>$F$15-(-AB16/AC16)*$E$15</f>
        <v>-56.735000000011169</v>
      </c>
      <c r="AE16">
        <f>AD16*-AC16</f>
        <v>1.1346999999999976</v>
      </c>
      <c r="AF16">
        <f>SQRT(AB16^2+AC16^2)</f>
        <v>2.2360679774994244E-2</v>
      </c>
      <c r="AG16">
        <f>GetSmallestNormalDistance($B$45:$E$56,AB16,AC16,AF16,$L$15,L16)</f>
        <v>112.324506467318</v>
      </c>
      <c r="AH16">
        <f t="shared" ref="AH16:AH31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0.48172583516598594</v>
      </c>
      <c r="AL16">
        <f>IF(H16+ABS(K16)&lt;0,Logistic(SQRT(H16^2+K16^2)/$B$4),0)</f>
        <v>0</v>
      </c>
      <c r="AM16">
        <f>IF(G16&gt;$B$3,1,0)</f>
        <v>0</v>
      </c>
      <c r="AN16">
        <f>IF(H16&gt;$B$4,1,0)</f>
        <v>0</v>
      </c>
      <c r="AO16">
        <f>ABS(H16)/$B$4</f>
        <v>0</v>
      </c>
      <c r="AP16">
        <f>Logistic(I16/$B$5)</f>
        <v>0.12435300177159621</v>
      </c>
      <c r="AQ16">
        <f>IF(I16&gt;$B$5,1,0)</f>
        <v>0</v>
      </c>
      <c r="AR16">
        <f>Logistic(ABS(F16-O16)/($B$6/2))</f>
        <v>4.2474429932548165E-2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1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1" si="8">Logistic(($B$3-G16)/(G16+1))</f>
        <v>0.99992729579934525</v>
      </c>
      <c r="BI16">
        <f t="shared" ref="BI16:BI31" si="9">IF(G16&gt;$B$3,1,0)</f>
        <v>0</v>
      </c>
      <c r="BJ16">
        <f t="shared" ref="BJ16:BJ31" si="10">IF(H16&gt;$B$5,1,0)</f>
        <v>0</v>
      </c>
      <c r="BK16">
        <f t="shared" ref="BK16:BK31" si="11">EXP(-($B$4-ABS(H16))/MAX(ABS(H16),0.000000001))</f>
        <v>0</v>
      </c>
      <c r="BL16">
        <f>IF(G16&lt;ABS(H16),1,0)</f>
        <v>0</v>
      </c>
      <c r="BM16">
        <f t="shared" ref="BM16:BM31" si="12">EXP(-($B$5-I16)/MAX(I16,0.000000001))</f>
        <v>4.9787068367863944E-2</v>
      </c>
      <c r="BN16">
        <f t="shared" ref="BN16:BN31" si="13">IF(F16&gt;N16,(F16-N16)/$B$6,0)+IF(F16&lt;M16,(M16-F16)/$B$6,0)</f>
        <v>0</v>
      </c>
      <c r="BO16">
        <f t="shared" ref="BO16:BO31" si="14">ABS(K16/$B$4)</f>
        <v>0</v>
      </c>
      <c r="BP16">
        <f t="shared" ref="BP16:BP31" si="15">Logistic(ABS(H16)/$B$4)</f>
        <v>0</v>
      </c>
      <c r="BQ16">
        <f t="shared" ref="BQ16:BQ31" si="16">Logistic(($B$3-G16)/G16)</f>
        <v>0.99999999785454474</v>
      </c>
    </row>
    <row r="17" spans="1:69" x14ac:dyDescent="0.25">
      <c r="A17" s="1" t="s">
        <v>15</v>
      </c>
      <c r="B17">
        <f t="shared" ca="1" si="2"/>
        <v>119.10933081998115</v>
      </c>
      <c r="C17" t="s">
        <v>376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125.81</v>
      </c>
      <c r="F17">
        <f t="shared" ref="F17:F40" si="19">VALUE(MID(C17,FIND("d[",C17)+2,FIND("]",C17,FIND("d[",C17))-(FIND("d[",C17)+2)))</f>
        <v>6.17</v>
      </c>
      <c r="G17">
        <f t="shared" ref="G17:G40" si="20">VALUE(MID(C17,FIND("s_dot[",C17)+6,FIND("]",C17,FIND("s_dot[",C17))-(FIND("s_dot[",C17)+6)))</f>
        <v>1</v>
      </c>
      <c r="H17">
        <f t="shared" ref="H17:H40" si="21">VALUE(MID(C17,FIND("s_dot2[",C17)+7,FIND("]",C17,FIND("s_dot2[",C17))-(FIND("s_dot2[",C17)+7)))</f>
        <v>1</v>
      </c>
      <c r="I17">
        <f t="shared" ref="I17:I40" si="22">VALUE(MID(C17,FIND("s_dot3[",C17)+7,FIND("]",C17,FIND("s_dot3[",C17))-(FIND("s_dot3[",C17)+7)))</f>
        <v>1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>
        <f t="shared" si="5"/>
        <v>46</v>
      </c>
      <c r="Q17">
        <f t="shared" ref="Q17:Q40" ca="1" si="25">IFERROR(INDIRECT(CONCATENATE("B", P17))-$E$15,1000000)</f>
        <v>137.37127199999998</v>
      </c>
      <c r="R17">
        <f t="shared" ref="R17:R40" ca="1" si="26">IFERROR(INDIRECT(CONCATENATE("D", P17)),100)</f>
        <v>19.600908</v>
      </c>
      <c r="S17" t="e">
        <f t="shared" ref="S17:S40" si="27">GetFollowingCarRow($B$45:$E$56,L17,$E$15, $E$15)</f>
        <v>#VALUE!</v>
      </c>
      <c r="T17">
        <f t="shared" ref="T17:T40" ca="1" si="28">IFERROR(INDIRECT(CONCATENATE("B", S17))-$E$15,1000000)</f>
        <v>1000000</v>
      </c>
      <c r="U17">
        <f t="shared" ref="U17:U40" ca="1" si="29">IFERROR(INDIRECT(CONCATENATE("D", S17)),100)</f>
        <v>100</v>
      </c>
      <c r="V17">
        <f t="shared" ref="V17:V40" si="30">GetLeadingCarRow($B$45:$E$56,L17,$E$15,E17)</f>
        <v>46</v>
      </c>
      <c r="W17">
        <f t="shared" ref="W17:W40" ca="1" si="31">IFERROR(INDIRECT(CONCATENATE("B", V17))-E17,1000000000)</f>
        <v>137.35127199999999</v>
      </c>
      <c r="X17">
        <f t="shared" ref="X17:X40" ca="1" si="32">IFERROR(INDIRECT(CONCATENATE("D", V17)),100)</f>
        <v>19.600908</v>
      </c>
      <c r="Y17" t="e">
        <f>GetFollowingCarRow($B$45:$E$54,L17,$E$15,E17)</f>
        <v>#VALUE!</v>
      </c>
      <c r="Z17">
        <f t="shared" ref="Z17:Z40" ca="1" si="33">IFERROR(INDIRECT(CONCATENATE("B", Y17))-E17,1000000000)</f>
        <v>1000000000</v>
      </c>
      <c r="AA17">
        <f t="shared" ref="AA17:AA40" ca="1" si="34">IFERROR(INDIRECT(CONCATENATE("D", Y17)),100)</f>
        <v>100</v>
      </c>
      <c r="AB17">
        <f t="shared" ref="AB17:AB40" si="35">$F$15-F17</f>
        <v>-9.9999999999997868E-3</v>
      </c>
      <c r="AC17">
        <f t="shared" ref="AC17:AC40" si="36">E17-$E$15</f>
        <v>1.9999999999996021E-2</v>
      </c>
      <c r="AD17">
        <f t="shared" ref="AD17:AD40" si="37">$F$15-(-AB17/AC17)*$E$15</f>
        <v>-56.735000000011169</v>
      </c>
      <c r="AE17">
        <f t="shared" ref="AE17:AE40" si="38">AD17*-AC17</f>
        <v>1.1346999999999976</v>
      </c>
      <c r="AF17">
        <f t="shared" ref="AF17:AF40" si="39">SQRT(AB17^2+AC17^2)</f>
        <v>2.2360679774994244E-2</v>
      </c>
      <c r="AG17">
        <f t="shared" ref="AG17:AG40" si="40">GetSmallestNormalDistance($B$45:$E$56,AB17,AC17,AF17,$L$15,L17)</f>
        <v>112.324506467318</v>
      </c>
      <c r="AH17">
        <f t="shared" si="6"/>
        <v>0</v>
      </c>
      <c r="AI17">
        <f>IF(G17&lt;=0,1,0)</f>
        <v>0</v>
      </c>
      <c r="AJ17">
        <f>IF(G17&lt;0,1,0)</f>
        <v>0</v>
      </c>
      <c r="AK17">
        <f>MAX(($B$3-G17)/(G17 + 1),0) / $B$3</f>
        <v>0.47643732327992461</v>
      </c>
      <c r="AL17">
        <f>IF(H17+ABS(K17)&lt;0,Logistic(SQRT(H17^2+K17^2)/$B$4),0)</f>
        <v>0</v>
      </c>
      <c r="AM17">
        <f>IF(G17&gt;$B$3,1,0)</f>
        <v>0</v>
      </c>
      <c r="AN17">
        <f>IF(H17&gt;$B$4,1,0)</f>
        <v>0</v>
      </c>
      <c r="AO17">
        <f>ABS(H17)/$B$4</f>
        <v>0.125</v>
      </c>
      <c r="AP17">
        <f>Logistic(I17/$B$5)</f>
        <v>6.2418746747512487E-2</v>
      </c>
      <c r="AQ17">
        <f>IF(I17&gt;$B$5,1,0)</f>
        <v>0</v>
      </c>
      <c r="AR17">
        <f>Logistic(ABS(F17-O17)/($B$6/2))</f>
        <v>4.2474429932548165E-2</v>
      </c>
      <c r="AS17">
        <f>IF(OR(F17&lt;M17,F17&gt;N17),1,0)</f>
        <v>0</v>
      </c>
      <c r="AT17">
        <f>ABS(K17)/$B$4</f>
        <v>0</v>
      </c>
      <c r="AU17">
        <f t="shared" ref="AU17:AU40" ca="1" si="41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2">IF(OR(ABS(Q17)&lt;$B$8,ABS(W17)&lt;$B$8),1,0)</f>
        <v>0</v>
      </c>
      <c r="BB17">
        <f t="shared" ref="BB17:BB40" ca="1" si="43">IF(OR(ABS(T17)&lt;$B$8,ABS(Z17)&lt;$B$8),1,0)</f>
        <v>0</v>
      </c>
      <c r="BC17">
        <f t="shared" ref="BC17:BC40" si="44">IFERROR(IF(P17=Y17,1,0),0)</f>
        <v>0</v>
      </c>
      <c r="BE17">
        <f t="shared" si="7"/>
        <v>0</v>
      </c>
      <c r="BF17">
        <f t="shared" ref="BF17:BF40" si="45">IF(G17&lt;=0,1,0)</f>
        <v>0</v>
      </c>
      <c r="BG17">
        <f t="shared" ref="BG17:BG40" si="46">IF(G17&lt;0,1,0)</f>
        <v>0</v>
      </c>
      <c r="BH17">
        <f t="shared" si="8"/>
        <v>0.99991866169445187</v>
      </c>
      <c r="BI17">
        <f t="shared" si="9"/>
        <v>0</v>
      </c>
      <c r="BJ17">
        <f t="shared" si="10"/>
        <v>0</v>
      </c>
      <c r="BK17">
        <f t="shared" si="11"/>
        <v>9.1188196555451624E-4</v>
      </c>
      <c r="BL17">
        <f t="shared" ref="BL17:BL40" si="47">IF(G17&lt;ABS(H17),1,0)</f>
        <v>0</v>
      </c>
      <c r="BM17">
        <f t="shared" si="12"/>
        <v>9.1188196555451624E-4</v>
      </c>
      <c r="BN17">
        <f t="shared" si="13"/>
        <v>0</v>
      </c>
      <c r="BO17">
        <f t="shared" si="14"/>
        <v>0</v>
      </c>
      <c r="BP17">
        <f t="shared" si="15"/>
        <v>6.2418746747512487E-2</v>
      </c>
      <c r="BQ17">
        <f t="shared" si="16"/>
        <v>0.99999999669177098</v>
      </c>
    </row>
    <row r="18" spans="1:69" x14ac:dyDescent="0.25">
      <c r="A18" s="1" t="s">
        <v>14</v>
      </c>
      <c r="B18">
        <f t="shared" ca="1" si="2"/>
        <v>117.17498595525177</v>
      </c>
      <c r="C18" t="s">
        <v>375</v>
      </c>
      <c r="D18">
        <f t="shared" si="17"/>
        <v>50</v>
      </c>
      <c r="E18">
        <f t="shared" si="18"/>
        <v>125.81</v>
      </c>
      <c r="F18">
        <f t="shared" si="19"/>
        <v>6.17</v>
      </c>
      <c r="G18">
        <f t="shared" si="20"/>
        <v>1.03</v>
      </c>
      <c r="H18">
        <f t="shared" si="21"/>
        <v>2.2999999999999998</v>
      </c>
      <c r="I18">
        <f t="shared" si="22"/>
        <v>0.3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>
        <f t="shared" si="5"/>
        <v>46</v>
      </c>
      <c r="Q18">
        <f t="shared" ca="1" si="25"/>
        <v>137.37127199999998</v>
      </c>
      <c r="R18">
        <f t="shared" ca="1" si="26"/>
        <v>19.600908</v>
      </c>
      <c r="S18" t="e">
        <f t="shared" si="27"/>
        <v>#VALUE!</v>
      </c>
      <c r="T18">
        <f t="shared" ca="1" si="28"/>
        <v>1000000</v>
      </c>
      <c r="U18">
        <f t="shared" ca="1" si="29"/>
        <v>100</v>
      </c>
      <c r="V18">
        <f t="shared" si="30"/>
        <v>46</v>
      </c>
      <c r="W18">
        <f t="shared" ca="1" si="31"/>
        <v>137.35127199999999</v>
      </c>
      <c r="X18">
        <f t="shared" ca="1" si="32"/>
        <v>19.600908</v>
      </c>
      <c r="Y18" t="e">
        <f>GetFollowingCarRow($B$45:$E$54,L18,$E$15,E18)</f>
        <v>#VALUE!</v>
      </c>
      <c r="Z18">
        <f t="shared" ca="1" si="33"/>
        <v>1000000000</v>
      </c>
      <c r="AA18">
        <f t="shared" ca="1" si="34"/>
        <v>100</v>
      </c>
      <c r="AB18">
        <f t="shared" si="35"/>
        <v>-9.9999999999997868E-3</v>
      </c>
      <c r="AC18">
        <f t="shared" si="36"/>
        <v>1.9999999999996021E-2</v>
      </c>
      <c r="AD18">
        <f t="shared" si="37"/>
        <v>-56.735000000011169</v>
      </c>
      <c r="AE18">
        <f t="shared" si="38"/>
        <v>1.1346999999999976</v>
      </c>
      <c r="AF18">
        <f t="shared" si="39"/>
        <v>2.2360679774994244E-2</v>
      </c>
      <c r="AG18">
        <f t="shared" si="40"/>
        <v>112.324506467318</v>
      </c>
      <c r="AH18">
        <f t="shared" si="6"/>
        <v>0</v>
      </c>
      <c r="AI18">
        <f>IF(G18&lt;=0,1,0)</f>
        <v>0</v>
      </c>
      <c r="AJ18">
        <f>IF(G18&lt;0,1,0)</f>
        <v>0</v>
      </c>
      <c r="AK18">
        <f>MAX(($B$3-G18)/(G18 + 1),0) / $B$3</f>
        <v>0.4686999438210071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0.28749999999999998</v>
      </c>
      <c r="AP18">
        <f>Logistic(I18/$B$5)</f>
        <v>1.8747803043321489E-2</v>
      </c>
      <c r="AQ18">
        <f>IF(I18&gt;$B$5,1,0)</f>
        <v>0</v>
      </c>
      <c r="AR18">
        <f>Logistic(ABS(F18-O18)/($B$6/2))</f>
        <v>4.2474429932548165E-2</v>
      </c>
      <c r="AS18">
        <f>IF(OR(F18&lt;M18,F18&gt;N18),1,0)</f>
        <v>0</v>
      </c>
      <c r="AT18">
        <f>ABS(K18)/$B$4</f>
        <v>0</v>
      </c>
      <c r="AU18">
        <f t="shared" ca="1" si="41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42"/>
        <v>0</v>
      </c>
      <c r="BB18">
        <f t="shared" ca="1" si="43"/>
        <v>0</v>
      </c>
      <c r="BC18">
        <f t="shared" si="44"/>
        <v>0</v>
      </c>
      <c r="BE18">
        <f t="shared" si="7"/>
        <v>0</v>
      </c>
      <c r="BF18">
        <f t="shared" si="45"/>
        <v>0</v>
      </c>
      <c r="BG18">
        <f t="shared" si="46"/>
        <v>0</v>
      </c>
      <c r="BH18">
        <f t="shared" si="8"/>
        <v>0.99990414879857004</v>
      </c>
      <c r="BI18">
        <f t="shared" si="9"/>
        <v>0</v>
      </c>
      <c r="BJ18">
        <f t="shared" si="10"/>
        <v>0</v>
      </c>
      <c r="BK18">
        <f t="shared" si="11"/>
        <v>8.388899270179824E-2</v>
      </c>
      <c r="BL18">
        <f t="shared" si="47"/>
        <v>1</v>
      </c>
      <c r="BM18">
        <f t="shared" si="12"/>
        <v>7.13030812843618E-12</v>
      </c>
      <c r="BN18">
        <f t="shared" si="13"/>
        <v>0</v>
      </c>
      <c r="BO18">
        <f t="shared" si="14"/>
        <v>0</v>
      </c>
      <c r="BP18">
        <f t="shared" si="15"/>
        <v>0.14276796335386471</v>
      </c>
      <c r="BQ18">
        <f t="shared" si="16"/>
        <v>0.99999999386216998</v>
      </c>
    </row>
    <row r="19" spans="1:69" x14ac:dyDescent="0.25">
      <c r="A19" s="1" t="s">
        <v>13</v>
      </c>
      <c r="B19">
        <f t="shared" ca="1" si="2"/>
        <v>117.17498595525177</v>
      </c>
      <c r="C19" t="s">
        <v>374</v>
      </c>
      <c r="D19">
        <f t="shared" si="17"/>
        <v>50</v>
      </c>
      <c r="E19">
        <f t="shared" si="18"/>
        <v>125.81</v>
      </c>
      <c r="F19">
        <f t="shared" si="19"/>
        <v>6.17</v>
      </c>
      <c r="G19">
        <f t="shared" si="20"/>
        <v>1.03</v>
      </c>
      <c r="H19">
        <f t="shared" si="21"/>
        <v>2.6</v>
      </c>
      <c r="I19">
        <f t="shared" si="22"/>
        <v>0.6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>
        <f t="shared" si="5"/>
        <v>46</v>
      </c>
      <c r="Q19">
        <f t="shared" ca="1" si="25"/>
        <v>137.37127199999998</v>
      </c>
      <c r="R19">
        <f t="shared" ca="1" si="26"/>
        <v>19.600908</v>
      </c>
      <c r="S19" t="e">
        <f t="shared" si="27"/>
        <v>#VALUE!</v>
      </c>
      <c r="T19">
        <f t="shared" ca="1" si="28"/>
        <v>1000000</v>
      </c>
      <c r="U19">
        <f t="shared" ca="1" si="29"/>
        <v>100</v>
      </c>
      <c r="V19">
        <f t="shared" si="30"/>
        <v>46</v>
      </c>
      <c r="W19">
        <f t="shared" ca="1" si="31"/>
        <v>137.35127199999999</v>
      </c>
      <c r="X19">
        <f t="shared" ca="1" si="32"/>
        <v>19.600908</v>
      </c>
      <c r="Y19" t="e">
        <f>GetFollowingCarRow($B$45:$E$54,L19,$E$15,E19)</f>
        <v>#VALUE!</v>
      </c>
      <c r="Z19">
        <f t="shared" ca="1" si="33"/>
        <v>1000000000</v>
      </c>
      <c r="AA19">
        <f t="shared" ca="1" si="34"/>
        <v>100</v>
      </c>
      <c r="AB19">
        <f t="shared" si="35"/>
        <v>-9.9999999999997868E-3</v>
      </c>
      <c r="AC19">
        <f t="shared" si="36"/>
        <v>1.9999999999996021E-2</v>
      </c>
      <c r="AD19">
        <f t="shared" si="37"/>
        <v>-56.735000000011169</v>
      </c>
      <c r="AE19">
        <f t="shared" si="38"/>
        <v>1.1346999999999976</v>
      </c>
      <c r="AF19">
        <f t="shared" si="39"/>
        <v>2.2360679774994244E-2</v>
      </c>
      <c r="AG19">
        <f t="shared" si="40"/>
        <v>112.324506467318</v>
      </c>
      <c r="AH19">
        <f t="shared" si="6"/>
        <v>0</v>
      </c>
      <c r="AI19">
        <f>IF(G19&lt;=0,1,0)</f>
        <v>0</v>
      </c>
      <c r="AJ19">
        <f>IF(G19&lt;0,1,0)</f>
        <v>0</v>
      </c>
      <c r="AK19">
        <f>MAX(($B$3-G19)/(G19 + 1),0) / $B$3</f>
        <v>0.4686999438210071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0.32500000000000001</v>
      </c>
      <c r="AP19">
        <f>Logistic(I19/$B$5)</f>
        <v>3.7482431757070493E-2</v>
      </c>
      <c r="AQ19">
        <f>IF(I19&gt;$B$5,1,0)</f>
        <v>0</v>
      </c>
      <c r="AR19">
        <f>Logistic(ABS(F19-O19)/($B$6/2))</f>
        <v>4.2474429932548165E-2</v>
      </c>
      <c r="AS19">
        <f>IF(OR(F19&lt;M19,F19&gt;N19),1,0)</f>
        <v>0</v>
      </c>
      <c r="AT19">
        <f>ABS(K19)/$B$4</f>
        <v>0</v>
      </c>
      <c r="AU19">
        <f t="shared" ca="1" si="41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42"/>
        <v>0</v>
      </c>
      <c r="BB19">
        <f t="shared" ca="1" si="43"/>
        <v>0</v>
      </c>
      <c r="BC19">
        <f t="shared" si="44"/>
        <v>0</v>
      </c>
      <c r="BE19">
        <f t="shared" si="7"/>
        <v>0</v>
      </c>
      <c r="BF19">
        <f t="shared" si="45"/>
        <v>0</v>
      </c>
      <c r="BG19">
        <f t="shared" si="46"/>
        <v>0</v>
      </c>
      <c r="BH19">
        <f t="shared" si="8"/>
        <v>0.99990414879857004</v>
      </c>
      <c r="BI19">
        <f t="shared" si="9"/>
        <v>0</v>
      </c>
      <c r="BJ19">
        <f t="shared" si="10"/>
        <v>0</v>
      </c>
      <c r="BK19">
        <f t="shared" si="11"/>
        <v>0.12531520484413722</v>
      </c>
      <c r="BL19">
        <f t="shared" si="47"/>
        <v>1</v>
      </c>
      <c r="BM19">
        <f t="shared" si="12"/>
        <v>4.4025205299739253E-6</v>
      </c>
      <c r="BN19">
        <f t="shared" si="13"/>
        <v>0</v>
      </c>
      <c r="BO19">
        <f t="shared" si="14"/>
        <v>0</v>
      </c>
      <c r="BP19">
        <f t="shared" si="15"/>
        <v>0.16108460964131921</v>
      </c>
      <c r="BQ19">
        <f t="shared" si="16"/>
        <v>0.99999999386216998</v>
      </c>
    </row>
    <row r="20" spans="1:69" x14ac:dyDescent="0.25">
      <c r="A20" s="1" t="s">
        <v>12</v>
      </c>
      <c r="B20">
        <f t="shared" ca="1" si="2"/>
        <v>116.54284711056903</v>
      </c>
      <c r="C20" t="s">
        <v>373</v>
      </c>
      <c r="D20">
        <f t="shared" si="17"/>
        <v>50</v>
      </c>
      <c r="E20">
        <f t="shared" si="18"/>
        <v>125.81</v>
      </c>
      <c r="F20">
        <f t="shared" si="19"/>
        <v>6.17</v>
      </c>
      <c r="G20">
        <f t="shared" si="20"/>
        <v>1.04</v>
      </c>
      <c r="H20">
        <f t="shared" si="21"/>
        <v>3</v>
      </c>
      <c r="I20">
        <f t="shared" si="22"/>
        <v>1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>
        <f t="shared" si="5"/>
        <v>46</v>
      </c>
      <c r="Q20">
        <f t="shared" ca="1" si="25"/>
        <v>137.37127199999998</v>
      </c>
      <c r="R20">
        <f t="shared" ca="1" si="26"/>
        <v>19.600908</v>
      </c>
      <c r="S20" t="e">
        <f t="shared" si="27"/>
        <v>#VALUE!</v>
      </c>
      <c r="T20">
        <f t="shared" ca="1" si="28"/>
        <v>1000000</v>
      </c>
      <c r="U20">
        <f t="shared" ca="1" si="29"/>
        <v>100</v>
      </c>
      <c r="V20">
        <f t="shared" si="30"/>
        <v>46</v>
      </c>
      <c r="W20">
        <f t="shared" ca="1" si="31"/>
        <v>137.35127199999999</v>
      </c>
      <c r="X20">
        <f t="shared" ca="1" si="32"/>
        <v>19.600908</v>
      </c>
      <c r="Y20" t="e">
        <f>GetFollowingCarRow($B$45:$E$54,L20,$E$15,E20)</f>
        <v>#VALUE!</v>
      </c>
      <c r="Z20">
        <f t="shared" ca="1" si="33"/>
        <v>1000000000</v>
      </c>
      <c r="AA20">
        <f t="shared" ca="1" si="34"/>
        <v>100</v>
      </c>
      <c r="AB20">
        <f t="shared" si="35"/>
        <v>-9.9999999999997868E-3</v>
      </c>
      <c r="AC20">
        <f t="shared" si="36"/>
        <v>1.9999999999996021E-2</v>
      </c>
      <c r="AD20">
        <f t="shared" si="37"/>
        <v>-56.735000000011169</v>
      </c>
      <c r="AE20">
        <f t="shared" si="38"/>
        <v>1.1346999999999976</v>
      </c>
      <c r="AF20">
        <f t="shared" si="39"/>
        <v>2.2360679774994244E-2</v>
      </c>
      <c r="AG20">
        <f t="shared" si="40"/>
        <v>112.324506467318</v>
      </c>
      <c r="AH20">
        <f t="shared" si="6"/>
        <v>0</v>
      </c>
      <c r="AI20">
        <f>IF(G20&lt;=0,1,0)</f>
        <v>0</v>
      </c>
      <c r="AJ20">
        <f>IF(G20&lt;0,1,0)</f>
        <v>0</v>
      </c>
      <c r="AK20">
        <f>MAX(($B$3-G20)/(G20 + 1),0) / $B$3</f>
        <v>0.46617138844227612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0.375</v>
      </c>
      <c r="AP20">
        <f>Logistic(I20/$B$5)</f>
        <v>6.2418746747512487E-2</v>
      </c>
      <c r="AQ20">
        <f>IF(I20&gt;$B$5,1,0)</f>
        <v>0</v>
      </c>
      <c r="AR20">
        <f>Logistic(ABS(F20-O20)/($B$6/2))</f>
        <v>4.2474429932548165E-2</v>
      </c>
      <c r="AS20">
        <f>IF(OR(F20&lt;M20,F20&gt;N20),1,0)</f>
        <v>0</v>
      </c>
      <c r="AT20">
        <f>ABS(K20)/$B$4</f>
        <v>0</v>
      </c>
      <c r="AU20">
        <f t="shared" ca="1" si="41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42"/>
        <v>0</v>
      </c>
      <c r="BB20">
        <f t="shared" ca="1" si="43"/>
        <v>0</v>
      </c>
      <c r="BC20">
        <f t="shared" si="44"/>
        <v>0</v>
      </c>
      <c r="BE20">
        <f t="shared" si="7"/>
        <v>0</v>
      </c>
      <c r="BF20">
        <f t="shared" si="45"/>
        <v>0</v>
      </c>
      <c r="BG20">
        <f t="shared" si="46"/>
        <v>0</v>
      </c>
      <c r="BH20">
        <f t="shared" si="8"/>
        <v>0.99989886560182262</v>
      </c>
      <c r="BI20">
        <f t="shared" si="9"/>
        <v>0</v>
      </c>
      <c r="BJ20">
        <f t="shared" si="10"/>
        <v>0</v>
      </c>
      <c r="BK20">
        <f t="shared" si="11"/>
        <v>0.18887560283756183</v>
      </c>
      <c r="BL20">
        <f t="shared" si="47"/>
        <v>1</v>
      </c>
      <c r="BM20">
        <f t="shared" si="12"/>
        <v>9.1188196555451624E-4</v>
      </c>
      <c r="BN20">
        <f t="shared" si="13"/>
        <v>0</v>
      </c>
      <c r="BO20">
        <f t="shared" si="14"/>
        <v>0</v>
      </c>
      <c r="BP20">
        <f t="shared" si="15"/>
        <v>0.18533319990813948</v>
      </c>
      <c r="BQ20">
        <f t="shared" si="16"/>
        <v>0.99999999251750071</v>
      </c>
    </row>
    <row r="21" spans="1:69" x14ac:dyDescent="0.25">
      <c r="A21" s="1" t="s">
        <v>33</v>
      </c>
      <c r="B21">
        <f t="shared" ca="1" si="2"/>
        <v>117.81338360037701</v>
      </c>
      <c r="C21" t="s">
        <v>372</v>
      </c>
      <c r="D21">
        <f t="shared" si="17"/>
        <v>50</v>
      </c>
      <c r="E21">
        <f t="shared" si="18"/>
        <v>125.81</v>
      </c>
      <c r="F21">
        <f t="shared" si="19"/>
        <v>6.17</v>
      </c>
      <c r="G21">
        <f t="shared" si="20"/>
        <v>1.02</v>
      </c>
      <c r="H21">
        <f t="shared" si="21"/>
        <v>2</v>
      </c>
      <c r="I21">
        <f t="shared" si="22"/>
        <v>0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>
        <f t="shared" si="5"/>
        <v>46</v>
      </c>
      <c r="Q21">
        <f t="shared" ca="1" si="25"/>
        <v>137.37127199999998</v>
      </c>
      <c r="R21">
        <f t="shared" ca="1" si="26"/>
        <v>19.600908</v>
      </c>
      <c r="S21" t="e">
        <f t="shared" si="27"/>
        <v>#VALUE!</v>
      </c>
      <c r="T21">
        <f t="shared" ca="1" si="28"/>
        <v>1000000</v>
      </c>
      <c r="U21">
        <f t="shared" ca="1" si="29"/>
        <v>100</v>
      </c>
      <c r="V21">
        <f t="shared" si="30"/>
        <v>46</v>
      </c>
      <c r="W21">
        <f t="shared" ca="1" si="31"/>
        <v>137.35127199999999</v>
      </c>
      <c r="X21">
        <f t="shared" ca="1" si="32"/>
        <v>19.600908</v>
      </c>
      <c r="Y21" t="e">
        <f>GetFollowingCarRow($B$45:$E$54,L21,$E$15,E21)</f>
        <v>#VALUE!</v>
      </c>
      <c r="Z21">
        <f t="shared" ca="1" si="33"/>
        <v>1000000000</v>
      </c>
      <c r="AA21">
        <f t="shared" ca="1" si="34"/>
        <v>100</v>
      </c>
      <c r="AB21">
        <f t="shared" si="35"/>
        <v>-9.9999999999997868E-3</v>
      </c>
      <c r="AC21">
        <f t="shared" si="36"/>
        <v>1.9999999999996021E-2</v>
      </c>
      <c r="AD21">
        <f t="shared" si="37"/>
        <v>-56.735000000011169</v>
      </c>
      <c r="AE21">
        <f t="shared" si="38"/>
        <v>1.1346999999999976</v>
      </c>
      <c r="AF21">
        <f t="shared" si="39"/>
        <v>2.2360679774994244E-2</v>
      </c>
      <c r="AG21">
        <f t="shared" si="40"/>
        <v>112.324506467318</v>
      </c>
      <c r="AH21">
        <f t="shared" si="6"/>
        <v>0</v>
      </c>
      <c r="AI21">
        <f>IF(G21&lt;=0,1,0)</f>
        <v>0</v>
      </c>
      <c r="AJ21">
        <f>IF(G21&lt;0,1,0)</f>
        <v>0</v>
      </c>
      <c r="AK21">
        <f>MAX(($B$3-G21)/(G21 + 1),0) / $B$3</f>
        <v>0.47125353440150802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0.25</v>
      </c>
      <c r="AP21">
        <f>Logistic(I21/$B$5)</f>
        <v>0</v>
      </c>
      <c r="AQ21">
        <f>IF(I21&gt;$B$5,1,0)</f>
        <v>0</v>
      </c>
      <c r="AR21">
        <f>Logistic(ABS(F21-O21)/($B$6/2))</f>
        <v>4.2474429932548165E-2</v>
      </c>
      <c r="AS21">
        <f>IF(OR(F21&lt;M21,F21&gt;N21),1,0)</f>
        <v>0</v>
      </c>
      <c r="AT21">
        <f>ABS(K21)/$B$4</f>
        <v>0</v>
      </c>
      <c r="AU21">
        <f t="shared" ca="1" si="41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2"/>
        <v>0</v>
      </c>
      <c r="BB21">
        <f t="shared" ca="1" si="43"/>
        <v>0</v>
      </c>
      <c r="BC21">
        <f t="shared" si="44"/>
        <v>0</v>
      </c>
      <c r="BE21">
        <f t="shared" si="7"/>
        <v>0</v>
      </c>
      <c r="BF21">
        <f t="shared" si="45"/>
        <v>0</v>
      </c>
      <c r="BG21">
        <f t="shared" si="46"/>
        <v>0</v>
      </c>
      <c r="BH21">
        <f t="shared" si="8"/>
        <v>0.99990920426259511</v>
      </c>
      <c r="BI21">
        <f t="shared" si="9"/>
        <v>0</v>
      </c>
      <c r="BJ21">
        <f t="shared" si="10"/>
        <v>0</v>
      </c>
      <c r="BK21">
        <f t="shared" si="11"/>
        <v>4.9787068367863944E-2</v>
      </c>
      <c r="BL21">
        <f t="shared" si="47"/>
        <v>1</v>
      </c>
      <c r="BM21">
        <f t="shared" si="12"/>
        <v>0</v>
      </c>
      <c r="BN21">
        <f t="shared" si="13"/>
        <v>0</v>
      </c>
      <c r="BO21">
        <f t="shared" si="14"/>
        <v>0</v>
      </c>
      <c r="BP21">
        <f t="shared" si="15"/>
        <v>0.12435300177159621</v>
      </c>
      <c r="BQ21">
        <f t="shared" si="16"/>
        <v>0.99999999498470904</v>
      </c>
    </row>
    <row r="22" spans="1:69" x14ac:dyDescent="0.25">
      <c r="A22" s="1" t="s">
        <v>11</v>
      </c>
      <c r="B22">
        <f t="shared" ca="1" si="2"/>
        <v>120.43145879149648</v>
      </c>
      <c r="C22" t="s">
        <v>371</v>
      </c>
      <c r="D22">
        <f t="shared" si="17"/>
        <v>50</v>
      </c>
      <c r="E22">
        <f t="shared" si="18"/>
        <v>125.81</v>
      </c>
      <c r="F22">
        <f t="shared" si="19"/>
        <v>6.17</v>
      </c>
      <c r="G22">
        <f t="shared" si="20"/>
        <v>0.98</v>
      </c>
      <c r="H22">
        <f t="shared" si="21"/>
        <v>0</v>
      </c>
      <c r="I22">
        <f t="shared" si="22"/>
        <v>2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>
        <f t="shared" si="5"/>
        <v>46</v>
      </c>
      <c r="Q22">
        <f t="shared" ca="1" si="25"/>
        <v>137.37127199999998</v>
      </c>
      <c r="R22">
        <f t="shared" ca="1" si="26"/>
        <v>19.600908</v>
      </c>
      <c r="S22" t="e">
        <f t="shared" si="27"/>
        <v>#VALUE!</v>
      </c>
      <c r="T22">
        <f t="shared" ca="1" si="28"/>
        <v>1000000</v>
      </c>
      <c r="U22">
        <f t="shared" ca="1" si="29"/>
        <v>100</v>
      </c>
      <c r="V22">
        <f t="shared" si="30"/>
        <v>46</v>
      </c>
      <c r="W22">
        <f t="shared" ca="1" si="31"/>
        <v>137.35127199999999</v>
      </c>
      <c r="X22">
        <f t="shared" ca="1" si="32"/>
        <v>19.600908</v>
      </c>
      <c r="Y22" t="e">
        <f>GetFollowingCarRow($B$45:$E$54,L22,$E$15,E22)</f>
        <v>#VALUE!</v>
      </c>
      <c r="Z22">
        <f t="shared" ca="1" si="33"/>
        <v>1000000000</v>
      </c>
      <c r="AA22">
        <f t="shared" ca="1" si="34"/>
        <v>100</v>
      </c>
      <c r="AB22">
        <f t="shared" si="35"/>
        <v>-9.9999999999997868E-3</v>
      </c>
      <c r="AC22">
        <f t="shared" si="36"/>
        <v>1.9999999999996021E-2</v>
      </c>
      <c r="AD22">
        <f t="shared" si="37"/>
        <v>-56.735000000011169</v>
      </c>
      <c r="AE22">
        <f t="shared" si="38"/>
        <v>1.1346999999999976</v>
      </c>
      <c r="AF22">
        <f t="shared" si="39"/>
        <v>2.2360679774994244E-2</v>
      </c>
      <c r="AG22">
        <f t="shared" si="40"/>
        <v>112.324506467318</v>
      </c>
      <c r="AH22">
        <f t="shared" si="6"/>
        <v>0</v>
      </c>
      <c r="AI22">
        <f>IF(G22&lt;=0,1,0)</f>
        <v>0</v>
      </c>
      <c r="AJ22">
        <f>IF(G22&lt;0,1,0)</f>
        <v>0</v>
      </c>
      <c r="AK22">
        <f>MAX(($B$3-G22)/(G22 + 1),0) / $B$3</f>
        <v>0.48172583516598594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0.12435300177159621</v>
      </c>
      <c r="AQ22">
        <f>IF(I22&gt;$B$5,1,0)</f>
        <v>0</v>
      </c>
      <c r="AR22">
        <f>Logistic(ABS(F22-O22)/($B$6/2))</f>
        <v>4.2474429932548165E-2</v>
      </c>
      <c r="AS22">
        <f>IF(OR(F22&lt;M22,F22&gt;N22),1,0)</f>
        <v>0</v>
      </c>
      <c r="AT22">
        <f>ABS(K22)/$B$4</f>
        <v>0</v>
      </c>
      <c r="AU22">
        <f t="shared" ca="1" si="41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2"/>
        <v>0</v>
      </c>
      <c r="BB22">
        <f t="shared" ca="1" si="43"/>
        <v>0</v>
      </c>
      <c r="BC22">
        <f t="shared" si="44"/>
        <v>0</v>
      </c>
      <c r="BE22">
        <f t="shared" si="7"/>
        <v>0</v>
      </c>
      <c r="BF22">
        <f t="shared" si="45"/>
        <v>0</v>
      </c>
      <c r="BG22">
        <f t="shared" si="46"/>
        <v>0</v>
      </c>
      <c r="BH22">
        <f t="shared" si="8"/>
        <v>0.99992729579934525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7"/>
        <v>0</v>
      </c>
      <c r="BM22">
        <f t="shared" si="12"/>
        <v>4.9787068367863944E-2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0.99999999785454474</v>
      </c>
    </row>
    <row r="23" spans="1:69" x14ac:dyDescent="0.25">
      <c r="A23" s="1" t="s">
        <v>34</v>
      </c>
      <c r="B23">
        <f t="shared" ca="1" si="2"/>
        <v>152.25919771460866</v>
      </c>
      <c r="C23" t="s">
        <v>370</v>
      </c>
      <c r="D23">
        <f t="shared" si="17"/>
        <v>148</v>
      </c>
      <c r="E23">
        <f t="shared" si="18"/>
        <v>154.79</v>
      </c>
      <c r="F23">
        <f t="shared" si="19"/>
        <v>8.01</v>
      </c>
      <c r="G23">
        <f t="shared" si="20"/>
        <v>27.88</v>
      </c>
      <c r="H23">
        <f t="shared" si="21"/>
        <v>6.76</v>
      </c>
      <c r="I23">
        <f t="shared" si="22"/>
        <v>4.76</v>
      </c>
      <c r="J23">
        <f t="shared" si="23"/>
        <v>-1.49</v>
      </c>
      <c r="K23">
        <f t="shared" si="24"/>
        <v>0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47</v>
      </c>
      <c r="Q23">
        <f t="shared" ca="1" si="25"/>
        <v>167.55590999999998</v>
      </c>
      <c r="R23">
        <f t="shared" ca="1" si="26"/>
        <v>17.997093</v>
      </c>
      <c r="S23" t="e">
        <f t="shared" si="27"/>
        <v>#VALUE!</v>
      </c>
      <c r="T23">
        <f t="shared" ca="1" si="28"/>
        <v>1000000</v>
      </c>
      <c r="U23">
        <f t="shared" ca="1" si="29"/>
        <v>100</v>
      </c>
      <c r="V23">
        <f t="shared" si="30"/>
        <v>47</v>
      </c>
      <c r="W23">
        <f t="shared" ca="1" si="31"/>
        <v>138.55591000000001</v>
      </c>
      <c r="X23">
        <f t="shared" ca="1" si="32"/>
        <v>17.997093</v>
      </c>
      <c r="Y23" t="e">
        <f>GetFollowingCarRow($B$45:$E$54,L23,$E$15,E23)</f>
        <v>#VALUE!</v>
      </c>
      <c r="Z23">
        <f t="shared" ca="1" si="33"/>
        <v>1000000000</v>
      </c>
      <c r="AA23">
        <f t="shared" ca="1" si="34"/>
        <v>100</v>
      </c>
      <c r="AB23">
        <f t="shared" si="35"/>
        <v>-1.8499999999999996</v>
      </c>
      <c r="AC23">
        <f t="shared" si="36"/>
        <v>28.999999999999986</v>
      </c>
      <c r="AD23">
        <f t="shared" si="37"/>
        <v>-1.8645344827586232</v>
      </c>
      <c r="AE23">
        <f t="shared" si="38"/>
        <v>54.07150000000005</v>
      </c>
      <c r="AF23">
        <f t="shared" si="39"/>
        <v>29.058948707756088</v>
      </c>
      <c r="AG23">
        <f t="shared" si="40"/>
        <v>8.6942929711895029</v>
      </c>
      <c r="AH23">
        <f t="shared" si="6"/>
        <v>0.75306590486955205</v>
      </c>
      <c r="AI23">
        <f>IF(G23&lt;=0,1,0)</f>
        <v>0</v>
      </c>
      <c r="AJ23">
        <f>IF(G23&lt;0,1,0)</f>
        <v>0</v>
      </c>
      <c r="AK23">
        <f>MAX(($B$3-G23)/(G23 + 1),0) / $B$3</f>
        <v>0</v>
      </c>
      <c r="AL23">
        <f>IF(H23+ABS(K23)&lt;0,Logistic(SQRT(H23^2+K23^2)/$B$4),0)</f>
        <v>0</v>
      </c>
      <c r="AM23">
        <f>IF(G23&gt;$B$3,1,0)</f>
        <v>1</v>
      </c>
      <c r="AN23">
        <f>IF(H23&gt;$B$4,1,0)</f>
        <v>0</v>
      </c>
      <c r="AO23">
        <f>ABS(H23)/$B$4</f>
        <v>0.84499999999999997</v>
      </c>
      <c r="AP23">
        <f>Logistic(I23/$B$5)</f>
        <v>0.28902310741258913</v>
      </c>
      <c r="AQ23">
        <f>IF(I23&gt;$B$5,1,0)</f>
        <v>0</v>
      </c>
      <c r="AR23">
        <f>Logistic(ABS(F23-O23)/($B$6/2))</f>
        <v>0.46014876796223769</v>
      </c>
      <c r="AS23">
        <f>IF(OR(F23&lt;M23,F23&gt;N23),1,0)</f>
        <v>0</v>
      </c>
      <c r="AT23">
        <f>ABS(K23)/$B$4</f>
        <v>0</v>
      </c>
      <c r="AU23">
        <f t="shared" ca="1" si="41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2"/>
        <v>0</v>
      </c>
      <c r="BB23">
        <f t="shared" ca="1" si="43"/>
        <v>0</v>
      </c>
      <c r="BC23">
        <f t="shared" si="44"/>
        <v>0</v>
      </c>
      <c r="BE23">
        <f t="shared" si="7"/>
        <v>0.75306590486955205</v>
      </c>
      <c r="BF23">
        <f t="shared" si="45"/>
        <v>0</v>
      </c>
      <c r="BG23">
        <f t="shared" si="46"/>
        <v>0</v>
      </c>
      <c r="BH23">
        <f t="shared" si="8"/>
        <v>-0.11479641332452685</v>
      </c>
      <c r="BI23">
        <f t="shared" si="9"/>
        <v>1</v>
      </c>
      <c r="BJ23">
        <f t="shared" si="10"/>
        <v>0</v>
      </c>
      <c r="BK23">
        <f t="shared" si="11"/>
        <v>0.83240851699383855</v>
      </c>
      <c r="BL23">
        <f t="shared" si="47"/>
        <v>0</v>
      </c>
      <c r="BM23">
        <f t="shared" si="12"/>
        <v>0.50627652396956024</v>
      </c>
      <c r="BN23">
        <f t="shared" si="13"/>
        <v>0</v>
      </c>
      <c r="BO23">
        <f t="shared" si="14"/>
        <v>0</v>
      </c>
      <c r="BP23">
        <f t="shared" si="15"/>
        <v>0.39903445532485493</v>
      </c>
      <c r="BQ23">
        <f t="shared" si="16"/>
        <v>-0.11887570150661164</v>
      </c>
    </row>
    <row r="24" spans="1:69" x14ac:dyDescent="0.25">
      <c r="A24" s="1" t="s">
        <v>35</v>
      </c>
      <c r="B24">
        <f t="shared" ca="1" si="2"/>
        <v>152.24611286090794</v>
      </c>
      <c r="C24" t="s">
        <v>369</v>
      </c>
      <c r="D24">
        <f t="shared" si="17"/>
        <v>147</v>
      </c>
      <c r="E24">
        <f t="shared" si="18"/>
        <v>154.24</v>
      </c>
      <c r="F24">
        <f t="shared" si="19"/>
        <v>9.0299999999999994</v>
      </c>
      <c r="G24">
        <f t="shared" si="20"/>
        <v>27.61</v>
      </c>
      <c r="H24">
        <f t="shared" si="21"/>
        <v>6.76</v>
      </c>
      <c r="I24">
        <f t="shared" si="22"/>
        <v>4.76</v>
      </c>
      <c r="J24">
        <f t="shared" si="23"/>
        <v>-1.77</v>
      </c>
      <c r="K24">
        <f t="shared" si="24"/>
        <v>0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47</v>
      </c>
      <c r="Q24">
        <f t="shared" ca="1" si="25"/>
        <v>167.55590999999998</v>
      </c>
      <c r="R24">
        <f t="shared" ca="1" si="26"/>
        <v>17.997093</v>
      </c>
      <c r="S24" t="e">
        <f t="shared" si="27"/>
        <v>#VALUE!</v>
      </c>
      <c r="T24">
        <f t="shared" ca="1" si="28"/>
        <v>1000000</v>
      </c>
      <c r="U24">
        <f t="shared" ca="1" si="29"/>
        <v>100</v>
      </c>
      <c r="V24">
        <f t="shared" si="30"/>
        <v>47</v>
      </c>
      <c r="W24">
        <f t="shared" ca="1" si="31"/>
        <v>139.10590999999999</v>
      </c>
      <c r="X24">
        <f t="shared" ca="1" si="32"/>
        <v>17.997093</v>
      </c>
      <c r="Y24" t="e">
        <f>GetFollowingCarRow($B$45:$E$54,L24,$E$15,E24)</f>
        <v>#VALUE!</v>
      </c>
      <c r="Z24">
        <f t="shared" ca="1" si="33"/>
        <v>1000000000</v>
      </c>
      <c r="AA24">
        <f t="shared" ca="1" si="34"/>
        <v>100</v>
      </c>
      <c r="AB24">
        <f t="shared" si="35"/>
        <v>-2.8699999999999992</v>
      </c>
      <c r="AC24">
        <f t="shared" si="36"/>
        <v>28.450000000000003</v>
      </c>
      <c r="AD24">
        <f t="shared" si="37"/>
        <v>-6.5295360281195034</v>
      </c>
      <c r="AE24">
        <f t="shared" si="38"/>
        <v>185.76529999999988</v>
      </c>
      <c r="AF24">
        <f t="shared" si="39"/>
        <v>28.594394555576798</v>
      </c>
      <c r="AG24">
        <f t="shared" si="40"/>
        <v>19.491955131859822</v>
      </c>
      <c r="AH24">
        <f t="shared" si="6"/>
        <v>0.74870428696930869</v>
      </c>
      <c r="AI24">
        <f>IF(G24&lt;=0,1,0)</f>
        <v>0</v>
      </c>
      <c r="AJ24">
        <f>IF(G24&lt;0,1,0)</f>
        <v>0</v>
      </c>
      <c r="AK24">
        <f>MAX(($B$3-G24)/(G24 + 1),0) / $B$3</f>
        <v>0</v>
      </c>
      <c r="AL24">
        <f>IF(H24+ABS(K24)&lt;0,Logistic(SQRT(H24^2+K24^2)/$B$4),0)</f>
        <v>0</v>
      </c>
      <c r="AM24">
        <f>IF(G24&gt;$B$3,1,0)</f>
        <v>1</v>
      </c>
      <c r="AN24">
        <f>IF(H24&gt;$B$4,1,0)</f>
        <v>0</v>
      </c>
      <c r="AO24">
        <f>ABS(H24)/$B$4</f>
        <v>0.84499999999999997</v>
      </c>
      <c r="AP24">
        <f>Logistic(I24/$B$5)</f>
        <v>0.28902310741258913</v>
      </c>
      <c r="AQ24">
        <f>IF(I24&gt;$B$5,1,0)</f>
        <v>0</v>
      </c>
      <c r="AR24">
        <f>Logistic(ABS(F24-O24)/($B$6/2))</f>
        <v>0.2378557096003808</v>
      </c>
      <c r="AS24">
        <f>IF(OR(F24&lt;M24,F24&gt;N24),1,0)</f>
        <v>0</v>
      </c>
      <c r="AT24">
        <f>ABS(K24)/$B$4</f>
        <v>0</v>
      </c>
      <c r="AU24">
        <f t="shared" ca="1" si="41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2"/>
        <v>0</v>
      </c>
      <c r="BB24">
        <f t="shared" ca="1" si="43"/>
        <v>0</v>
      </c>
      <c r="BC24">
        <f t="shared" si="44"/>
        <v>0</v>
      </c>
      <c r="BE24">
        <f t="shared" si="7"/>
        <v>0.74870428696930869</v>
      </c>
      <c r="BF24">
        <f t="shared" si="45"/>
        <v>0</v>
      </c>
      <c r="BG24">
        <f t="shared" si="46"/>
        <v>0</v>
      </c>
      <c r="BH24">
        <f t="shared" si="8"/>
        <v>-0.11121230908869914</v>
      </c>
      <c r="BI24">
        <f t="shared" si="9"/>
        <v>1</v>
      </c>
      <c r="BJ24">
        <f t="shared" si="10"/>
        <v>0</v>
      </c>
      <c r="BK24">
        <f t="shared" si="11"/>
        <v>0.83240851699383855</v>
      </c>
      <c r="BL24">
        <f t="shared" si="47"/>
        <v>0</v>
      </c>
      <c r="BM24">
        <f t="shared" si="12"/>
        <v>0.50627652396956024</v>
      </c>
      <c r="BN24">
        <f t="shared" si="13"/>
        <v>0</v>
      </c>
      <c r="BO24">
        <f t="shared" si="14"/>
        <v>0</v>
      </c>
      <c r="BP24">
        <f t="shared" si="15"/>
        <v>0.39903445532485493</v>
      </c>
      <c r="BQ24">
        <f t="shared" si="16"/>
        <v>-0.11520516827899499</v>
      </c>
    </row>
    <row r="25" spans="1:69" x14ac:dyDescent="0.25">
      <c r="A25" s="1" t="s">
        <v>36</v>
      </c>
      <c r="B25">
        <f t="shared" ca="1" si="2"/>
        <v>122.05022883280574</v>
      </c>
      <c r="C25" t="s">
        <v>368</v>
      </c>
      <c r="D25">
        <f t="shared" si="17"/>
        <v>122</v>
      </c>
      <c r="E25">
        <f t="shared" si="18"/>
        <v>142.05000000000001</v>
      </c>
      <c r="F25">
        <f t="shared" si="19"/>
        <v>9.06</v>
      </c>
      <c r="G25">
        <f t="shared" si="20"/>
        <v>20.85</v>
      </c>
      <c r="H25">
        <f t="shared" si="21"/>
        <v>6.76</v>
      </c>
      <c r="I25">
        <f t="shared" si="22"/>
        <v>4.76</v>
      </c>
      <c r="J25">
        <f t="shared" si="23"/>
        <v>-4.79</v>
      </c>
      <c r="K25">
        <f t="shared" si="24"/>
        <v>0.01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47</v>
      </c>
      <c r="Q25">
        <f t="shared" ca="1" si="25"/>
        <v>167.55590999999998</v>
      </c>
      <c r="R25">
        <f t="shared" ca="1" si="26"/>
        <v>17.997093</v>
      </c>
      <c r="S25" t="e">
        <f t="shared" si="27"/>
        <v>#VALUE!</v>
      </c>
      <c r="T25">
        <f t="shared" ca="1" si="28"/>
        <v>1000000</v>
      </c>
      <c r="U25">
        <f t="shared" ca="1" si="29"/>
        <v>100</v>
      </c>
      <c r="V25">
        <f t="shared" si="30"/>
        <v>47</v>
      </c>
      <c r="W25">
        <f t="shared" ca="1" si="31"/>
        <v>151.29590999999999</v>
      </c>
      <c r="X25">
        <f t="shared" ca="1" si="32"/>
        <v>17.997093</v>
      </c>
      <c r="Y25" t="e">
        <f>GetFollowingCarRow($B$45:$E$54,L25,$E$15,E25)</f>
        <v>#VALUE!</v>
      </c>
      <c r="Z25">
        <f t="shared" ca="1" si="33"/>
        <v>1000000000</v>
      </c>
      <c r="AA25">
        <f t="shared" ca="1" si="34"/>
        <v>100</v>
      </c>
      <c r="AB25">
        <f t="shared" si="35"/>
        <v>-2.9000000000000004</v>
      </c>
      <c r="AC25">
        <f t="shared" si="36"/>
        <v>16.260000000000005</v>
      </c>
      <c r="AD25">
        <f t="shared" si="37"/>
        <v>-16.274870848708485</v>
      </c>
      <c r="AE25">
        <f t="shared" si="38"/>
        <v>264.62940000000003</v>
      </c>
      <c r="AF25">
        <f t="shared" si="39"/>
        <v>16.516585603568316</v>
      </c>
      <c r="AG25">
        <f t="shared" si="40"/>
        <v>40.301300739554321</v>
      </c>
      <c r="AH25">
        <f t="shared" si="6"/>
        <v>0.61690930287706502</v>
      </c>
      <c r="AI25">
        <f>IF(G25&lt;=0,1,0)</f>
        <v>0</v>
      </c>
      <c r="AJ25">
        <f>IF(G25&lt;0,1,0)</f>
        <v>0</v>
      </c>
      <c r="AK25">
        <f>MAX(($B$3-G25)/(G25 + 1),0) / $B$3</f>
        <v>7.9800369669820025E-4</v>
      </c>
      <c r="AL25">
        <f>IF(H25+ABS(K25)&lt;0,Logistic(SQRT(H25^2+K25^2)/$B$4),0)</f>
        <v>0</v>
      </c>
      <c r="AM25">
        <f>IF(G25&gt;$B$3,1,0)</f>
        <v>0</v>
      </c>
      <c r="AN25">
        <f>IF(H25&gt;$B$4,1,0)</f>
        <v>0</v>
      </c>
      <c r="AO25">
        <f>ABS(H25)/$B$4</f>
        <v>0.84499999999999997</v>
      </c>
      <c r="AP25">
        <f>Logistic(I25/$B$5)</f>
        <v>0.28902310741258913</v>
      </c>
      <c r="AQ25">
        <f>IF(I25&gt;$B$5,1,0)</f>
        <v>0</v>
      </c>
      <c r="AR25">
        <f>Logistic(ABS(F25-O25)/($B$6/2))</f>
        <v>0.23076751278236418</v>
      </c>
      <c r="AS25">
        <f>IF(OR(F25&lt;M25,F25&gt;N25),1,0)</f>
        <v>0</v>
      </c>
      <c r="AT25">
        <f>ABS(K25)/$B$4</f>
        <v>1.25E-3</v>
      </c>
      <c r="AU25">
        <f t="shared" ca="1" si="41"/>
        <v>0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</v>
      </c>
      <c r="BA25">
        <f t="shared" ca="1" si="42"/>
        <v>0</v>
      </c>
      <c r="BB25">
        <f t="shared" ca="1" si="43"/>
        <v>0</v>
      </c>
      <c r="BC25">
        <f t="shared" si="44"/>
        <v>0</v>
      </c>
      <c r="BE25">
        <f t="shared" si="7"/>
        <v>0.61690930287706502</v>
      </c>
      <c r="BF25">
        <f t="shared" si="45"/>
        <v>0</v>
      </c>
      <c r="BG25">
        <f t="shared" si="46"/>
        <v>0</v>
      </c>
      <c r="BH25">
        <f t="shared" si="8"/>
        <v>8.4666169074011019E-3</v>
      </c>
      <c r="BI25">
        <f t="shared" si="9"/>
        <v>0</v>
      </c>
      <c r="BJ25">
        <f t="shared" si="10"/>
        <v>0</v>
      </c>
      <c r="BK25">
        <f t="shared" si="11"/>
        <v>0.83240851699383855</v>
      </c>
      <c r="BL25">
        <f t="shared" si="47"/>
        <v>0</v>
      </c>
      <c r="BM25">
        <f t="shared" si="12"/>
        <v>0.50627652396956024</v>
      </c>
      <c r="BN25">
        <f t="shared" si="13"/>
        <v>0</v>
      </c>
      <c r="BO25">
        <f t="shared" si="14"/>
        <v>1.25E-3</v>
      </c>
      <c r="BP25">
        <f t="shared" si="15"/>
        <v>0.39903445532485493</v>
      </c>
      <c r="BQ25">
        <f t="shared" si="16"/>
        <v>8.87266883625208E-3</v>
      </c>
    </row>
    <row r="26" spans="1:69" x14ac:dyDescent="0.25">
      <c r="A26" s="1" t="s">
        <v>79</v>
      </c>
      <c r="B26">
        <f t="shared" ca="1" si="2"/>
        <v>265.69065650610514</v>
      </c>
      <c r="C26" t="s">
        <v>367</v>
      </c>
      <c r="D26">
        <f t="shared" si="17"/>
        <v>148</v>
      </c>
      <c r="E26">
        <f t="shared" si="18"/>
        <v>127.75</v>
      </c>
      <c r="F26">
        <f t="shared" si="19"/>
        <v>6.19</v>
      </c>
      <c r="G26">
        <f t="shared" si="20"/>
        <v>0.98</v>
      </c>
      <c r="H26">
        <f t="shared" si="21"/>
        <v>0</v>
      </c>
      <c r="I26">
        <f t="shared" si="22"/>
        <v>2</v>
      </c>
      <c r="J26">
        <f t="shared" si="23"/>
        <v>-0.02</v>
      </c>
      <c r="K26">
        <f t="shared" si="24"/>
        <v>0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>
        <f t="shared" si="5"/>
        <v>47</v>
      </c>
      <c r="Q26">
        <f t="shared" ca="1" si="25"/>
        <v>167.55590999999998</v>
      </c>
      <c r="R26">
        <f t="shared" ca="1" si="26"/>
        <v>17.997093</v>
      </c>
      <c r="S26" t="e">
        <f t="shared" si="27"/>
        <v>#VALUE!</v>
      </c>
      <c r="T26">
        <f t="shared" ca="1" si="28"/>
        <v>1000000</v>
      </c>
      <c r="U26">
        <f t="shared" ca="1" si="29"/>
        <v>100</v>
      </c>
      <c r="V26">
        <f t="shared" si="30"/>
        <v>47</v>
      </c>
      <c r="W26">
        <f t="shared" ca="1" si="31"/>
        <v>165.59591</v>
      </c>
      <c r="X26">
        <f t="shared" ca="1" si="32"/>
        <v>17.997093</v>
      </c>
      <c r="Y26" t="e">
        <f>GetFollowingCarRow($B$45:$E$54,L26,$E$15,E26)</f>
        <v>#VALUE!</v>
      </c>
      <c r="Z26">
        <f t="shared" ca="1" si="33"/>
        <v>1000000000</v>
      </c>
      <c r="AA26">
        <f t="shared" ca="1" si="34"/>
        <v>100</v>
      </c>
      <c r="AB26">
        <f t="shared" si="35"/>
        <v>-3.0000000000000249E-2</v>
      </c>
      <c r="AC26">
        <f t="shared" si="36"/>
        <v>1.9599999999999937</v>
      </c>
      <c r="AD26">
        <f t="shared" si="37"/>
        <v>4.2346428571428349</v>
      </c>
      <c r="AE26">
        <f t="shared" si="38"/>
        <v>-8.2998999999999299</v>
      </c>
      <c r="AF26">
        <f t="shared" si="39"/>
        <v>1.9602295783912598</v>
      </c>
      <c r="AG26">
        <f t="shared" si="40"/>
        <v>1.9698106194116363</v>
      </c>
      <c r="AH26">
        <f t="shared" si="6"/>
        <v>0.75306590486955205</v>
      </c>
      <c r="AI26">
        <f>IF(G26&lt;=0,1,0)</f>
        <v>0</v>
      </c>
      <c r="AJ26">
        <f>IF(G26&lt;0,1,0)</f>
        <v>0</v>
      </c>
      <c r="AK26">
        <f>MAX(($B$3-G26)/(G26 + 1),0) / $B$3</f>
        <v>0.48172583516598594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0.12435300177159621</v>
      </c>
      <c r="AQ26">
        <f>IF(I26&gt;$B$5,1,0)</f>
        <v>0</v>
      </c>
      <c r="AR26">
        <f>Logistic(ABS(F26-O26)/($B$6/2))</f>
        <v>0.74091276216064328</v>
      </c>
      <c r="AS26">
        <f>IF(OR(F26&lt;M26,F26&gt;N26),1,0)</f>
        <v>1</v>
      </c>
      <c r="AT26">
        <f>ABS(K26)/$B$4</f>
        <v>0</v>
      </c>
      <c r="AU26">
        <f t="shared" ca="1" si="41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2"/>
        <v>0</v>
      </c>
      <c r="BB26">
        <f t="shared" ca="1" si="43"/>
        <v>0</v>
      </c>
      <c r="BC26">
        <f t="shared" si="44"/>
        <v>0</v>
      </c>
      <c r="BE26">
        <f t="shared" si="7"/>
        <v>0.75306590486955205</v>
      </c>
      <c r="BF26">
        <f t="shared" si="45"/>
        <v>0</v>
      </c>
      <c r="BG26">
        <f t="shared" si="46"/>
        <v>0</v>
      </c>
      <c r="BH26">
        <f t="shared" si="8"/>
        <v>0.99992729579934525</v>
      </c>
      <c r="BI26">
        <f t="shared" si="9"/>
        <v>0</v>
      </c>
      <c r="BJ26">
        <f t="shared" si="10"/>
        <v>0</v>
      </c>
      <c r="BK26">
        <f t="shared" si="11"/>
        <v>0</v>
      </c>
      <c r="BL26">
        <f t="shared" si="47"/>
        <v>0</v>
      </c>
      <c r="BM26">
        <f t="shared" si="12"/>
        <v>4.9787068367863944E-2</v>
      </c>
      <c r="BN26">
        <f t="shared" si="13"/>
        <v>0.4524999999999999</v>
      </c>
      <c r="BO26">
        <f t="shared" si="14"/>
        <v>0</v>
      </c>
      <c r="BP26">
        <f t="shared" si="15"/>
        <v>0</v>
      </c>
      <c r="BQ26">
        <f t="shared" si="16"/>
        <v>0.99999999785454474</v>
      </c>
    </row>
    <row r="27" spans="1:69" x14ac:dyDescent="0.25">
      <c r="A27" s="1" t="s">
        <v>80</v>
      </c>
      <c r="B27">
        <f t="shared" ca="1" si="2"/>
        <v>265.69065650610514</v>
      </c>
      <c r="C27" t="s">
        <v>366</v>
      </c>
      <c r="D27">
        <f t="shared" si="17"/>
        <v>148</v>
      </c>
      <c r="E27">
        <f t="shared" si="18"/>
        <v>127.75</v>
      </c>
      <c r="F27">
        <f t="shared" si="19"/>
        <v>6.2</v>
      </c>
      <c r="G27">
        <f t="shared" si="20"/>
        <v>0.98</v>
      </c>
      <c r="H27">
        <f t="shared" si="21"/>
        <v>0</v>
      </c>
      <c r="I27">
        <f t="shared" si="22"/>
        <v>2</v>
      </c>
      <c r="J27">
        <f t="shared" si="23"/>
        <v>-0.03</v>
      </c>
      <c r="K27">
        <f t="shared" si="24"/>
        <v>0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>
        <f t="shared" si="5"/>
        <v>47</v>
      </c>
      <c r="Q27">
        <f t="shared" ca="1" si="25"/>
        <v>167.55590999999998</v>
      </c>
      <c r="R27">
        <f t="shared" ca="1" si="26"/>
        <v>17.997093</v>
      </c>
      <c r="S27" t="e">
        <f t="shared" si="27"/>
        <v>#VALUE!</v>
      </c>
      <c r="T27">
        <f t="shared" ca="1" si="28"/>
        <v>1000000</v>
      </c>
      <c r="U27">
        <f t="shared" ca="1" si="29"/>
        <v>100</v>
      </c>
      <c r="V27">
        <f t="shared" si="30"/>
        <v>47</v>
      </c>
      <c r="W27">
        <f t="shared" ca="1" si="31"/>
        <v>165.59591</v>
      </c>
      <c r="X27">
        <f t="shared" ca="1" si="32"/>
        <v>17.997093</v>
      </c>
      <c r="Y27" t="e">
        <f>GetFollowingCarRow($B$45:$E$54,L27,$E$15,E27)</f>
        <v>#VALUE!</v>
      </c>
      <c r="Z27">
        <f t="shared" ca="1" si="33"/>
        <v>1000000000</v>
      </c>
      <c r="AA27">
        <f t="shared" ca="1" si="34"/>
        <v>100</v>
      </c>
      <c r="AB27">
        <f t="shared" si="35"/>
        <v>-4.0000000000000036E-2</v>
      </c>
      <c r="AC27">
        <f t="shared" si="36"/>
        <v>1.9599999999999937</v>
      </c>
      <c r="AD27">
        <f t="shared" si="37"/>
        <v>3.5928571428571328</v>
      </c>
      <c r="AE27">
        <f t="shared" si="38"/>
        <v>-7.0419999999999581</v>
      </c>
      <c r="AF27">
        <f t="shared" si="39"/>
        <v>1.9604081207748492</v>
      </c>
      <c r="AG27">
        <f t="shared" si="40"/>
        <v>0.62725118661206569</v>
      </c>
      <c r="AH27">
        <f t="shared" si="6"/>
        <v>0.75306590486955205</v>
      </c>
      <c r="AI27">
        <f>IF(G27&lt;=0,1,0)</f>
        <v>0</v>
      </c>
      <c r="AJ27">
        <f>IF(G27&lt;0,1,0)</f>
        <v>0</v>
      </c>
      <c r="AK27">
        <f>MAX(($B$3-G27)/(G27 + 1),0) / $B$3</f>
        <v>0.48172583516598594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0</v>
      </c>
      <c r="AP27">
        <f>Logistic(I27/$B$5)</f>
        <v>0.12435300177159621</v>
      </c>
      <c r="AQ27">
        <f>IF(I27&gt;$B$5,1,0)</f>
        <v>0</v>
      </c>
      <c r="AR27">
        <f>Logistic(ABS(F27-O27)/($B$6/2))</f>
        <v>0.73978305127400423</v>
      </c>
      <c r="AS27">
        <f>IF(OR(F27&lt;M27,F27&gt;N27),1,0)</f>
        <v>1</v>
      </c>
      <c r="AT27">
        <f>ABS(K27)/$B$4</f>
        <v>0</v>
      </c>
      <c r="AU27">
        <f t="shared" ca="1" si="41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</v>
      </c>
      <c r="BA27">
        <f t="shared" ca="1" si="42"/>
        <v>0</v>
      </c>
      <c r="BB27">
        <f t="shared" ca="1" si="43"/>
        <v>0</v>
      </c>
      <c r="BC27">
        <f t="shared" si="44"/>
        <v>0</v>
      </c>
      <c r="BE27">
        <f t="shared" si="7"/>
        <v>0.75306590486955205</v>
      </c>
      <c r="BF27">
        <f t="shared" si="45"/>
        <v>0</v>
      </c>
      <c r="BG27">
        <f t="shared" si="46"/>
        <v>0</v>
      </c>
      <c r="BH27">
        <f t="shared" si="8"/>
        <v>0.99992729579934525</v>
      </c>
      <c r="BI27">
        <f t="shared" si="9"/>
        <v>0</v>
      </c>
      <c r="BJ27">
        <f t="shared" si="10"/>
        <v>0</v>
      </c>
      <c r="BK27">
        <f t="shared" si="11"/>
        <v>0</v>
      </c>
      <c r="BL27">
        <f t="shared" si="47"/>
        <v>0</v>
      </c>
      <c r="BM27">
        <f t="shared" si="12"/>
        <v>4.9787068367863944E-2</v>
      </c>
      <c r="BN27">
        <f t="shared" si="13"/>
        <v>0.44999999999999996</v>
      </c>
      <c r="BO27">
        <f t="shared" si="14"/>
        <v>0</v>
      </c>
      <c r="BP27">
        <f t="shared" si="15"/>
        <v>0</v>
      </c>
      <c r="BQ27">
        <f t="shared" si="16"/>
        <v>0.99999999785454474</v>
      </c>
    </row>
    <row r="28" spans="1:69" x14ac:dyDescent="0.25">
      <c r="A28" s="1" t="s">
        <v>81</v>
      </c>
      <c r="B28">
        <f t="shared" ca="1" si="2"/>
        <v>265.69065650610514</v>
      </c>
      <c r="C28" t="s">
        <v>365</v>
      </c>
      <c r="D28">
        <f t="shared" si="17"/>
        <v>148</v>
      </c>
      <c r="E28">
        <f t="shared" si="18"/>
        <v>127.75</v>
      </c>
      <c r="F28">
        <f t="shared" si="19"/>
        <v>6.24</v>
      </c>
      <c r="G28">
        <f t="shared" si="20"/>
        <v>0.98</v>
      </c>
      <c r="H28">
        <f t="shared" si="21"/>
        <v>0</v>
      </c>
      <c r="I28">
        <f t="shared" si="22"/>
        <v>2</v>
      </c>
      <c r="J28">
        <f t="shared" si="23"/>
        <v>-7.0000000000000007E-2</v>
      </c>
      <c r="K28">
        <f t="shared" si="24"/>
        <v>0.01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>
        <f t="shared" si="5"/>
        <v>47</v>
      </c>
      <c r="Q28">
        <f t="shared" ca="1" si="25"/>
        <v>167.55590999999998</v>
      </c>
      <c r="R28">
        <f t="shared" ca="1" si="26"/>
        <v>17.997093</v>
      </c>
      <c r="S28" t="e">
        <f t="shared" si="27"/>
        <v>#VALUE!</v>
      </c>
      <c r="T28">
        <f t="shared" ca="1" si="28"/>
        <v>1000000</v>
      </c>
      <c r="U28">
        <f t="shared" ca="1" si="29"/>
        <v>100</v>
      </c>
      <c r="V28">
        <f t="shared" si="30"/>
        <v>47</v>
      </c>
      <c r="W28">
        <f t="shared" ca="1" si="31"/>
        <v>165.59591</v>
      </c>
      <c r="X28">
        <f t="shared" ca="1" si="32"/>
        <v>17.997093</v>
      </c>
      <c r="Y28" t="e">
        <f>GetFollowingCarRow($B$45:$E$54,L28,$E$15,E28)</f>
        <v>#VALUE!</v>
      </c>
      <c r="Z28">
        <f t="shared" ca="1" si="33"/>
        <v>1000000000</v>
      </c>
      <c r="AA28">
        <f t="shared" ca="1" si="34"/>
        <v>100</v>
      </c>
      <c r="AB28">
        <f t="shared" si="35"/>
        <v>-8.0000000000000071E-2</v>
      </c>
      <c r="AC28">
        <f t="shared" si="36"/>
        <v>1.9599999999999937</v>
      </c>
      <c r="AD28">
        <f t="shared" si="37"/>
        <v>1.0257142857142654</v>
      </c>
      <c r="AE28">
        <f t="shared" si="38"/>
        <v>-2.0103999999999536</v>
      </c>
      <c r="AF28">
        <f t="shared" si="39"/>
        <v>1.9616319736382704</v>
      </c>
      <c r="AG28">
        <f t="shared" si="40"/>
        <v>1.9701819974069994</v>
      </c>
      <c r="AH28">
        <f t="shared" si="6"/>
        <v>0.75306590486955205</v>
      </c>
      <c r="AI28">
        <f>IF(G28&lt;=0,1,0)</f>
        <v>0</v>
      </c>
      <c r="AJ28">
        <f>IF(G28&lt;0,1,0)</f>
        <v>0</v>
      </c>
      <c r="AK28">
        <f>MAX(($B$3-G28)/(G28 + 1),0) / $B$3</f>
        <v>0.48172583516598594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0</v>
      </c>
      <c r="AP28">
        <f>Logistic(I28/$B$5)</f>
        <v>0.12435300177159621</v>
      </c>
      <c r="AQ28">
        <f>IF(I28&gt;$B$5,1,0)</f>
        <v>0</v>
      </c>
      <c r="AR28">
        <f>Logistic(ABS(F28-O28)/($B$6/2))</f>
        <v>0.73522225291586918</v>
      </c>
      <c r="AS28">
        <f>IF(OR(F28&lt;M28,F28&gt;N28),1,0)</f>
        <v>1</v>
      </c>
      <c r="AT28">
        <f>ABS(K28)/$B$4</f>
        <v>1.25E-3</v>
      </c>
      <c r="AU28">
        <f t="shared" ca="1" si="41"/>
        <v>0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</v>
      </c>
      <c r="BA28">
        <f t="shared" ca="1" si="42"/>
        <v>0</v>
      </c>
      <c r="BB28">
        <f t="shared" ca="1" si="43"/>
        <v>0</v>
      </c>
      <c r="BC28">
        <f t="shared" si="44"/>
        <v>0</v>
      </c>
      <c r="BE28">
        <f t="shared" si="7"/>
        <v>0.75306590486955205</v>
      </c>
      <c r="BF28">
        <f t="shared" si="45"/>
        <v>0</v>
      </c>
      <c r="BG28">
        <f t="shared" si="46"/>
        <v>0</v>
      </c>
      <c r="BH28">
        <f t="shared" si="8"/>
        <v>0.99992729579934525</v>
      </c>
      <c r="BI28">
        <f t="shared" si="9"/>
        <v>0</v>
      </c>
      <c r="BJ28">
        <f t="shared" si="10"/>
        <v>0</v>
      </c>
      <c r="BK28">
        <f t="shared" si="11"/>
        <v>0</v>
      </c>
      <c r="BL28">
        <f t="shared" si="47"/>
        <v>0</v>
      </c>
      <c r="BM28">
        <f t="shared" si="12"/>
        <v>4.9787068367863944E-2</v>
      </c>
      <c r="BN28">
        <f t="shared" si="13"/>
        <v>0.43999999999999995</v>
      </c>
      <c r="BO28">
        <f t="shared" si="14"/>
        <v>1.25E-3</v>
      </c>
      <c r="BP28">
        <f t="shared" si="15"/>
        <v>0</v>
      </c>
      <c r="BQ28">
        <f t="shared" si="16"/>
        <v>0.99999999785454474</v>
      </c>
    </row>
    <row r="29" spans="1:69" x14ac:dyDescent="0.25">
      <c r="A29" s="1" t="s">
        <v>22</v>
      </c>
      <c r="B29">
        <f t="shared" ca="1" si="2"/>
        <v>148.10251512887473</v>
      </c>
      <c r="C29" t="s">
        <v>364</v>
      </c>
      <c r="D29">
        <f t="shared" si="17"/>
        <v>148</v>
      </c>
      <c r="E29">
        <f t="shared" si="18"/>
        <v>143.75</v>
      </c>
      <c r="F29">
        <f t="shared" si="19"/>
        <v>7.19</v>
      </c>
      <c r="G29">
        <f t="shared" si="20"/>
        <v>16.899999999999999</v>
      </c>
      <c r="H29">
        <f t="shared" si="21"/>
        <v>4</v>
      </c>
      <c r="I29">
        <f t="shared" si="22"/>
        <v>2</v>
      </c>
      <c r="J29">
        <f t="shared" si="23"/>
        <v>-1.44</v>
      </c>
      <c r="K29">
        <f t="shared" si="24"/>
        <v>0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>
        <f t="shared" si="5"/>
        <v>47</v>
      </c>
      <c r="Q29">
        <f t="shared" ca="1" si="25"/>
        <v>167.55590999999998</v>
      </c>
      <c r="R29">
        <f t="shared" ca="1" si="26"/>
        <v>17.997093</v>
      </c>
      <c r="S29" t="e">
        <f t="shared" si="27"/>
        <v>#VALUE!</v>
      </c>
      <c r="T29">
        <f t="shared" ca="1" si="28"/>
        <v>1000000</v>
      </c>
      <c r="U29">
        <f t="shared" ca="1" si="29"/>
        <v>100</v>
      </c>
      <c r="V29">
        <f t="shared" si="30"/>
        <v>47</v>
      </c>
      <c r="W29">
        <f t="shared" ca="1" si="31"/>
        <v>149.59591</v>
      </c>
      <c r="X29">
        <f t="shared" ca="1" si="32"/>
        <v>17.997093</v>
      </c>
      <c r="Y29" t="e">
        <f>GetFollowingCarRow($B$45:$E$54,L29,$E$15,E29)</f>
        <v>#VALUE!</v>
      </c>
      <c r="Z29">
        <f t="shared" ca="1" si="33"/>
        <v>1000000000</v>
      </c>
      <c r="AA29">
        <f t="shared" ca="1" si="34"/>
        <v>100</v>
      </c>
      <c r="AB29">
        <f t="shared" si="35"/>
        <v>-1.0300000000000002</v>
      </c>
      <c r="AC29">
        <f t="shared" si="36"/>
        <v>17.959999999999994</v>
      </c>
      <c r="AD29">
        <f t="shared" si="37"/>
        <v>-1.0540144766147037</v>
      </c>
      <c r="AE29">
        <f t="shared" si="38"/>
        <v>18.930100000000071</v>
      </c>
      <c r="AF29">
        <f t="shared" si="39"/>
        <v>17.989510832704699</v>
      </c>
      <c r="AG29">
        <f t="shared" si="40"/>
        <v>6.8106191235206284</v>
      </c>
      <c r="AH29">
        <f t="shared" si="6"/>
        <v>0.75306590486955205</v>
      </c>
      <c r="AI29">
        <f>IF(G29&lt;=0,1,0)</f>
        <v>0</v>
      </c>
      <c r="AJ29">
        <f>IF(G29&lt;0,1,0)</f>
        <v>0</v>
      </c>
      <c r="AK29">
        <f>MAX(($B$3-G29)/(G29 + 1),0) / $B$3</f>
        <v>1.1373269657064328E-2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0.5</v>
      </c>
      <c r="AP29">
        <f>Logistic(I29/$B$5)</f>
        <v>0.12435300177159621</v>
      </c>
      <c r="AQ29">
        <f>IF(I29&gt;$B$5,1,0)</f>
        <v>0</v>
      </c>
      <c r="AR29">
        <f>Logistic(ABS(F29-O29)/($B$6/2))</f>
        <v>0.60595222881230759</v>
      </c>
      <c r="AS29">
        <f>IF(OR(F29&lt;M29,F29&gt;N29),1,0)</f>
        <v>1</v>
      </c>
      <c r="AT29">
        <f>ABS(K29)/$B$4</f>
        <v>0</v>
      </c>
      <c r="AU29">
        <f t="shared" ca="1" si="41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2"/>
        <v>0</v>
      </c>
      <c r="BB29">
        <f t="shared" ca="1" si="43"/>
        <v>0</v>
      </c>
      <c r="BC29">
        <f t="shared" si="44"/>
        <v>0</v>
      </c>
      <c r="BE29">
        <f t="shared" si="7"/>
        <v>0.75306590486955205</v>
      </c>
      <c r="BF29">
        <f t="shared" si="45"/>
        <v>0</v>
      </c>
      <c r="BG29">
        <f t="shared" si="46"/>
        <v>0</v>
      </c>
      <c r="BH29">
        <f t="shared" si="8"/>
        <v>0.1200880748860981</v>
      </c>
      <c r="BI29">
        <f t="shared" si="9"/>
        <v>0</v>
      </c>
      <c r="BJ29">
        <f t="shared" si="10"/>
        <v>0</v>
      </c>
      <c r="BK29">
        <f t="shared" si="11"/>
        <v>0.36787944117144233</v>
      </c>
      <c r="BL29">
        <f t="shared" si="47"/>
        <v>0</v>
      </c>
      <c r="BM29">
        <f t="shared" si="12"/>
        <v>4.9787068367863944E-2</v>
      </c>
      <c r="BN29">
        <f t="shared" si="13"/>
        <v>0.2024999999999999</v>
      </c>
      <c r="BO29">
        <f t="shared" si="14"/>
        <v>0</v>
      </c>
      <c r="BP29">
        <f t="shared" si="15"/>
        <v>0.24491866240370913</v>
      </c>
      <c r="BQ29">
        <f t="shared" si="16"/>
        <v>0.12711921557255645</v>
      </c>
    </row>
    <row r="30" spans="1:69" x14ac:dyDescent="0.25">
      <c r="A30" s="1" t="s">
        <v>21</v>
      </c>
      <c r="B30">
        <f t="shared" ca="1" si="2"/>
        <v>148.10251512887473</v>
      </c>
      <c r="C30" t="s">
        <v>363</v>
      </c>
      <c r="D30">
        <f t="shared" si="17"/>
        <v>148</v>
      </c>
      <c r="E30">
        <f t="shared" si="18"/>
        <v>143.75</v>
      </c>
      <c r="F30">
        <f t="shared" si="19"/>
        <v>7.9</v>
      </c>
      <c r="G30">
        <f t="shared" si="20"/>
        <v>16.899999999999999</v>
      </c>
      <c r="H30">
        <f t="shared" si="21"/>
        <v>4</v>
      </c>
      <c r="I30">
        <f t="shared" si="22"/>
        <v>2</v>
      </c>
      <c r="J30">
        <f t="shared" si="23"/>
        <v>-2.2999999999999998</v>
      </c>
      <c r="K30">
        <f t="shared" si="24"/>
        <v>0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>
        <f t="shared" si="5"/>
        <v>47</v>
      </c>
      <c r="Q30">
        <f t="shared" ca="1" si="25"/>
        <v>167.55590999999998</v>
      </c>
      <c r="R30">
        <f t="shared" ca="1" si="26"/>
        <v>17.997093</v>
      </c>
      <c r="S30" t="e">
        <f t="shared" si="27"/>
        <v>#VALUE!</v>
      </c>
      <c r="T30">
        <f t="shared" ca="1" si="28"/>
        <v>1000000</v>
      </c>
      <c r="U30">
        <f t="shared" ca="1" si="29"/>
        <v>100</v>
      </c>
      <c r="V30">
        <f t="shared" si="30"/>
        <v>47</v>
      </c>
      <c r="W30">
        <f t="shared" ca="1" si="31"/>
        <v>149.59591</v>
      </c>
      <c r="X30">
        <f t="shared" ca="1" si="32"/>
        <v>17.997093</v>
      </c>
      <c r="Y30" t="e">
        <f>GetFollowingCarRow($B$45:$E$54,L30,$E$15,E30)</f>
        <v>#VALUE!</v>
      </c>
      <c r="Z30">
        <f t="shared" ca="1" si="33"/>
        <v>1000000000</v>
      </c>
      <c r="AA30">
        <f t="shared" ca="1" si="34"/>
        <v>100</v>
      </c>
      <c r="AB30">
        <f t="shared" si="35"/>
        <v>-1.7400000000000002</v>
      </c>
      <c r="AC30">
        <f t="shared" si="36"/>
        <v>17.959999999999994</v>
      </c>
      <c r="AD30">
        <f t="shared" si="37"/>
        <v>-6.0267817371937689</v>
      </c>
      <c r="AE30">
        <f t="shared" si="38"/>
        <v>108.24100000000006</v>
      </c>
      <c r="AF30">
        <f t="shared" si="39"/>
        <v>18.044090445350793</v>
      </c>
      <c r="AG30">
        <f t="shared" si="40"/>
        <v>18.33261164378791</v>
      </c>
      <c r="AH30">
        <f t="shared" si="6"/>
        <v>0.75306590486955205</v>
      </c>
      <c r="AI30">
        <f>IF(G30&lt;=0,1,0)</f>
        <v>0</v>
      </c>
      <c r="AJ30">
        <f>IF(G30&lt;0,1,0)</f>
        <v>0</v>
      </c>
      <c r="AK30">
        <f>MAX(($B$3-G30)/(G30 + 1),0) / $B$3</f>
        <v>1.1373269657064328E-2</v>
      </c>
      <c r="AL30">
        <f>IF(H30+ABS(K30)&lt;0,Logistic(SQRT(H30^2+K30^2)/$B$4),0)</f>
        <v>0</v>
      </c>
      <c r="AM30">
        <f>IF(G30&gt;$B$3,1,0)</f>
        <v>0</v>
      </c>
      <c r="AN30">
        <f>IF(H30&gt;$B$4,1,0)</f>
        <v>0</v>
      </c>
      <c r="AO30">
        <f>ABS(H30)/$B$4</f>
        <v>0.5</v>
      </c>
      <c r="AP30">
        <f>Logistic(I30/$B$5)</f>
        <v>0.12435300177159621</v>
      </c>
      <c r="AQ30">
        <f>IF(I30&gt;$B$5,1,0)</f>
        <v>0</v>
      </c>
      <c r="AR30">
        <f>Logistic(ABS(F30-O30)/($B$6/2))</f>
        <v>0.48154979836430789</v>
      </c>
      <c r="AS30">
        <f>IF(OR(F30&lt;M30,F30&gt;N30),1,0)</f>
        <v>1</v>
      </c>
      <c r="AT30">
        <f>ABS(K30)/$B$4</f>
        <v>0</v>
      </c>
      <c r="AU30">
        <f t="shared" ca="1" si="41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</v>
      </c>
      <c r="BA30">
        <f t="shared" ca="1" si="42"/>
        <v>0</v>
      </c>
      <c r="BB30">
        <f t="shared" ca="1" si="43"/>
        <v>0</v>
      </c>
      <c r="BC30">
        <f t="shared" si="44"/>
        <v>0</v>
      </c>
      <c r="BE30">
        <f t="shared" si="7"/>
        <v>0.75306590486955205</v>
      </c>
      <c r="BF30">
        <f t="shared" si="45"/>
        <v>0</v>
      </c>
      <c r="BG30">
        <f t="shared" si="46"/>
        <v>0</v>
      </c>
      <c r="BH30">
        <f t="shared" si="8"/>
        <v>0.1200880748860981</v>
      </c>
      <c r="BI30">
        <f t="shared" si="9"/>
        <v>0</v>
      </c>
      <c r="BJ30">
        <f t="shared" si="10"/>
        <v>0</v>
      </c>
      <c r="BK30">
        <f t="shared" si="11"/>
        <v>0.36787944117144233</v>
      </c>
      <c r="BL30">
        <f t="shared" si="47"/>
        <v>0</v>
      </c>
      <c r="BM30">
        <f t="shared" si="12"/>
        <v>4.9787068367863944E-2</v>
      </c>
      <c r="BN30">
        <f t="shared" si="13"/>
        <v>2.4999999999999911E-2</v>
      </c>
      <c r="BO30">
        <f t="shared" si="14"/>
        <v>0</v>
      </c>
      <c r="BP30">
        <f t="shared" si="15"/>
        <v>0.24491866240370913</v>
      </c>
      <c r="BQ30">
        <f t="shared" si="16"/>
        <v>0.12711921557255645</v>
      </c>
    </row>
    <row r="31" spans="1:69" x14ac:dyDescent="0.25">
      <c r="A31" s="1" t="s">
        <v>20</v>
      </c>
      <c r="B31">
        <f t="shared" ca="1" si="2"/>
        <v>125.71929352474356</v>
      </c>
      <c r="C31" t="s">
        <v>362</v>
      </c>
      <c r="D31">
        <f t="shared" si="17"/>
        <v>143</v>
      </c>
      <c r="E31">
        <f t="shared" si="18"/>
        <v>142.1</v>
      </c>
      <c r="F31">
        <f t="shared" si="19"/>
        <v>9.07</v>
      </c>
      <c r="G31">
        <f t="shared" si="20"/>
        <v>16.100000000000001</v>
      </c>
      <c r="H31">
        <f t="shared" si="21"/>
        <v>4</v>
      </c>
      <c r="I31">
        <f t="shared" si="22"/>
        <v>2</v>
      </c>
      <c r="J31">
        <f t="shared" si="23"/>
        <v>-3.68</v>
      </c>
      <c r="K31">
        <f t="shared" si="24"/>
        <v>0.01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>
        <f t="shared" si="5"/>
        <v>47</v>
      </c>
      <c r="Q31">
        <f t="shared" ca="1" si="25"/>
        <v>167.55590999999998</v>
      </c>
      <c r="R31">
        <f t="shared" ca="1" si="26"/>
        <v>17.997093</v>
      </c>
      <c r="S31" t="e">
        <f t="shared" si="27"/>
        <v>#VALUE!</v>
      </c>
      <c r="T31">
        <f t="shared" ca="1" si="28"/>
        <v>1000000</v>
      </c>
      <c r="U31">
        <f t="shared" ca="1" si="29"/>
        <v>100</v>
      </c>
      <c r="V31">
        <f t="shared" si="30"/>
        <v>47</v>
      </c>
      <c r="W31">
        <f t="shared" ca="1" si="31"/>
        <v>151.24591000000001</v>
      </c>
      <c r="X31">
        <f t="shared" ca="1" si="32"/>
        <v>17.997093</v>
      </c>
      <c r="Y31" t="e">
        <f>GetFollowingCarRow($B$45:$E$54,L31,$E$15,E31)</f>
        <v>#VALUE!</v>
      </c>
      <c r="Z31">
        <f t="shared" ca="1" si="33"/>
        <v>1000000000</v>
      </c>
      <c r="AA31">
        <f t="shared" ca="1" si="34"/>
        <v>100</v>
      </c>
      <c r="AB31">
        <f t="shared" si="35"/>
        <v>-2.91</v>
      </c>
      <c r="AC31">
        <f t="shared" si="36"/>
        <v>16.309999999999988</v>
      </c>
      <c r="AD31">
        <f t="shared" si="37"/>
        <v>-16.283218884120192</v>
      </c>
      <c r="AE31">
        <f t="shared" si="38"/>
        <v>265.57930000000016</v>
      </c>
      <c r="AF31">
        <f t="shared" si="39"/>
        <v>16.56756469732349</v>
      </c>
      <c r="AG31">
        <f t="shared" si="40"/>
        <v>40.318031498492452</v>
      </c>
      <c r="AH31">
        <f t="shared" si="6"/>
        <v>0.73059389609594383</v>
      </c>
      <c r="AI31">
        <f>IF(G31&lt;=0,1,0)</f>
        <v>0</v>
      </c>
      <c r="AJ31">
        <f>IF(G31&lt;0,1,0)</f>
        <v>0</v>
      </c>
      <c r="AK31">
        <f>MAX(($B$3-G31)/(G31 + 1),0) / $B$3</f>
        <v>1.4110047345822923E-2</v>
      </c>
      <c r="AL31">
        <f>IF(H31+ABS(K31)&lt;0,Logistic(SQRT(H31^2+K31^2)/$B$4),0)</f>
        <v>0</v>
      </c>
      <c r="AM31">
        <f>IF(G31&gt;$B$3,1,0)</f>
        <v>0</v>
      </c>
      <c r="AN31">
        <f>IF(H31&gt;$B$4,1,0)</f>
        <v>0</v>
      </c>
      <c r="AO31">
        <f>ABS(H31)/$B$4</f>
        <v>0.5</v>
      </c>
      <c r="AP31">
        <f>Logistic(I31/$B$5)</f>
        <v>0.12435300177159621</v>
      </c>
      <c r="AQ31">
        <f>IF(I31&gt;$B$5,1,0)</f>
        <v>0</v>
      </c>
      <c r="AR31">
        <f>Logistic(ABS(F31-O31)/($B$6/2))</f>
        <v>0.22839928555379024</v>
      </c>
      <c r="AS31">
        <f>IF(OR(F31&lt;M31,F31&gt;N31),1,0)</f>
        <v>0</v>
      </c>
      <c r="AT31">
        <f>ABS(K31)/$B$4</f>
        <v>1.25E-3</v>
      </c>
      <c r="AU31">
        <f t="shared" ca="1" si="41"/>
        <v>0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</v>
      </c>
      <c r="BA31">
        <f t="shared" ca="1" si="42"/>
        <v>0</v>
      </c>
      <c r="BB31">
        <f t="shared" ca="1" si="43"/>
        <v>0</v>
      </c>
      <c r="BC31">
        <f t="shared" si="44"/>
        <v>0</v>
      </c>
      <c r="BE31">
        <f t="shared" si="7"/>
        <v>0.73059389609594383</v>
      </c>
      <c r="BF31">
        <f t="shared" si="45"/>
        <v>0</v>
      </c>
      <c r="BG31">
        <f t="shared" si="46"/>
        <v>0</v>
      </c>
      <c r="BH31">
        <f t="shared" si="8"/>
        <v>0.14859910502993109</v>
      </c>
      <c r="BI31">
        <f t="shared" si="9"/>
        <v>0</v>
      </c>
      <c r="BJ31">
        <f t="shared" si="10"/>
        <v>0</v>
      </c>
      <c r="BK31">
        <f t="shared" si="11"/>
        <v>0.36787944117144233</v>
      </c>
      <c r="BL31">
        <f t="shared" si="47"/>
        <v>0</v>
      </c>
      <c r="BM31">
        <f t="shared" si="12"/>
        <v>4.9787068367863944E-2</v>
      </c>
      <c r="BN31">
        <f t="shared" si="13"/>
        <v>0</v>
      </c>
      <c r="BO31">
        <f t="shared" si="14"/>
        <v>1.25E-3</v>
      </c>
      <c r="BP31">
        <f t="shared" si="15"/>
        <v>0.24491866240370913</v>
      </c>
      <c r="BQ31">
        <f t="shared" si="16"/>
        <v>0.15767957604892086</v>
      </c>
    </row>
    <row r="32" spans="1:69" x14ac:dyDescent="0.25">
      <c r="A32" s="1" t="s">
        <v>37</v>
      </c>
      <c r="B32">
        <f t="shared" ca="1" si="2"/>
        <v>152.17769224454725</v>
      </c>
      <c r="C32" t="s">
        <v>361</v>
      </c>
      <c r="D32">
        <f t="shared" si="17"/>
        <v>142</v>
      </c>
      <c r="E32">
        <f t="shared" si="18"/>
        <v>151.53</v>
      </c>
      <c r="F32">
        <f t="shared" si="19"/>
        <v>2.92</v>
      </c>
      <c r="G32">
        <f t="shared" si="20"/>
        <v>26.26</v>
      </c>
      <c r="H32">
        <f t="shared" si="21"/>
        <v>6.76</v>
      </c>
      <c r="I32">
        <f t="shared" si="22"/>
        <v>4.76</v>
      </c>
      <c r="J32">
        <f t="shared" si="23"/>
        <v>5.26</v>
      </c>
      <c r="K32">
        <f t="shared" si="24"/>
        <v>0</v>
      </c>
      <c r="L32">
        <f t="shared" si="3"/>
        <v>1</v>
      </c>
      <c r="M32">
        <f t="shared" ref="M32:M37" si="48">$B$6*(L32-1)</f>
        <v>0</v>
      </c>
      <c r="N32">
        <f t="shared" ref="N32:N37" si="49">$B$6*L32</f>
        <v>4</v>
      </c>
      <c r="O32">
        <f t="shared" si="4"/>
        <v>2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>
        <f t="shared" si="27"/>
        <v>45</v>
      </c>
      <c r="T32">
        <f t="shared" ca="1" si="28"/>
        <v>-71.938890000000015</v>
      </c>
      <c r="U32">
        <f t="shared" ca="1" si="29"/>
        <v>24.123270999999999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>
        <f>GetFollowingCarRow($B$45:$E$54,L32,$E$15,E32)</f>
        <v>45</v>
      </c>
      <c r="Z32">
        <f t="shared" ca="1" si="33"/>
        <v>-97.678889999999996</v>
      </c>
      <c r="AA32">
        <f t="shared" ca="1" si="34"/>
        <v>24.123270999999999</v>
      </c>
      <c r="AB32">
        <f t="shared" si="35"/>
        <v>3.24</v>
      </c>
      <c r="AC32">
        <f t="shared" si="36"/>
        <v>25.739999999999995</v>
      </c>
      <c r="AD32">
        <f t="shared" si="37"/>
        <v>21.9937062937063</v>
      </c>
      <c r="AE32">
        <f t="shared" si="38"/>
        <v>-566.11800000000005</v>
      </c>
      <c r="AF32">
        <f t="shared" si="39"/>
        <v>25.943114693498153</v>
      </c>
      <c r="AG32">
        <f t="shared" si="40"/>
        <v>8.7100849982608928</v>
      </c>
      <c r="AH32">
        <f t="shared" ref="AH32:AH37" si="50">Logistic((D32-$B$2)/$B$2)</f>
        <v>0.72589741484908066</v>
      </c>
      <c r="AI32">
        <f>IF(G32&lt;=0,1,0)</f>
        <v>0</v>
      </c>
      <c r="AJ32">
        <f>IF(G32&lt;0,1,0)</f>
        <v>0</v>
      </c>
      <c r="AK32">
        <f>MAX(($B$3-G32)/(G32 + 1),0) / $B$3</f>
        <v>0</v>
      </c>
      <c r="AL32">
        <f>IF(H32+ABS(K32)&lt;0,Logistic(SQRT(H32^2+K32^2)/$B$4),0)</f>
        <v>0</v>
      </c>
      <c r="AM32">
        <f>IF(G32&gt;$B$3,1,0)</f>
        <v>1</v>
      </c>
      <c r="AN32">
        <f>IF(H32&gt;$B$4,1,0)</f>
        <v>0</v>
      </c>
      <c r="AO32">
        <f>ABS(H32)/$B$4</f>
        <v>0.84499999999999997</v>
      </c>
      <c r="AP32">
        <f>Logistic(I32/$B$5)</f>
        <v>0.28902310741258913</v>
      </c>
      <c r="AQ32">
        <f>IF(I32&gt;$B$5,1,0)</f>
        <v>0</v>
      </c>
      <c r="AR32">
        <f>Logistic(ABS(F32-O32)/($B$6/2))</f>
        <v>0.22602835227867096</v>
      </c>
      <c r="AS32">
        <f>IF(OR(F32&lt;M32,F32&gt;N32),1,0)</f>
        <v>0</v>
      </c>
      <c r="AT32">
        <f>ABS(K32)/$B$4</f>
        <v>0</v>
      </c>
      <c r="AU32">
        <f t="shared" ca="1" si="41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2"/>
        <v>0</v>
      </c>
      <c r="BB32">
        <f t="shared" ca="1" si="43"/>
        <v>0</v>
      </c>
      <c r="BC32">
        <f t="shared" si="44"/>
        <v>0</v>
      </c>
      <c r="BE32">
        <f t="shared" ref="BE32:BE37" si="51">Logistic((D32-$B$2)/$B$2)</f>
        <v>0.72589741484908066</v>
      </c>
      <c r="BF32">
        <f t="shared" si="45"/>
        <v>0</v>
      </c>
      <c r="BG32">
        <f t="shared" si="46"/>
        <v>0</v>
      </c>
      <c r="BH32">
        <f t="shared" ref="BH32:BH37" si="52">Logistic(($B$3-G32)/(G32+1))</f>
        <v>-9.2180705673532759E-2</v>
      </c>
      <c r="BI32">
        <f t="shared" ref="BI32:BI37" si="53">IF(G32&gt;$B$3,1,0)</f>
        <v>1</v>
      </c>
      <c r="BJ32">
        <f t="shared" ref="BJ32:BJ37" si="54">IF(H32&gt;$B$5,1,0)</f>
        <v>0</v>
      </c>
      <c r="BK32">
        <f t="shared" ref="BK32:BK37" si="55">EXP(-($B$4-ABS(H32))/MAX(ABS(H32),0.000000001))</f>
        <v>0.83240851699383855</v>
      </c>
      <c r="BL32">
        <f t="shared" si="47"/>
        <v>0</v>
      </c>
      <c r="BM32">
        <f t="shared" ref="BM32:BM37" si="56">EXP(-($B$5-I32)/MAX(I32,0.000000001))</f>
        <v>0.50627652396956024</v>
      </c>
      <c r="BN32">
        <f t="shared" ref="BN32:BN37" si="57">IF(F32&gt;N32,(F32-N32)/$B$6,0)+IF(F32&lt;M32,(M32-F32)/$B$6,0)</f>
        <v>0</v>
      </c>
      <c r="BO32">
        <f t="shared" ref="BO32:BO37" si="58">ABS(K32/$B$4)</f>
        <v>0</v>
      </c>
      <c r="BP32">
        <f t="shared" ref="BP32:BP37" si="59">Logistic(ABS(H32)/$B$4)</f>
        <v>0.39903445532485493</v>
      </c>
      <c r="BQ32">
        <f t="shared" ref="BQ32:BQ37" si="60">Logistic(($B$3-G32)/G32)</f>
        <v>-9.5669948349328668E-2</v>
      </c>
    </row>
    <row r="33" spans="1:69" x14ac:dyDescent="0.25">
      <c r="A33" s="1" t="s">
        <v>38</v>
      </c>
      <c r="B33">
        <f t="shared" ca="1" si="2"/>
        <v>152.07320840949879</v>
      </c>
      <c r="C33" t="s">
        <v>360</v>
      </c>
      <c r="D33">
        <f t="shared" si="17"/>
        <v>135</v>
      </c>
      <c r="E33">
        <f t="shared" si="18"/>
        <v>147.97</v>
      </c>
      <c r="F33">
        <f t="shared" si="19"/>
        <v>2.9</v>
      </c>
      <c r="G33">
        <f t="shared" si="20"/>
        <v>24.37</v>
      </c>
      <c r="H33">
        <f t="shared" si="21"/>
        <v>6.76</v>
      </c>
      <c r="I33">
        <f t="shared" si="22"/>
        <v>4.76</v>
      </c>
      <c r="J33">
        <f t="shared" si="23"/>
        <v>5.44</v>
      </c>
      <c r="K33">
        <f t="shared" si="24"/>
        <v>0</v>
      </c>
      <c r="L33">
        <f t="shared" si="3"/>
        <v>1</v>
      </c>
      <c r="M33">
        <f t="shared" si="48"/>
        <v>0</v>
      </c>
      <c r="N33">
        <f t="shared" si="49"/>
        <v>4</v>
      </c>
      <c r="O33">
        <f t="shared" si="4"/>
        <v>2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>
        <f t="shared" si="27"/>
        <v>45</v>
      </c>
      <c r="T33">
        <f t="shared" ca="1" si="28"/>
        <v>-71.938890000000015</v>
      </c>
      <c r="U33">
        <f t="shared" ca="1" si="29"/>
        <v>24.123270999999999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>
        <f>GetFollowingCarRow($B$45:$E$54,L33,$E$15,E33)</f>
        <v>45</v>
      </c>
      <c r="Z33">
        <f t="shared" ca="1" si="33"/>
        <v>-94.118889999999993</v>
      </c>
      <c r="AA33">
        <f t="shared" ca="1" si="34"/>
        <v>24.123270999999999</v>
      </c>
      <c r="AB33">
        <f t="shared" si="35"/>
        <v>3.2600000000000002</v>
      </c>
      <c r="AC33">
        <f t="shared" si="36"/>
        <v>22.179999999999993</v>
      </c>
      <c r="AD33">
        <f t="shared" si="37"/>
        <v>24.648521190261505</v>
      </c>
      <c r="AE33">
        <f t="shared" si="38"/>
        <v>-546.70420000000001</v>
      </c>
      <c r="AF33">
        <f t="shared" si="39"/>
        <v>22.418296099391668</v>
      </c>
      <c r="AG33">
        <f t="shared" si="40"/>
        <v>9.80995573994438</v>
      </c>
      <c r="AH33">
        <f t="shared" si="50"/>
        <v>0.69106946983293061</v>
      </c>
      <c r="AI33">
        <f>IF(G33&lt;=0,1,0)</f>
        <v>0</v>
      </c>
      <c r="AJ33">
        <f>IF(G33&lt;0,1,0)</f>
        <v>0</v>
      </c>
      <c r="AK33">
        <f>MAX(($B$3-G33)/(G33 + 1),0) / $B$3</f>
        <v>0</v>
      </c>
      <c r="AL33">
        <f>IF(H33+ABS(K33)&lt;0,Logistic(SQRT(H33^2+K33^2)/$B$4),0)</f>
        <v>0</v>
      </c>
      <c r="AM33">
        <f>IF(G33&gt;$B$3,1,0)</f>
        <v>1</v>
      </c>
      <c r="AN33">
        <f>IF(H33&gt;$B$4,1,0)</f>
        <v>0</v>
      </c>
      <c r="AO33">
        <f>ABS(H33)/$B$4</f>
        <v>0.84499999999999997</v>
      </c>
      <c r="AP33">
        <f>Logistic(I33/$B$5)</f>
        <v>0.28902310741258913</v>
      </c>
      <c r="AQ33">
        <f>IF(I33&gt;$B$5,1,0)</f>
        <v>0</v>
      </c>
      <c r="AR33">
        <f>Logistic(ABS(F33-O33)/($B$6/2))</f>
        <v>0.22127846789844394</v>
      </c>
      <c r="AS33">
        <f>IF(OR(F33&lt;M33,F33&gt;N33),1,0)</f>
        <v>0</v>
      </c>
      <c r="AT33">
        <f>ABS(K33)/$B$4</f>
        <v>0</v>
      </c>
      <c r="AU33">
        <f t="shared" ca="1" si="41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</v>
      </c>
      <c r="BA33">
        <f t="shared" ca="1" si="42"/>
        <v>0</v>
      </c>
      <c r="BB33">
        <f t="shared" ca="1" si="43"/>
        <v>0</v>
      </c>
      <c r="BC33">
        <f t="shared" si="44"/>
        <v>0</v>
      </c>
      <c r="BE33">
        <f t="shared" si="51"/>
        <v>0.69106946983293061</v>
      </c>
      <c r="BF33">
        <f t="shared" si="45"/>
        <v>0</v>
      </c>
      <c r="BG33">
        <f t="shared" si="46"/>
        <v>0</v>
      </c>
      <c r="BH33">
        <f t="shared" si="52"/>
        <v>-6.2001565825425826E-2</v>
      </c>
      <c r="BI33">
        <f t="shared" si="53"/>
        <v>1</v>
      </c>
      <c r="BJ33">
        <f t="shared" si="54"/>
        <v>0</v>
      </c>
      <c r="BK33">
        <f t="shared" si="55"/>
        <v>0.83240851699383855</v>
      </c>
      <c r="BL33">
        <f t="shared" si="47"/>
        <v>0</v>
      </c>
      <c r="BM33">
        <f t="shared" si="56"/>
        <v>0.50627652396956024</v>
      </c>
      <c r="BN33">
        <f t="shared" si="57"/>
        <v>0</v>
      </c>
      <c r="BO33">
        <f t="shared" si="58"/>
        <v>0</v>
      </c>
      <c r="BP33">
        <f t="shared" si="59"/>
        <v>0.39903445532485493</v>
      </c>
      <c r="BQ33">
        <f t="shared" si="60"/>
        <v>-6.4538810230209506E-2</v>
      </c>
    </row>
    <row r="34" spans="1:69" x14ac:dyDescent="0.25">
      <c r="A34" s="1" t="s">
        <v>39</v>
      </c>
      <c r="B34">
        <f t="shared" ca="1" si="2"/>
        <v>122.05022883280574</v>
      </c>
      <c r="C34" t="s">
        <v>359</v>
      </c>
      <c r="D34">
        <f t="shared" si="17"/>
        <v>122</v>
      </c>
      <c r="E34">
        <f t="shared" si="18"/>
        <v>142.05000000000001</v>
      </c>
      <c r="F34">
        <f t="shared" si="19"/>
        <v>2.88</v>
      </c>
      <c r="G34">
        <f t="shared" si="20"/>
        <v>20.85</v>
      </c>
      <c r="H34">
        <f t="shared" si="21"/>
        <v>6.76</v>
      </c>
      <c r="I34">
        <f t="shared" si="22"/>
        <v>4.76</v>
      </c>
      <c r="J34">
        <f t="shared" si="23"/>
        <v>6.14</v>
      </c>
      <c r="K34">
        <f t="shared" si="24"/>
        <v>0.01</v>
      </c>
      <c r="L34">
        <f t="shared" si="3"/>
        <v>1</v>
      </c>
      <c r="M34">
        <f t="shared" si="48"/>
        <v>0</v>
      </c>
      <c r="N34">
        <f t="shared" si="49"/>
        <v>4</v>
      </c>
      <c r="O34">
        <f t="shared" si="4"/>
        <v>2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>
        <f t="shared" si="27"/>
        <v>45</v>
      </c>
      <c r="T34">
        <f t="shared" ca="1" si="28"/>
        <v>-71.938890000000015</v>
      </c>
      <c r="U34">
        <f t="shared" ca="1" si="29"/>
        <v>24.123270999999999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>
        <f>GetFollowingCarRow($B$45:$E$54,L34,$E$15,E34)</f>
        <v>45</v>
      </c>
      <c r="Z34">
        <f t="shared" ca="1" si="33"/>
        <v>-88.198890000000006</v>
      </c>
      <c r="AA34">
        <f t="shared" ca="1" si="34"/>
        <v>24.123270999999999</v>
      </c>
      <c r="AB34">
        <f t="shared" si="35"/>
        <v>3.2800000000000002</v>
      </c>
      <c r="AC34">
        <f t="shared" si="36"/>
        <v>16.260000000000005</v>
      </c>
      <c r="AD34">
        <f t="shared" si="37"/>
        <v>31.534612546125459</v>
      </c>
      <c r="AE34">
        <f t="shared" si="38"/>
        <v>-512.75280000000009</v>
      </c>
      <c r="AF34">
        <f t="shared" si="39"/>
        <v>16.587525433288722</v>
      </c>
      <c r="AG34">
        <f t="shared" si="40"/>
        <v>12.60931981332501</v>
      </c>
      <c r="AH34">
        <f t="shared" si="50"/>
        <v>0.61690930287706502</v>
      </c>
      <c r="AI34">
        <f>IF(G34&lt;=0,1,0)</f>
        <v>0</v>
      </c>
      <c r="AJ34">
        <f>IF(G34&lt;0,1,0)</f>
        <v>0</v>
      </c>
      <c r="AK34">
        <f>MAX(($B$3-G34)/(G34 + 1),0) / $B$3</f>
        <v>7.9800369669820025E-4</v>
      </c>
      <c r="AL34">
        <f>IF(H34+ABS(K34)&lt;0,Logistic(SQRT(H34^2+K34^2)/$B$4),0)</f>
        <v>0</v>
      </c>
      <c r="AM34">
        <f>IF(G34&gt;$B$3,1,0)</f>
        <v>0</v>
      </c>
      <c r="AN34">
        <f>IF(H34&gt;$B$4,1,0)</f>
        <v>0</v>
      </c>
      <c r="AO34">
        <f>ABS(H34)/$B$4</f>
        <v>0.84499999999999997</v>
      </c>
      <c r="AP34">
        <f>Logistic(I34/$B$5)</f>
        <v>0.28902310741258913</v>
      </c>
      <c r="AQ34">
        <f>IF(I34&gt;$B$5,1,0)</f>
        <v>0</v>
      </c>
      <c r="AR34">
        <f>Logistic(ABS(F34-O34)/($B$6/2))</f>
        <v>0.2165180614930288</v>
      </c>
      <c r="AS34">
        <f>IF(OR(F34&lt;M34,F34&gt;N34),1,0)</f>
        <v>0</v>
      </c>
      <c r="AT34">
        <f>ABS(K34)/$B$4</f>
        <v>1.25E-3</v>
      </c>
      <c r="AU34">
        <f t="shared" ca="1" si="41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</v>
      </c>
      <c r="BA34">
        <f t="shared" ca="1" si="42"/>
        <v>0</v>
      </c>
      <c r="BB34">
        <f t="shared" ca="1" si="43"/>
        <v>0</v>
      </c>
      <c r="BC34">
        <f t="shared" si="44"/>
        <v>0</v>
      </c>
      <c r="BE34">
        <f t="shared" si="51"/>
        <v>0.61690930287706502</v>
      </c>
      <c r="BF34">
        <f t="shared" si="45"/>
        <v>0</v>
      </c>
      <c r="BG34">
        <f t="shared" si="46"/>
        <v>0</v>
      </c>
      <c r="BH34">
        <f t="shared" si="52"/>
        <v>8.4666169074011019E-3</v>
      </c>
      <c r="BI34">
        <f t="shared" si="53"/>
        <v>0</v>
      </c>
      <c r="BJ34">
        <f t="shared" si="54"/>
        <v>0</v>
      </c>
      <c r="BK34">
        <f t="shared" si="55"/>
        <v>0.83240851699383855</v>
      </c>
      <c r="BL34">
        <f t="shared" si="47"/>
        <v>0</v>
      </c>
      <c r="BM34">
        <f t="shared" si="56"/>
        <v>0.50627652396956024</v>
      </c>
      <c r="BN34">
        <f t="shared" si="57"/>
        <v>0</v>
      </c>
      <c r="BO34">
        <f t="shared" si="58"/>
        <v>1.25E-3</v>
      </c>
      <c r="BP34">
        <f t="shared" si="59"/>
        <v>0.39903445532485493</v>
      </c>
      <c r="BQ34">
        <f t="shared" si="60"/>
        <v>8.87266883625208E-3</v>
      </c>
    </row>
    <row r="35" spans="1:69" x14ac:dyDescent="0.25">
      <c r="A35" s="1" t="s">
        <v>82</v>
      </c>
      <c r="B35">
        <f t="shared" ca="1" si="2"/>
        <v>272.58224153745181</v>
      </c>
      <c r="C35" t="s">
        <v>358</v>
      </c>
      <c r="D35">
        <f t="shared" si="17"/>
        <v>148</v>
      </c>
      <c r="E35">
        <f t="shared" si="18"/>
        <v>127.75</v>
      </c>
      <c r="F35">
        <f t="shared" si="19"/>
        <v>6.15</v>
      </c>
      <c r="G35">
        <f t="shared" si="20"/>
        <v>0.98</v>
      </c>
      <c r="H35">
        <f t="shared" si="21"/>
        <v>0</v>
      </c>
      <c r="I35">
        <f t="shared" si="22"/>
        <v>2</v>
      </c>
      <c r="J35">
        <f t="shared" si="23"/>
        <v>0.03</v>
      </c>
      <c r="K35">
        <f t="shared" si="24"/>
        <v>0</v>
      </c>
      <c r="L35">
        <f t="shared" si="3"/>
        <v>1</v>
      </c>
      <c r="M35">
        <f t="shared" si="48"/>
        <v>0</v>
      </c>
      <c r="N35">
        <f t="shared" si="49"/>
        <v>4</v>
      </c>
      <c r="O35">
        <f t="shared" si="4"/>
        <v>2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>
        <f t="shared" si="27"/>
        <v>45</v>
      </c>
      <c r="T35">
        <f t="shared" ca="1" si="28"/>
        <v>-71.938890000000015</v>
      </c>
      <c r="U35">
        <f t="shared" ca="1" si="29"/>
        <v>24.123270999999999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>
        <f>GetFollowingCarRow($B$45:$E$54,L35,$E$15,E35)</f>
        <v>45</v>
      </c>
      <c r="Z35">
        <f t="shared" ca="1" si="33"/>
        <v>-73.898889999999994</v>
      </c>
      <c r="AA35">
        <f t="shared" ca="1" si="34"/>
        <v>24.123270999999999</v>
      </c>
      <c r="AB35">
        <f t="shared" si="35"/>
        <v>9.9999999999997868E-3</v>
      </c>
      <c r="AC35">
        <f t="shared" si="36"/>
        <v>1.9599999999999937</v>
      </c>
      <c r="AD35">
        <f t="shared" si="37"/>
        <v>6.8017857142857032</v>
      </c>
      <c r="AE35">
        <f t="shared" si="38"/>
        <v>-13.331499999999936</v>
      </c>
      <c r="AF35">
        <f t="shared" si="39"/>
        <v>1.9600255100380648</v>
      </c>
      <c r="AG35">
        <f t="shared" si="40"/>
        <v>2.2750759503703475</v>
      </c>
      <c r="AH35">
        <f t="shared" si="50"/>
        <v>0.75306590486955205</v>
      </c>
      <c r="AI35">
        <f>IF(G35&lt;=0,1,0)</f>
        <v>0</v>
      </c>
      <c r="AJ35">
        <f>IF(G35&lt;0,1,0)</f>
        <v>0</v>
      </c>
      <c r="AK35">
        <f>MAX(($B$3-G35)/(G35 + 1),0) / $B$3</f>
        <v>0.48172583516598594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</v>
      </c>
      <c r="AP35">
        <f>Logistic(I35/$B$5)</f>
        <v>0.12435300177159621</v>
      </c>
      <c r="AQ35">
        <f>IF(I35&gt;$B$5,1,0)</f>
        <v>0</v>
      </c>
      <c r="AR35">
        <f>Logistic(ABS(F35-O35)/($B$6/2))</f>
        <v>0.77689891963420721</v>
      </c>
      <c r="AS35">
        <f>IF(OR(F35&lt;M35,F35&gt;N35),1,0)</f>
        <v>1</v>
      </c>
      <c r="AT35">
        <f>ABS(K35)/$B$4</f>
        <v>0</v>
      </c>
      <c r="AU35">
        <f t="shared" ca="1" si="41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0.6891585031346692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0.68068951878064254</v>
      </c>
      <c r="BA35">
        <f t="shared" ca="1" si="42"/>
        <v>0</v>
      </c>
      <c r="BB35">
        <f t="shared" ca="1" si="43"/>
        <v>0</v>
      </c>
      <c r="BC35">
        <f t="shared" si="44"/>
        <v>0</v>
      </c>
      <c r="BE35">
        <f t="shared" si="51"/>
        <v>0.75306590486955205</v>
      </c>
      <c r="BF35">
        <f t="shared" si="45"/>
        <v>0</v>
      </c>
      <c r="BG35">
        <f t="shared" si="46"/>
        <v>0</v>
      </c>
      <c r="BH35">
        <f t="shared" si="52"/>
        <v>0.99992729579934525</v>
      </c>
      <c r="BI35">
        <f t="shared" si="53"/>
        <v>0</v>
      </c>
      <c r="BJ35">
        <f t="shared" si="54"/>
        <v>0</v>
      </c>
      <c r="BK35">
        <f t="shared" si="55"/>
        <v>0</v>
      </c>
      <c r="BL35">
        <f t="shared" si="47"/>
        <v>0</v>
      </c>
      <c r="BM35">
        <f t="shared" si="56"/>
        <v>4.9787068367863944E-2</v>
      </c>
      <c r="BN35">
        <f t="shared" si="57"/>
        <v>0.53750000000000009</v>
      </c>
      <c r="BO35">
        <f t="shared" si="58"/>
        <v>0</v>
      </c>
      <c r="BP35">
        <f t="shared" si="59"/>
        <v>0</v>
      </c>
      <c r="BQ35">
        <f t="shared" si="60"/>
        <v>0.99999999785454474</v>
      </c>
    </row>
    <row r="36" spans="1:69" x14ac:dyDescent="0.25">
      <c r="A36" s="1" t="s">
        <v>83</v>
      </c>
      <c r="B36">
        <f t="shared" ca="1" si="2"/>
        <v>272.58224153745181</v>
      </c>
      <c r="C36" t="s">
        <v>357</v>
      </c>
      <c r="D36">
        <f t="shared" si="17"/>
        <v>148</v>
      </c>
      <c r="E36">
        <f t="shared" si="18"/>
        <v>127.75</v>
      </c>
      <c r="F36">
        <f t="shared" si="19"/>
        <v>6.14</v>
      </c>
      <c r="G36">
        <f t="shared" si="20"/>
        <v>0.98</v>
      </c>
      <c r="H36">
        <f t="shared" si="21"/>
        <v>0</v>
      </c>
      <c r="I36">
        <f t="shared" si="22"/>
        <v>2</v>
      </c>
      <c r="J36">
        <f t="shared" si="23"/>
        <v>0.04</v>
      </c>
      <c r="K36">
        <f t="shared" si="24"/>
        <v>0</v>
      </c>
      <c r="L36">
        <f t="shared" si="3"/>
        <v>1</v>
      </c>
      <c r="M36">
        <f t="shared" si="48"/>
        <v>0</v>
      </c>
      <c r="N36">
        <f t="shared" si="49"/>
        <v>4</v>
      </c>
      <c r="O36">
        <f t="shared" si="4"/>
        <v>2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>
        <f t="shared" si="27"/>
        <v>45</v>
      </c>
      <c r="T36">
        <f t="shared" ca="1" si="28"/>
        <v>-71.938890000000015</v>
      </c>
      <c r="U36">
        <f t="shared" ca="1" si="29"/>
        <v>24.123270999999999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>
        <f>GetFollowingCarRow($B$45:$E$54,L36,$E$15,E36)</f>
        <v>45</v>
      </c>
      <c r="Z36">
        <f t="shared" ca="1" si="33"/>
        <v>-73.898889999999994</v>
      </c>
      <c r="AA36">
        <f t="shared" ca="1" si="34"/>
        <v>24.123270999999999</v>
      </c>
      <c r="AB36">
        <f t="shared" si="35"/>
        <v>2.0000000000000462E-2</v>
      </c>
      <c r="AC36">
        <f t="shared" si="36"/>
        <v>1.9599999999999937</v>
      </c>
      <c r="AD36">
        <f t="shared" si="37"/>
        <v>7.4435714285714623</v>
      </c>
      <c r="AE36">
        <f t="shared" si="38"/>
        <v>-14.589400000000019</v>
      </c>
      <c r="AF36">
        <f t="shared" si="39"/>
        <v>1.9601020381602525</v>
      </c>
      <c r="AG36">
        <f t="shared" si="40"/>
        <v>2.5497233831208397</v>
      </c>
      <c r="AH36">
        <f t="shared" si="50"/>
        <v>0.75306590486955205</v>
      </c>
      <c r="AI36">
        <f>IF(G36&lt;=0,1,0)</f>
        <v>0</v>
      </c>
      <c r="AJ36">
        <f>IF(G36&lt;0,1,0)</f>
        <v>0</v>
      </c>
      <c r="AK36">
        <f>MAX(($B$3-G36)/(G36 + 1),0) / $B$3</f>
        <v>0.48172583516598594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0</v>
      </c>
      <c r="AP36">
        <f>Logistic(I36/$B$5)</f>
        <v>0.12435300177159621</v>
      </c>
      <c r="AQ36">
        <f>IF(I36&gt;$B$5,1,0)</f>
        <v>0</v>
      </c>
      <c r="AR36">
        <f>Logistic(ABS(F36-O36)/($B$6/2))</f>
        <v>0.77590592288601934</v>
      </c>
      <c r="AS36">
        <f>IF(OR(F36&lt;M36,F36&gt;N36),1,0)</f>
        <v>1</v>
      </c>
      <c r="AT36">
        <f>ABS(K36)/$B$4</f>
        <v>0</v>
      </c>
      <c r="AU36">
        <f t="shared" ca="1" si="41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0.6891585031346692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0.68068951878064254</v>
      </c>
      <c r="BA36">
        <f t="shared" ca="1" si="42"/>
        <v>0</v>
      </c>
      <c r="BB36">
        <f t="shared" ca="1" si="43"/>
        <v>0</v>
      </c>
      <c r="BC36">
        <f t="shared" si="44"/>
        <v>0</v>
      </c>
      <c r="BE36">
        <f t="shared" si="51"/>
        <v>0.75306590486955205</v>
      </c>
      <c r="BF36">
        <f t="shared" si="45"/>
        <v>0</v>
      </c>
      <c r="BG36">
        <f t="shared" si="46"/>
        <v>0</v>
      </c>
      <c r="BH36">
        <f t="shared" si="52"/>
        <v>0.99992729579934525</v>
      </c>
      <c r="BI36">
        <f t="shared" si="53"/>
        <v>0</v>
      </c>
      <c r="BJ36">
        <f t="shared" si="54"/>
        <v>0</v>
      </c>
      <c r="BK36">
        <f t="shared" si="55"/>
        <v>0</v>
      </c>
      <c r="BL36">
        <f t="shared" si="47"/>
        <v>0</v>
      </c>
      <c r="BM36">
        <f t="shared" si="56"/>
        <v>4.9787068367863944E-2</v>
      </c>
      <c r="BN36">
        <f t="shared" si="57"/>
        <v>0.53499999999999992</v>
      </c>
      <c r="BO36">
        <f t="shared" si="58"/>
        <v>0</v>
      </c>
      <c r="BP36">
        <f t="shared" si="59"/>
        <v>0</v>
      </c>
      <c r="BQ36">
        <f t="shared" si="60"/>
        <v>0.99999999785454474</v>
      </c>
    </row>
    <row r="37" spans="1:69" x14ac:dyDescent="0.25">
      <c r="A37" s="1" t="s">
        <v>84</v>
      </c>
      <c r="B37">
        <f t="shared" ca="1" si="2"/>
        <v>272.58224153745181</v>
      </c>
      <c r="C37" t="s">
        <v>356</v>
      </c>
      <c r="D37">
        <f t="shared" si="17"/>
        <v>148</v>
      </c>
      <c r="E37">
        <f t="shared" si="18"/>
        <v>127.75</v>
      </c>
      <c r="F37">
        <f t="shared" si="19"/>
        <v>6.1</v>
      </c>
      <c r="G37">
        <f t="shared" si="20"/>
        <v>0.98</v>
      </c>
      <c r="H37">
        <f t="shared" si="21"/>
        <v>0</v>
      </c>
      <c r="I37">
        <f t="shared" si="22"/>
        <v>2</v>
      </c>
      <c r="J37">
        <f t="shared" si="23"/>
        <v>7.0000000000000007E-2</v>
      </c>
      <c r="K37">
        <f t="shared" si="24"/>
        <v>0.01</v>
      </c>
      <c r="L37">
        <f t="shared" si="3"/>
        <v>1</v>
      </c>
      <c r="M37">
        <f t="shared" si="48"/>
        <v>0</v>
      </c>
      <c r="N37">
        <f t="shared" si="49"/>
        <v>4</v>
      </c>
      <c r="O37">
        <f t="shared" si="4"/>
        <v>2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>
        <f t="shared" si="27"/>
        <v>45</v>
      </c>
      <c r="T37">
        <f t="shared" ca="1" si="28"/>
        <v>-71.938890000000015</v>
      </c>
      <c r="U37">
        <f t="shared" ca="1" si="29"/>
        <v>24.123270999999999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>
        <f>GetFollowingCarRow($B$45:$E$54,L37,$E$15,E37)</f>
        <v>45</v>
      </c>
      <c r="Z37">
        <f t="shared" ca="1" si="33"/>
        <v>-73.898889999999994</v>
      </c>
      <c r="AA37">
        <f t="shared" ca="1" si="34"/>
        <v>24.123270999999999</v>
      </c>
      <c r="AB37">
        <f t="shared" si="35"/>
        <v>6.0000000000000497E-2</v>
      </c>
      <c r="AC37">
        <f t="shared" si="36"/>
        <v>1.9599999999999937</v>
      </c>
      <c r="AD37">
        <f t="shared" si="37"/>
        <v>10.010714285714331</v>
      </c>
      <c r="AE37">
        <f t="shared" si="38"/>
        <v>-19.621000000000024</v>
      </c>
      <c r="AF37">
        <f t="shared" si="39"/>
        <v>1.9609181522949843</v>
      </c>
      <c r="AG37">
        <f t="shared" si="40"/>
        <v>3.6471498780455787</v>
      </c>
      <c r="AH37">
        <f t="shared" si="50"/>
        <v>0.75306590486955205</v>
      </c>
      <c r="AI37">
        <f>IF(G37&lt;=0,1,0)</f>
        <v>0</v>
      </c>
      <c r="AJ37">
        <f>IF(G37&lt;0,1,0)</f>
        <v>0</v>
      </c>
      <c r="AK37">
        <f>MAX(($B$3-G37)/(G37 + 1),0) / $B$3</f>
        <v>0.48172583516598594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0</v>
      </c>
      <c r="AP37">
        <f>Logistic(I37/$B$5)</f>
        <v>0.12435300177159621</v>
      </c>
      <c r="AQ37">
        <f>IF(I37&gt;$B$5,1,0)</f>
        <v>0</v>
      </c>
      <c r="AR37">
        <f>Logistic(ABS(F37-O37)/($B$6/2))</f>
        <v>0.77189523744041821</v>
      </c>
      <c r="AS37">
        <f>IF(OR(F37&lt;M37,F37&gt;N37),1,0)</f>
        <v>1</v>
      </c>
      <c r="AT37">
        <f>ABS(K37)/$B$4</f>
        <v>1.25E-3</v>
      </c>
      <c r="AU37">
        <f t="shared" ca="1" si="41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0.6891585031346692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0.68068951878064254</v>
      </c>
      <c r="BA37">
        <f t="shared" ca="1" si="42"/>
        <v>0</v>
      </c>
      <c r="BB37">
        <f t="shared" ca="1" si="43"/>
        <v>0</v>
      </c>
      <c r="BC37">
        <f t="shared" si="44"/>
        <v>0</v>
      </c>
      <c r="BE37">
        <f t="shared" si="51"/>
        <v>0.75306590486955205</v>
      </c>
      <c r="BF37">
        <f t="shared" si="45"/>
        <v>0</v>
      </c>
      <c r="BG37">
        <f t="shared" si="46"/>
        <v>0</v>
      </c>
      <c r="BH37">
        <f t="shared" si="52"/>
        <v>0.99992729579934525</v>
      </c>
      <c r="BI37">
        <f t="shared" si="53"/>
        <v>0</v>
      </c>
      <c r="BJ37">
        <f t="shared" si="54"/>
        <v>0</v>
      </c>
      <c r="BK37">
        <f t="shared" si="55"/>
        <v>0</v>
      </c>
      <c r="BL37">
        <f t="shared" si="47"/>
        <v>0</v>
      </c>
      <c r="BM37">
        <f t="shared" si="56"/>
        <v>4.9787068367863944E-2</v>
      </c>
      <c r="BN37">
        <f t="shared" si="57"/>
        <v>0.52499999999999991</v>
      </c>
      <c r="BO37">
        <f t="shared" si="58"/>
        <v>1.25E-3</v>
      </c>
      <c r="BP37">
        <f t="shared" si="59"/>
        <v>0</v>
      </c>
      <c r="BQ37">
        <f t="shared" si="60"/>
        <v>0.99999999785454474</v>
      </c>
    </row>
    <row r="38" spans="1:69" x14ac:dyDescent="0.25">
      <c r="A38" s="1" t="s">
        <v>19</v>
      </c>
      <c r="B38">
        <f t="shared" ca="1" si="2"/>
        <v>148.1431919911993</v>
      </c>
      <c r="C38" t="s">
        <v>355</v>
      </c>
      <c r="D38">
        <f t="shared" si="17"/>
        <v>148</v>
      </c>
      <c r="E38">
        <f t="shared" si="18"/>
        <v>143.75</v>
      </c>
      <c r="F38">
        <f t="shared" si="19"/>
        <v>4.3899999999999997</v>
      </c>
      <c r="G38">
        <f t="shared" si="20"/>
        <v>16.899999999999999</v>
      </c>
      <c r="H38">
        <f t="shared" si="21"/>
        <v>4</v>
      </c>
      <c r="I38">
        <f t="shared" si="22"/>
        <v>2</v>
      </c>
      <c r="J38">
        <f t="shared" si="23"/>
        <v>2.91</v>
      </c>
      <c r="K38">
        <f t="shared" si="24"/>
        <v>0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>
        <f t="shared" si="27"/>
        <v>45</v>
      </c>
      <c r="T38">
        <f t="shared" ca="1" si="28"/>
        <v>-71.938890000000015</v>
      </c>
      <c r="U38">
        <f t="shared" ca="1" si="29"/>
        <v>24.123270999999999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>
        <f>GetFollowingCarRow($B$45:$E$54,L38,$E$15,E38)</f>
        <v>45</v>
      </c>
      <c r="Z38">
        <f t="shared" ca="1" si="33"/>
        <v>-89.898889999999994</v>
      </c>
      <c r="AA38">
        <f t="shared" ca="1" si="34"/>
        <v>24.123270999999999</v>
      </c>
      <c r="AB38">
        <f t="shared" si="35"/>
        <v>1.7700000000000005</v>
      </c>
      <c r="AC38">
        <f t="shared" si="36"/>
        <v>17.959999999999994</v>
      </c>
      <c r="AD38">
        <f t="shared" si="37"/>
        <v>18.556898663697112</v>
      </c>
      <c r="AE38">
        <f t="shared" si="38"/>
        <v>-333.28190000000001</v>
      </c>
      <c r="AF38">
        <f t="shared" si="39"/>
        <v>18.047008062280014</v>
      </c>
      <c r="AG38">
        <f t="shared" si="40"/>
        <v>7.2722769362701287</v>
      </c>
      <c r="AH38">
        <f>Logistic((D38-$B$2)/$B$2)</f>
        <v>0.75306590486955205</v>
      </c>
      <c r="AI38">
        <f>IF(G38&lt;=0,1,0)</f>
        <v>0</v>
      </c>
      <c r="AJ38">
        <f>IF(G38&lt;0,1,0)</f>
        <v>0</v>
      </c>
      <c r="AK38">
        <f>MAX(($B$3-G38)/(G38 + 1),0) / $B$3</f>
        <v>1.1373269657064328E-2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0.5</v>
      </c>
      <c r="AP38">
        <f>Logistic(I38/$B$5)</f>
        <v>0.12435300177159621</v>
      </c>
      <c r="AQ38">
        <f>IF(I38&gt;$B$5,1,0)</f>
        <v>0</v>
      </c>
      <c r="AR38">
        <f>Logistic(ABS(F38-O38)/($B$6/2))</f>
        <v>0.53526823464325013</v>
      </c>
      <c r="AS38">
        <f>IF(OR(F38&lt;M38,F38&gt;N38),1,0)</f>
        <v>1</v>
      </c>
      <c r="AT38">
        <f>ABS(K38)/$B$4</f>
        <v>0</v>
      </c>
      <c r="AU38">
        <f t="shared" ca="1" si="41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4.0676862324560137E-3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2"/>
        <v>0</v>
      </c>
      <c r="BB38">
        <f t="shared" ca="1" si="43"/>
        <v>0</v>
      </c>
      <c r="BC38">
        <f t="shared" si="44"/>
        <v>0</v>
      </c>
      <c r="BE38">
        <f>Logistic((D38-$B$2)/$B$2)</f>
        <v>0.75306590486955205</v>
      </c>
      <c r="BF38">
        <f t="shared" si="45"/>
        <v>0</v>
      </c>
      <c r="BG38">
        <f t="shared" si="46"/>
        <v>0</v>
      </c>
      <c r="BH38">
        <f>Logistic(($B$3-G38)/(G38+1))</f>
        <v>0.1200880748860981</v>
      </c>
      <c r="BI38">
        <f>IF(G38&gt;$B$3,1,0)</f>
        <v>0</v>
      </c>
      <c r="BJ38">
        <f>IF(H38&gt;$B$5,1,0)</f>
        <v>0</v>
      </c>
      <c r="BK38">
        <f>EXP(-($B$4-ABS(H38))/MAX(ABS(H38),0.000000001))</f>
        <v>0.36787944117144233</v>
      </c>
      <c r="BL38">
        <f t="shared" si="47"/>
        <v>0</v>
      </c>
      <c r="BM38">
        <f>EXP(-($B$5-I38)/MAX(I38,0.000000001))</f>
        <v>4.9787068367863944E-2</v>
      </c>
      <c r="BN38">
        <f>IF(F38&gt;N38,(F38-N38)/$B$6,0)+IF(F38&lt;M38,(M38-F38)/$B$6,0)</f>
        <v>9.749999999999992E-2</v>
      </c>
      <c r="BO38">
        <f>ABS(K38/$B$4)</f>
        <v>0</v>
      </c>
      <c r="BP38">
        <f>Logistic(ABS(H38)/$B$4)</f>
        <v>0.24491866240370913</v>
      </c>
      <c r="BQ38">
        <f>Logistic(($B$3-G38)/G38)</f>
        <v>0.12711921557255645</v>
      </c>
    </row>
    <row r="39" spans="1:69" x14ac:dyDescent="0.25">
      <c r="A39" s="1" t="s">
        <v>18</v>
      </c>
      <c r="B39">
        <f t="shared" ca="1" si="2"/>
        <v>125.1431919911993</v>
      </c>
      <c r="C39" t="s">
        <v>354</v>
      </c>
      <c r="D39">
        <f t="shared" si="17"/>
        <v>148</v>
      </c>
      <c r="E39">
        <f t="shared" si="18"/>
        <v>143.75</v>
      </c>
      <c r="F39">
        <f t="shared" si="19"/>
        <v>3.82</v>
      </c>
      <c r="G39">
        <f t="shared" si="20"/>
        <v>16.899999999999999</v>
      </c>
      <c r="H39">
        <f t="shared" si="21"/>
        <v>4</v>
      </c>
      <c r="I39">
        <f t="shared" si="22"/>
        <v>2</v>
      </c>
      <c r="J39">
        <f t="shared" si="23"/>
        <v>3.61</v>
      </c>
      <c r="K39">
        <f t="shared" si="24"/>
        <v>0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>
        <f t="shared" si="27"/>
        <v>45</v>
      </c>
      <c r="T39">
        <f t="shared" ca="1" si="28"/>
        <v>-71.938890000000015</v>
      </c>
      <c r="U39">
        <f t="shared" ca="1" si="29"/>
        <v>24.123270999999999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>
        <f>GetFollowingCarRow($B$45:$E$54,L39,$E$15,E39)</f>
        <v>45</v>
      </c>
      <c r="Z39">
        <f t="shared" ca="1" si="33"/>
        <v>-89.898889999999994</v>
      </c>
      <c r="AA39">
        <f t="shared" ca="1" si="34"/>
        <v>24.123270999999999</v>
      </c>
      <c r="AB39">
        <f t="shared" si="35"/>
        <v>2.3400000000000003</v>
      </c>
      <c r="AC39">
        <f t="shared" si="36"/>
        <v>17.959999999999994</v>
      </c>
      <c r="AD39">
        <f t="shared" si="37"/>
        <v>22.549120267260591</v>
      </c>
      <c r="AE39">
        <f t="shared" si="38"/>
        <v>-404.98220000000009</v>
      </c>
      <c r="AF39">
        <f t="shared" si="39"/>
        <v>18.111797260349391</v>
      </c>
      <c r="AG39">
        <f t="shared" si="40"/>
        <v>8.9410217479916785</v>
      </c>
      <c r="AH39">
        <f>Logistic((D39-$B$2)/$B$2)</f>
        <v>0.75306590486955205</v>
      </c>
      <c r="AI39">
        <f>IF(G39&lt;=0,1,0)</f>
        <v>0</v>
      </c>
      <c r="AJ39">
        <f>IF(G39&lt;0,1,0)</f>
        <v>0</v>
      </c>
      <c r="AK39">
        <f>MAX(($B$3-G39)/(G39 + 1),0) / $B$3</f>
        <v>1.1373269657064328E-2</v>
      </c>
      <c r="AL39">
        <f>IF(H39+ABS(K39)&lt;0,Logistic(SQRT(H39^2+K39^2)/$B$4),0)</f>
        <v>0</v>
      </c>
      <c r="AM39">
        <f>IF(G39&gt;$B$3,1,0)</f>
        <v>0</v>
      </c>
      <c r="AN39">
        <f>IF(H39&gt;$B$4,1,0)</f>
        <v>0</v>
      </c>
      <c r="AO39">
        <f>ABS(H39)/$B$4</f>
        <v>0.5</v>
      </c>
      <c r="AP39">
        <f>Logistic(I39/$B$5)</f>
        <v>0.12435300177159621</v>
      </c>
      <c r="AQ39">
        <f>IF(I39&gt;$B$5,1,0)</f>
        <v>0</v>
      </c>
      <c r="AR39">
        <f>Logistic(ABS(F39-O39)/($B$6/2))</f>
        <v>0.42600032550456329</v>
      </c>
      <c r="AS39">
        <f>IF(OR(F39&lt;M39,F39&gt;N39),1,0)</f>
        <v>0</v>
      </c>
      <c r="AT39">
        <f>ABS(K39)/$B$4</f>
        <v>0</v>
      </c>
      <c r="AU39">
        <f t="shared" ca="1" si="41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4.0676862324560137E-3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</v>
      </c>
      <c r="BA39">
        <f t="shared" ca="1" si="42"/>
        <v>0</v>
      </c>
      <c r="BB39">
        <f t="shared" ca="1" si="43"/>
        <v>0</v>
      </c>
      <c r="BC39">
        <f t="shared" si="44"/>
        <v>0</v>
      </c>
      <c r="BE39">
        <f>Logistic((D39-$B$2)/$B$2)</f>
        <v>0.75306590486955205</v>
      </c>
      <c r="BF39">
        <f t="shared" si="45"/>
        <v>0</v>
      </c>
      <c r="BG39">
        <f t="shared" si="46"/>
        <v>0</v>
      </c>
      <c r="BH39">
        <f>Logistic(($B$3-G39)/(G39+1))</f>
        <v>0.1200880748860981</v>
      </c>
      <c r="BI39">
        <f>IF(G39&gt;$B$3,1,0)</f>
        <v>0</v>
      </c>
      <c r="BJ39">
        <f>IF(H39&gt;$B$5,1,0)</f>
        <v>0</v>
      </c>
      <c r="BK39">
        <f>EXP(-($B$4-ABS(H39))/MAX(ABS(H39),0.000000001))</f>
        <v>0.36787944117144233</v>
      </c>
      <c r="BL39">
        <f t="shared" si="47"/>
        <v>0</v>
      </c>
      <c r="BM39">
        <f>EXP(-($B$5-I39)/MAX(I39,0.000000001))</f>
        <v>4.9787068367863944E-2</v>
      </c>
      <c r="BN39">
        <f>IF(F39&gt;N39,(F39-N39)/$B$6,0)+IF(F39&lt;M39,(M39-F39)/$B$6,0)</f>
        <v>0</v>
      </c>
      <c r="BO39">
        <f>ABS(K39/$B$4)</f>
        <v>0</v>
      </c>
      <c r="BP39">
        <f>Logistic(ABS(H39)/$B$4)</f>
        <v>0.24491866240370913</v>
      </c>
      <c r="BQ39">
        <f>Logistic(($B$3-G39)/G39)</f>
        <v>0.12711921557255645</v>
      </c>
    </row>
    <row r="40" spans="1:69" x14ac:dyDescent="0.25">
      <c r="A40" s="1" t="s">
        <v>17</v>
      </c>
      <c r="B40">
        <f t="shared" ca="1" si="2"/>
        <v>127.05882769065877</v>
      </c>
      <c r="C40" t="s">
        <v>353</v>
      </c>
      <c r="D40">
        <f t="shared" si="17"/>
        <v>142</v>
      </c>
      <c r="E40">
        <f t="shared" si="18"/>
        <v>141.77000000000001</v>
      </c>
      <c r="F40">
        <f t="shared" si="19"/>
        <v>2.96</v>
      </c>
      <c r="G40">
        <f t="shared" si="20"/>
        <v>15.94</v>
      </c>
      <c r="H40">
        <f t="shared" si="21"/>
        <v>4</v>
      </c>
      <c r="I40">
        <f t="shared" si="22"/>
        <v>2</v>
      </c>
      <c r="J40">
        <f t="shared" si="23"/>
        <v>4.7</v>
      </c>
      <c r="K40">
        <f t="shared" si="24"/>
        <v>0.01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>
        <f t="shared" si="27"/>
        <v>45</v>
      </c>
      <c r="T40">
        <f t="shared" ca="1" si="28"/>
        <v>-71.938890000000015</v>
      </c>
      <c r="U40">
        <f t="shared" ca="1" si="29"/>
        <v>24.123270999999999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>
        <f>GetFollowingCarRow($B$45:$E$54,L40,$E$15,E40)</f>
        <v>45</v>
      </c>
      <c r="Z40">
        <f t="shared" ca="1" si="33"/>
        <v>-87.918890000000005</v>
      </c>
      <c r="AA40">
        <f t="shared" ca="1" si="34"/>
        <v>24.123270999999999</v>
      </c>
      <c r="AB40">
        <f t="shared" si="35"/>
        <v>3.2</v>
      </c>
      <c r="AC40">
        <f t="shared" si="36"/>
        <v>15.980000000000004</v>
      </c>
      <c r="AD40">
        <f t="shared" si="37"/>
        <v>31.349486858573215</v>
      </c>
      <c r="AE40">
        <f t="shared" si="38"/>
        <v>-500.96480000000008</v>
      </c>
      <c r="AF40">
        <f t="shared" si="39"/>
        <v>16.297251301983415</v>
      </c>
      <c r="AG40">
        <f t="shared" si="40"/>
        <v>12.535195114475378</v>
      </c>
      <c r="AH40">
        <f>Logistic((D40-$B$2)/$B$2)</f>
        <v>0.72589741484908066</v>
      </c>
      <c r="AI40">
        <f>IF(G40&lt;=0,1,0)</f>
        <v>0</v>
      </c>
      <c r="AJ40">
        <f>IF(G40&lt;0,1,0)</f>
        <v>0</v>
      </c>
      <c r="AK40">
        <f>MAX(($B$3-G40)/(G40 + 1),0) / $B$3</f>
        <v>1.4688421851475574E-2</v>
      </c>
      <c r="AL40">
        <f>IF(H40+ABS(K40)&lt;0,Logistic(SQRT(H40^2+K40^2)/$B$4),0)</f>
        <v>0</v>
      </c>
      <c r="AM40">
        <f>IF(G40&gt;$B$3,1,0)</f>
        <v>0</v>
      </c>
      <c r="AN40">
        <f>IF(H40&gt;$B$4,1,0)</f>
        <v>0</v>
      </c>
      <c r="AO40">
        <f>ABS(H40)/$B$4</f>
        <v>0.5</v>
      </c>
      <c r="AP40">
        <f>Logistic(I40/$B$5)</f>
        <v>0.12435300177159621</v>
      </c>
      <c r="AQ40">
        <f>IF(I40&gt;$B$5,1,0)</f>
        <v>0</v>
      </c>
      <c r="AR40">
        <f>Logistic(ABS(F40-O40)/($B$6/2))</f>
        <v>0.23549574953849797</v>
      </c>
      <c r="AS40">
        <f>IF(OR(F40&lt;M40,F40&gt;N40),1,0)</f>
        <v>0</v>
      </c>
      <c r="AT40">
        <f>ABS(K40)/$B$4</f>
        <v>1.25E-3</v>
      </c>
      <c r="AU40">
        <f t="shared" ca="1" si="41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0.12090299832426399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</v>
      </c>
      <c r="BA40">
        <f t="shared" ca="1" si="42"/>
        <v>0</v>
      </c>
      <c r="BB40">
        <f t="shared" ca="1" si="43"/>
        <v>0</v>
      </c>
      <c r="BC40">
        <f t="shared" si="44"/>
        <v>0</v>
      </c>
      <c r="BE40">
        <f>Logistic((D40-$B$2)/$B$2)</f>
        <v>0.72589741484908066</v>
      </c>
      <c r="BF40">
        <f t="shared" si="45"/>
        <v>0</v>
      </c>
      <c r="BG40">
        <f t="shared" si="46"/>
        <v>0</v>
      </c>
      <c r="BH40">
        <f>Logistic(($B$3-G40)/(G40+1))</f>
        <v>0.15459461056041809</v>
      </c>
      <c r="BI40">
        <f>IF(G40&gt;$B$3,1,0)</f>
        <v>0</v>
      </c>
      <c r="BJ40">
        <f>IF(H40&gt;$B$5,1,0)</f>
        <v>0</v>
      </c>
      <c r="BK40">
        <f>EXP(-($B$4-ABS(H40))/MAX(ABS(H40),0.000000001))</f>
        <v>0.36787944117144233</v>
      </c>
      <c r="BL40">
        <f t="shared" si="47"/>
        <v>0</v>
      </c>
      <c r="BM40">
        <f>EXP(-($B$5-I40)/MAX(I40,0.000000001))</f>
        <v>4.9787068367863944E-2</v>
      </c>
      <c r="BN40">
        <f>IF(F40&gt;N40,(F40-N40)/$B$6,0)+IF(F40&lt;M40,(M40-F40)/$B$6,0)</f>
        <v>0</v>
      </c>
      <c r="BO40">
        <f>ABS(K40/$B$4)</f>
        <v>1.25E-3</v>
      </c>
      <c r="BP40">
        <f>Logistic(ABS(H40)/$B$4)</f>
        <v>0.24491866240370913</v>
      </c>
      <c r="BQ40">
        <f>Logistic(($B$3-G40)/G40)</f>
        <v>0.16412316462027612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53.851109999999998</v>
      </c>
      <c r="C45">
        <v>2.0003549999999999</v>
      </c>
      <c r="D45">
        <v>24.123270999999999</v>
      </c>
      <c r="E45">
        <v>1</v>
      </c>
    </row>
    <row r="46" spans="1:69" x14ac:dyDescent="0.25">
      <c r="B46">
        <v>263.161272</v>
      </c>
      <c r="C46">
        <v>5.9980200000000004</v>
      </c>
      <c r="D46">
        <v>19.600908</v>
      </c>
      <c r="E46">
        <v>2</v>
      </c>
    </row>
    <row r="47" spans="1:69" x14ac:dyDescent="0.25">
      <c r="B47">
        <v>293.34591</v>
      </c>
      <c r="C47">
        <v>10.001480000000001</v>
      </c>
      <c r="D47">
        <v>17.997093</v>
      </c>
      <c r="E47">
        <v>3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1:BQ56"/>
  <sheetViews>
    <sheetView topLeftCell="A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-1</v>
      </c>
    </row>
    <row r="12" spans="1:69" x14ac:dyDescent="0.25">
      <c r="A12" t="s">
        <v>183</v>
      </c>
      <c r="B12">
        <f ca="1">INDEX(A16:F40,MATCH(MIN(B16:B40),B16:B40,0),5)</f>
        <v>657.38</v>
      </c>
      <c r="C12">
        <f ca="1">INDEX(A16:F40,MATCH(MIN(B16:B40),B16:B40,0),6)</f>
        <v>2.25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378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652.17999999999995</v>
      </c>
      <c r="F15">
        <f>VALUE(MID(C15,FIND("d[",C15)+2,FIND("]",C15,FIND("d[",C15))-(FIND("d[",C15)+2)))</f>
        <v>2.46</v>
      </c>
      <c r="G15">
        <f>VALUE(MID(C15,FIND("s_dot[",C15)+6,FIND("]",C15,FIND("s_dot[",C15))-(FIND("s_dot[",C15)+6)))</f>
        <v>19.239999999999998</v>
      </c>
      <c r="H15">
        <f>VALUE(MID(C15,FIND("s_dot2[",C15)+7,FIND("]",C15,FIND("s_dot2[",C15))-(FIND("s_dot2[",C15)+7)))</f>
        <v>-0.21</v>
      </c>
      <c r="I15">
        <f>VALUE(MID(C15,FIND("s_dot3[",C15)+7,FIND("]",C15,FIND("s_dot3[",C15))-(FIND("s_dot3[",C15)+7)))</f>
        <v>0.41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0.33</v>
      </c>
      <c r="L15">
        <f>VALUE(MID(C15,FIND("-",C15)+1,FIND(")",C15,FIND("-",C15))-(FIND("-",C15)+1)))</f>
        <v>1</v>
      </c>
      <c r="M15">
        <f t="shared" ref="M15:M37" si="0">$B$6*(L15-1)</f>
        <v>0</v>
      </c>
      <c r="N15">
        <f t="shared" ref="N15:N37" si="1">$B$6*L15</f>
        <v>4</v>
      </c>
      <c r="O15">
        <f>(N15+M15)/2</f>
        <v>2</v>
      </c>
      <c r="P15">
        <f>GetLeadingCarRow($B$45:$E$56,L15,$E$15, $E$15)</f>
        <v>49</v>
      </c>
      <c r="Q15">
        <f ca="1">IFERROR(INDIRECT(CONCATENATE("B", P15))-$E$15,1000000)</f>
        <v>18.107951000000071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50.962114914820823</v>
      </c>
      <c r="C16" t="s">
        <v>394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657.38</v>
      </c>
      <c r="F16">
        <f>VALUE(MID(C16,FIND("d[",C16)+2,FIND("]",C16,FIND("d[",C16))-(FIND("d[",C16)+2)))</f>
        <v>2.25</v>
      </c>
      <c r="G16">
        <f>VALUE(MID(C16,FIND("s_dot[",C16)+6,FIND("]",C16,FIND("s_dot[",C16))-(FIND("s_dot[",C16)+6)))</f>
        <v>18.63</v>
      </c>
      <c r="H16">
        <f>VALUE(MID(C16,FIND("s_dot2[",C16)+7,FIND("]",C16,FIND("s_dot2[",C16))-(FIND("s_dot2[",C16)+7)))</f>
        <v>-3.49</v>
      </c>
      <c r="I16">
        <f>VALUE(MID(C16,FIND("s_dot3[",C16)+7,FIND("]",C16,FIND("s_dot3[",C16))-(FIND("s_dot3[",C16)+7)))</f>
        <v>3.54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0.21</v>
      </c>
      <c r="L16">
        <f t="shared" ref="L16:L40" si="3">VALUE(MID(C16,FIND("-",C16)+1,FIND(")",C16,FIND("-",C16))-(FIND("-",C16)+1)))</f>
        <v>1</v>
      </c>
      <c r="M16">
        <f t="shared" si="0"/>
        <v>0</v>
      </c>
      <c r="N16">
        <f t="shared" si="1"/>
        <v>4</v>
      </c>
      <c r="O16">
        <f t="shared" ref="O16:O40" si="4">(N16+M16)/2</f>
        <v>2</v>
      </c>
      <c r="P16">
        <f t="shared" ref="P16:P40" si="5">GetLeadingCarRow($B$45:$E$56,L16,$E$15, $E$15)</f>
        <v>49</v>
      </c>
      <c r="Q16">
        <f ca="1">IFERROR(INDIRECT(CONCATENATE("B", P16))-$E$15,1000000)</f>
        <v>18.107951000000071</v>
      </c>
      <c r="R16">
        <f ca="1">IFERROR(INDIRECT(CONCATENATE("D", P16)),100)</f>
        <v>14.970216000000001</v>
      </c>
      <c r="S16">
        <f>GetFollowingCarRow($B$45:$E$56,L16,$E$15, $E$15)</f>
        <v>48</v>
      </c>
      <c r="T16">
        <f ca="1">IFERROR(INDIRECT(CONCATENATE("B", S16))-$E$15,1000000)</f>
        <v>-57.598990999999955</v>
      </c>
      <c r="U16">
        <f ca="1">IFERROR(INDIRECT(CONCATENATE("D", S16)),100)</f>
        <v>18.810728000000001</v>
      </c>
      <c r="V16">
        <f>GetLeadingCarRow($B$45:$E$56,L16,$E$15,E16)</f>
        <v>49</v>
      </c>
      <c r="W16">
        <f ca="1">IFERROR(INDIRECT(CONCATENATE("B", V16))-E16,1000000000)</f>
        <v>12.907951000000025</v>
      </c>
      <c r="X16">
        <f ca="1">IFERROR(INDIRECT(CONCATENATE("D", V16)),100)</f>
        <v>14.970216000000001</v>
      </c>
      <c r="Y16">
        <f>GetFollowingCarRow($B$45:$E$56,L16,$E$15,E16)</f>
        <v>48</v>
      </c>
      <c r="Z16">
        <f ca="1">IFERROR(INDIRECT(CONCATENATE("B", Y16))-E16,1000000000)</f>
        <v>-62.798991000000001</v>
      </c>
      <c r="AA16">
        <f ca="1">IFERROR(INDIRECT(CONCATENATE("D", Y16)),100)</f>
        <v>18.810728000000001</v>
      </c>
      <c r="AB16">
        <f>$F$15-F16</f>
        <v>0.20999999999999996</v>
      </c>
      <c r="AC16">
        <f>E16-$E$15</f>
        <v>5.2000000000000455</v>
      </c>
      <c r="AD16">
        <f>$F$15-(-AB16/AC16)*$E$15</f>
        <v>28.798038461538226</v>
      </c>
      <c r="AE16">
        <f>AD16*-AC16</f>
        <v>-149.74980000000008</v>
      </c>
      <c r="AF16">
        <f>SQRT(AB16^2+AC16^2)</f>
        <v>5.204238657094856</v>
      </c>
      <c r="AG16">
        <f>GetSmallestNormalDistance($B$45:$E$56,AB16,AC16,AF16,$L$15,L16)</f>
        <v>23.752483426462305</v>
      </c>
      <c r="AH16">
        <f t="shared" ref="AH16:AH37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6.2177618650020678E-3</v>
      </c>
      <c r="AL16">
        <f>IF(H16+ABS(K16)&lt;0,Logistic(SQRT(H16^2+K16^2)/$B$4),0)</f>
        <v>0.21510653643858649</v>
      </c>
      <c r="AM16">
        <f>IF(G16&gt;$B$3,1,0)</f>
        <v>0</v>
      </c>
      <c r="AN16">
        <f>IF(H16&gt;$B$4,1,0)</f>
        <v>0</v>
      </c>
      <c r="AO16">
        <f>ABS(H16)/$B$4</f>
        <v>0.43625000000000003</v>
      </c>
      <c r="AP16">
        <f>Logistic(I16/$B$5)</f>
        <v>0.21770913842190076</v>
      </c>
      <c r="AQ16">
        <f>IF(I16&gt;$B$5,1,0)</f>
        <v>0</v>
      </c>
      <c r="AR16">
        <f>Logistic(ABS(F16-O16)/($B$6/2))</f>
        <v>6.2418746747512487E-2</v>
      </c>
      <c r="AS16">
        <f>IF(OR(F16&lt;M16,F16&gt;N16),1,0)</f>
        <v>0</v>
      </c>
      <c r="AT16">
        <f>ABS(K16)/$B$4</f>
        <v>2.6249999999999999E-2</v>
      </c>
      <c r="AU16">
        <f ca="1">MAX(($B$7-W16)/(W16+1),0)/$B$7</f>
        <v>4.0964694703530716E-2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0.50521804019034788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0.64730292826024616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7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7" si="8">Logistic(($B$3-G16)/(G16+1))</f>
        <v>6.5874916346390061E-2</v>
      </c>
      <c r="BI16">
        <f t="shared" ref="BI16:BI37" si="9">IF(G16&gt;$B$3,1,0)</f>
        <v>0</v>
      </c>
      <c r="BJ16">
        <f t="shared" ref="BJ16:BJ37" si="10">IF(H16&gt;$B$5,1,0)</f>
        <v>0</v>
      </c>
      <c r="BK16">
        <f t="shared" ref="BK16:BK37" si="11">EXP(-($B$4-ABS(H16))/MAX(ABS(H16),0.000000001))</f>
        <v>0.27464838200819691</v>
      </c>
      <c r="BL16">
        <f>IF(G16&lt;ABS(H16),1,0)</f>
        <v>0</v>
      </c>
      <c r="BM16">
        <f t="shared" ref="BM16:BM37" si="12">EXP(-($B$5-I16)/MAX(I16,0.000000001))</f>
        <v>0.28368607961307596</v>
      </c>
      <c r="BN16">
        <f t="shared" ref="BN16:BN37" si="13">IF(F16&gt;N16,(F16-N16)/$B$6,0)+IF(F16&lt;M16,(M16-F16)/$B$6,0)</f>
        <v>0</v>
      </c>
      <c r="BO16">
        <f t="shared" ref="BO16:BO37" si="14">ABS(K16/$B$4)</f>
        <v>2.6249999999999999E-2</v>
      </c>
      <c r="BP16">
        <f t="shared" ref="BP16:BP37" si="15">Logistic(ABS(H16)/$B$4)</f>
        <v>0.21473023791599191</v>
      </c>
      <c r="BQ16">
        <f t="shared" ref="BQ16:BQ37" si="16">Logistic(($B$3-G16)/G16)</f>
        <v>6.9399799942202592E-2</v>
      </c>
    </row>
    <row r="17" spans="1:69" x14ac:dyDescent="0.25">
      <c r="A17" s="1" t="s">
        <v>15</v>
      </c>
      <c r="B17">
        <f t="shared" ca="1" si="2"/>
        <v>52.714323939597165</v>
      </c>
      <c r="C17" t="s">
        <v>393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657.46</v>
      </c>
      <c r="F17">
        <f t="shared" ref="F17:F40" si="19">VALUE(MID(C17,FIND("d[",C17)+2,FIND("]",C17,FIND("d[",C17))-(FIND("d[",C17)+2)))</f>
        <v>2.2599999999999998</v>
      </c>
      <c r="G17">
        <f t="shared" ref="G17:G40" si="20">VALUE(MID(C17,FIND("s_dot[",C17)+6,FIND("]",C17,FIND("s_dot[",C17))-(FIND("s_dot[",C17)+6)))</f>
        <v>18.91</v>
      </c>
      <c r="H17">
        <f t="shared" ref="H17:H40" si="21">VALUE(MID(C17,FIND("s_dot2[",C17)+7,FIND("]",C17,FIND("s_dot2[",C17))-(FIND("s_dot2[",C17)+7)))</f>
        <v>-1.88</v>
      </c>
      <c r="I17">
        <f t="shared" ref="I17:I40" si="22">VALUE(MID(C17,FIND("s_dot3[",C17)+7,FIND("]",C17,FIND("s_dot3[",C17))-(FIND("s_dot3[",C17)+7)))</f>
        <v>1.92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0.21</v>
      </c>
      <c r="L17">
        <f t="shared" si="3"/>
        <v>1</v>
      </c>
      <c r="M17">
        <f t="shared" si="0"/>
        <v>0</v>
      </c>
      <c r="N17">
        <f t="shared" si="1"/>
        <v>4</v>
      </c>
      <c r="O17">
        <f t="shared" si="4"/>
        <v>2</v>
      </c>
      <c r="P17">
        <f t="shared" si="5"/>
        <v>49</v>
      </c>
      <c r="Q17">
        <f t="shared" ref="Q17:Q40" ca="1" si="25">IFERROR(INDIRECT(CONCATENATE("B", P17))-$E$15,1000000)</f>
        <v>18.107951000000071</v>
      </c>
      <c r="R17">
        <f t="shared" ref="R17:R40" ca="1" si="26">IFERROR(INDIRECT(CONCATENATE("D", P17)),100)</f>
        <v>14.970216000000001</v>
      </c>
      <c r="S17">
        <f t="shared" ref="S17:S40" si="27">GetFollowingCarRow($B$45:$E$56,L17,$E$15, $E$15)</f>
        <v>48</v>
      </c>
      <c r="T17">
        <f t="shared" ref="T17:T40" ca="1" si="28">IFERROR(INDIRECT(CONCATENATE("B", S17))-$E$15,1000000)</f>
        <v>-57.598990999999955</v>
      </c>
      <c r="U17">
        <f t="shared" ref="U17:U40" ca="1" si="29">IFERROR(INDIRECT(CONCATENATE("D", S17)),100)</f>
        <v>18.810728000000001</v>
      </c>
      <c r="V17">
        <f t="shared" ref="V17:V40" si="30">GetLeadingCarRow($B$45:$E$56,L17,$E$15,E17)</f>
        <v>49</v>
      </c>
      <c r="W17">
        <f t="shared" ref="W17:W40" ca="1" si="31">IFERROR(INDIRECT(CONCATENATE("B", V17))-E17,1000000000)</f>
        <v>12.827950999999985</v>
      </c>
      <c r="X17">
        <f t="shared" ref="X17:X40" ca="1" si="32">IFERROR(INDIRECT(CONCATENATE("D", V17)),100)</f>
        <v>14.970216000000001</v>
      </c>
      <c r="Y17">
        <f>GetFollowingCarRow($B$45:$E$54,L17,$E$15,E17)</f>
        <v>48</v>
      </c>
      <c r="Z17">
        <f t="shared" ref="Z17:Z40" ca="1" si="33">IFERROR(INDIRECT(CONCATENATE("B", Y17))-E17,1000000000)</f>
        <v>-62.878991000000042</v>
      </c>
      <c r="AA17">
        <f t="shared" ref="AA17:AA40" ca="1" si="34">IFERROR(INDIRECT(CONCATENATE("D", Y17)),100)</f>
        <v>18.810728000000001</v>
      </c>
      <c r="AB17">
        <f t="shared" ref="AB17:AB40" si="35">$F$15-F17</f>
        <v>0.20000000000000018</v>
      </c>
      <c r="AC17">
        <f t="shared" ref="AC17:AC40" si="36">E17-$E$15</f>
        <v>5.2800000000000864</v>
      </c>
      <c r="AD17">
        <f t="shared" ref="AD17:AD40" si="37">$F$15-(-AB17/AC17)*$E$15</f>
        <v>27.163787878787495</v>
      </c>
      <c r="AE17">
        <f t="shared" ref="AE17:AE40" si="38">AD17*-AC17</f>
        <v>-143.42480000000032</v>
      </c>
      <c r="AF17">
        <f t="shared" ref="AF17:AF40" si="39">SQRT(AB17^2+AC17^2)</f>
        <v>5.2837865210472792</v>
      </c>
      <c r="AG17">
        <f t="shared" ref="AG17:AG40" si="40">GetSmallestNormalDistance($B$45:$E$56,AB17,AC17,AF17,$L$15,L17)</f>
        <v>22.331463281111684</v>
      </c>
      <c r="AH17">
        <f t="shared" si="6"/>
        <v>0</v>
      </c>
      <c r="AI17">
        <f>IF(G17&lt;=0,1,0)</f>
        <v>0</v>
      </c>
      <c r="AJ17">
        <f>IF(G17&lt;0,1,0)</f>
        <v>0</v>
      </c>
      <c r="AK17">
        <f>MAX(($B$3-G17)/(G17 + 1),0) / $B$3</f>
        <v>5.4675824433324111E-3</v>
      </c>
      <c r="AL17">
        <f>IF(H17+ABS(K17)&lt;0,Logistic(SQRT(H17^2+K17^2)/$B$4),0)</f>
        <v>0.11768293880668679</v>
      </c>
      <c r="AM17">
        <f>IF(G17&gt;$B$3,1,0)</f>
        <v>0</v>
      </c>
      <c r="AN17">
        <f>IF(H17&gt;$B$4,1,0)</f>
        <v>0</v>
      </c>
      <c r="AO17">
        <f>ABS(H17)/$B$4</f>
        <v>0.23499999999999999</v>
      </c>
      <c r="AP17">
        <f>Logistic(I17/$B$5)</f>
        <v>0.11942729853438586</v>
      </c>
      <c r="AQ17">
        <f>IF(I17&gt;$B$5,1,0)</f>
        <v>0</v>
      </c>
      <c r="AR17">
        <f>Logistic(ABS(F17-O17)/($B$6/2))</f>
        <v>6.4908612774637456E-2</v>
      </c>
      <c r="AS17">
        <f>IF(OR(F17&lt;M17,F17&gt;N17),1,0)</f>
        <v>0</v>
      </c>
      <c r="AT17">
        <f>ABS(K17)/$B$4</f>
        <v>2.6249999999999999E-2</v>
      </c>
      <c r="AU17">
        <f t="shared" ref="AU17:AU40" ca="1" si="41">MAX(($B$7-W17)/(W17+1),0)/$B$7</f>
        <v>4.1394537291413201E-2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0.54038213770094823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0.67439963713746776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2">IF(OR(ABS(Q17)&lt;$B$8,ABS(W17)&lt;$B$8),1,0)</f>
        <v>0</v>
      </c>
      <c r="BB17">
        <f t="shared" ref="BB17:BB40" ca="1" si="43">IF(OR(ABS(T17)&lt;$B$8,ABS(Z17)&lt;$B$8),1,0)</f>
        <v>0</v>
      </c>
      <c r="BC17">
        <f t="shared" ref="BC17:BC40" si="44">IFERROR(IF(P17=Y17,1,0),0)</f>
        <v>0</v>
      </c>
      <c r="BE17">
        <f t="shared" si="7"/>
        <v>0</v>
      </c>
      <c r="BF17">
        <f t="shared" ref="BF17:BF40" si="45">IF(G17&lt;=0,1,0)</f>
        <v>0</v>
      </c>
      <c r="BG17">
        <f t="shared" ref="BG17:BG40" si="46">IF(G17&lt;0,1,0)</f>
        <v>0</v>
      </c>
      <c r="BH17">
        <f t="shared" si="8"/>
        <v>5.7946062690543497E-2</v>
      </c>
      <c r="BI17">
        <f t="shared" si="9"/>
        <v>0</v>
      </c>
      <c r="BJ17">
        <f t="shared" si="10"/>
        <v>0</v>
      </c>
      <c r="BK17">
        <f t="shared" si="11"/>
        <v>3.8568509600138592E-2</v>
      </c>
      <c r="BL17">
        <f t="shared" ref="BL17:BL40" si="47">IF(G17&lt;ABS(H17),1,0)</f>
        <v>0</v>
      </c>
      <c r="BM17">
        <f t="shared" si="12"/>
        <v>4.2143843509276385E-2</v>
      </c>
      <c r="BN17">
        <f t="shared" si="13"/>
        <v>0</v>
      </c>
      <c r="BO17">
        <f t="shared" si="14"/>
        <v>2.6249999999999999E-2</v>
      </c>
      <c r="BP17">
        <f t="shared" si="15"/>
        <v>0.11696222487632273</v>
      </c>
      <c r="BQ17">
        <f t="shared" si="16"/>
        <v>6.1002953554117764E-2</v>
      </c>
    </row>
    <row r="18" spans="1:69" x14ac:dyDescent="0.25">
      <c r="A18" s="1" t="s">
        <v>14</v>
      </c>
      <c r="B18">
        <f t="shared" ca="1" si="2"/>
        <v>54.606307323656658</v>
      </c>
      <c r="C18" t="s">
        <v>392</v>
      </c>
      <c r="D18">
        <f t="shared" si="17"/>
        <v>50</v>
      </c>
      <c r="E18">
        <f t="shared" si="18"/>
        <v>657.56</v>
      </c>
      <c r="F18">
        <f t="shared" si="19"/>
        <v>2.2599999999999998</v>
      </c>
      <c r="G18">
        <f t="shared" si="20"/>
        <v>19.27</v>
      </c>
      <c r="H18">
        <f t="shared" si="21"/>
        <v>0.23</v>
      </c>
      <c r="I18">
        <f t="shared" si="22"/>
        <v>0.18</v>
      </c>
      <c r="J18">
        <f t="shared" si="23"/>
        <v>0</v>
      </c>
      <c r="K18">
        <f t="shared" si="24"/>
        <v>0.21</v>
      </c>
      <c r="L18">
        <f t="shared" si="3"/>
        <v>1</v>
      </c>
      <c r="M18">
        <f t="shared" si="0"/>
        <v>0</v>
      </c>
      <c r="N18">
        <f t="shared" si="1"/>
        <v>4</v>
      </c>
      <c r="O18">
        <f t="shared" si="4"/>
        <v>2</v>
      </c>
      <c r="P18">
        <f t="shared" si="5"/>
        <v>49</v>
      </c>
      <c r="Q18">
        <f t="shared" ca="1" si="25"/>
        <v>18.107951000000071</v>
      </c>
      <c r="R18">
        <f t="shared" ca="1" si="26"/>
        <v>14.970216000000001</v>
      </c>
      <c r="S18">
        <f t="shared" si="27"/>
        <v>48</v>
      </c>
      <c r="T18">
        <f t="shared" ca="1" si="28"/>
        <v>-57.598990999999955</v>
      </c>
      <c r="U18">
        <f t="shared" ca="1" si="29"/>
        <v>18.810728000000001</v>
      </c>
      <c r="V18">
        <f t="shared" si="30"/>
        <v>49</v>
      </c>
      <c r="W18">
        <f t="shared" ca="1" si="31"/>
        <v>12.727951000000076</v>
      </c>
      <c r="X18">
        <f t="shared" ca="1" si="32"/>
        <v>14.970216000000001</v>
      </c>
      <c r="Y18">
        <f>GetFollowingCarRow($B$45:$E$54,L18,$E$15,E18)</f>
        <v>48</v>
      </c>
      <c r="Z18">
        <f t="shared" ca="1" si="33"/>
        <v>-62.978990999999951</v>
      </c>
      <c r="AA18">
        <f t="shared" ca="1" si="34"/>
        <v>18.810728000000001</v>
      </c>
      <c r="AB18">
        <f t="shared" si="35"/>
        <v>0.20000000000000018</v>
      </c>
      <c r="AC18">
        <f t="shared" si="36"/>
        <v>5.3799999999999955</v>
      </c>
      <c r="AD18">
        <f t="shared" si="37"/>
        <v>26.704609665427551</v>
      </c>
      <c r="AE18">
        <f t="shared" si="38"/>
        <v>-143.6708000000001</v>
      </c>
      <c r="AF18">
        <f t="shared" si="39"/>
        <v>5.3837161886563027</v>
      </c>
      <c r="AG18">
        <f t="shared" si="40"/>
        <v>21.932122003160465</v>
      </c>
      <c r="AH18">
        <f t="shared" si="6"/>
        <v>0</v>
      </c>
      <c r="AI18">
        <f>IF(G18&lt;=0,1,0)</f>
        <v>0</v>
      </c>
      <c r="AJ18">
        <f>IF(G18&lt;0,1,0)</f>
        <v>0</v>
      </c>
      <c r="AK18">
        <f>MAX(($B$3-G18)/(G18 + 1),0) / $B$3</f>
        <v>4.5335194478684773E-3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2.8750000000000001E-2</v>
      </c>
      <c r="AP18">
        <f>Logistic(I18/$B$5)</f>
        <v>1.1249525414650879E-2</v>
      </c>
      <c r="AQ18">
        <f>IF(I18&gt;$B$5,1,0)</f>
        <v>0</v>
      </c>
      <c r="AR18">
        <f>Logistic(ABS(F18-O18)/($B$6/2))</f>
        <v>6.4908612774637456E-2</v>
      </c>
      <c r="AS18">
        <f>IF(OR(F18&lt;M18,F18&gt;N18),1,0)</f>
        <v>0</v>
      </c>
      <c r="AT18">
        <f>ABS(K18)/$B$4</f>
        <v>2.6249999999999999E-2</v>
      </c>
      <c r="AU18">
        <f t="shared" ca="1" si="41"/>
        <v>4.1938885611309436E-2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0.57886370571172707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0.70398627000797998</v>
      </c>
      <c r="AZ18">
        <f ca="1">MAX(1-(IF(Z18/(G18-AA18)&gt;0,Z18/(G18-AA18),Collision_Time_Buffer)/Collision_Time_Buffer),0)*IF($L$15&lt;&gt;L18,Lane_Change_Multiplier,1)</f>
        <v>0</v>
      </c>
      <c r="BA18">
        <f t="shared" ca="1" si="42"/>
        <v>0</v>
      </c>
      <c r="BB18">
        <f t="shared" ca="1" si="43"/>
        <v>0</v>
      </c>
      <c r="BC18">
        <f t="shared" si="44"/>
        <v>0</v>
      </c>
      <c r="BE18">
        <f t="shared" si="7"/>
        <v>0</v>
      </c>
      <c r="BF18">
        <f t="shared" si="45"/>
        <v>0</v>
      </c>
      <c r="BG18">
        <f t="shared" si="46"/>
        <v>0</v>
      </c>
      <c r="BH18">
        <f t="shared" si="8"/>
        <v>4.8063579277118684E-2</v>
      </c>
      <c r="BI18">
        <f t="shared" si="9"/>
        <v>0</v>
      </c>
      <c r="BJ18">
        <f t="shared" si="10"/>
        <v>0</v>
      </c>
      <c r="BK18">
        <f t="shared" si="11"/>
        <v>2.1300973848403702E-15</v>
      </c>
      <c r="BL18">
        <f t="shared" si="47"/>
        <v>0</v>
      </c>
      <c r="BM18">
        <f t="shared" si="12"/>
        <v>1.3561805402628943E-19</v>
      </c>
      <c r="BN18">
        <f t="shared" si="13"/>
        <v>0</v>
      </c>
      <c r="BO18">
        <f t="shared" si="14"/>
        <v>2.6249999999999999E-2</v>
      </c>
      <c r="BP18">
        <f t="shared" si="15"/>
        <v>1.4374009928840692E-2</v>
      </c>
      <c r="BQ18">
        <f t="shared" si="16"/>
        <v>5.0553650229740461E-2</v>
      </c>
    </row>
    <row r="19" spans="1:69" x14ac:dyDescent="0.25">
      <c r="A19" s="1" t="s">
        <v>13</v>
      </c>
      <c r="B19">
        <f t="shared" ca="1" si="2"/>
        <v>54.998453643738621</v>
      </c>
      <c r="C19" t="s">
        <v>391</v>
      </c>
      <c r="D19">
        <f t="shared" si="17"/>
        <v>50</v>
      </c>
      <c r="E19">
        <f t="shared" si="18"/>
        <v>657.59</v>
      </c>
      <c r="F19">
        <f t="shared" si="19"/>
        <v>2.2599999999999998</v>
      </c>
      <c r="G19">
        <f t="shared" si="20"/>
        <v>19.350000000000001</v>
      </c>
      <c r="H19">
        <f t="shared" si="21"/>
        <v>0.71</v>
      </c>
      <c r="I19">
        <f t="shared" si="22"/>
        <v>0.67</v>
      </c>
      <c r="J19">
        <f t="shared" si="23"/>
        <v>0</v>
      </c>
      <c r="K19">
        <f t="shared" si="24"/>
        <v>0.21</v>
      </c>
      <c r="L19">
        <f t="shared" si="3"/>
        <v>1</v>
      </c>
      <c r="M19">
        <f t="shared" si="0"/>
        <v>0</v>
      </c>
      <c r="N19">
        <f t="shared" si="1"/>
        <v>4</v>
      </c>
      <c r="O19">
        <f t="shared" si="4"/>
        <v>2</v>
      </c>
      <c r="P19">
        <f t="shared" si="5"/>
        <v>49</v>
      </c>
      <c r="Q19">
        <f t="shared" ca="1" si="25"/>
        <v>18.107951000000071</v>
      </c>
      <c r="R19">
        <f t="shared" ca="1" si="26"/>
        <v>14.970216000000001</v>
      </c>
      <c r="S19">
        <f t="shared" si="27"/>
        <v>48</v>
      </c>
      <c r="T19">
        <f t="shared" ca="1" si="28"/>
        <v>-57.598990999999955</v>
      </c>
      <c r="U19">
        <f t="shared" ca="1" si="29"/>
        <v>18.810728000000001</v>
      </c>
      <c r="V19">
        <f t="shared" si="30"/>
        <v>49</v>
      </c>
      <c r="W19">
        <f t="shared" ca="1" si="31"/>
        <v>12.697950999999989</v>
      </c>
      <c r="X19">
        <f t="shared" ca="1" si="32"/>
        <v>14.970216000000001</v>
      </c>
      <c r="Y19">
        <f>GetFollowingCarRow($B$45:$E$54,L19,$E$15,E19)</f>
        <v>48</v>
      </c>
      <c r="Z19">
        <f t="shared" ca="1" si="33"/>
        <v>-63.008991000000037</v>
      </c>
      <c r="AA19">
        <f t="shared" ca="1" si="34"/>
        <v>18.810728000000001</v>
      </c>
      <c r="AB19">
        <f t="shared" si="35"/>
        <v>0.20000000000000018</v>
      </c>
      <c r="AC19">
        <f t="shared" si="36"/>
        <v>5.4100000000000819</v>
      </c>
      <c r="AD19">
        <f t="shared" si="37"/>
        <v>26.57016635859485</v>
      </c>
      <c r="AE19">
        <f t="shared" si="38"/>
        <v>-143.7446000000003</v>
      </c>
      <c r="AF19">
        <f t="shared" si="39"/>
        <v>5.4136955954320971</v>
      </c>
      <c r="AG19">
        <f t="shared" si="40"/>
        <v>21.815192390878025</v>
      </c>
      <c r="AH19">
        <f t="shared" si="6"/>
        <v>0</v>
      </c>
      <c r="AI19">
        <f>IF(G19&lt;=0,1,0)</f>
        <v>0</v>
      </c>
      <c r="AJ19">
        <f>IF(G19&lt;0,1,0)</f>
        <v>0</v>
      </c>
      <c r="AK19">
        <f>MAX(($B$3-G19)/(G19 + 1),0) / $B$3</f>
        <v>4.3304378836895273E-3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8.8749999999999996E-2</v>
      </c>
      <c r="AP19">
        <f>Logistic(I19/$B$5)</f>
        <v>4.1850540999953285E-2</v>
      </c>
      <c r="AQ19">
        <f>IF(I19&gt;$B$5,1,0)</f>
        <v>0</v>
      </c>
      <c r="AR19">
        <f>Logistic(ABS(F19-O19)/($B$6/2))</f>
        <v>6.4908612774637456E-2</v>
      </c>
      <c r="AS19">
        <f>IF(OR(F19&lt;M19,F19&gt;N19),1,0)</f>
        <v>0</v>
      </c>
      <c r="AT19">
        <f>ABS(K19)/$B$4</f>
        <v>2.6249999999999999E-2</v>
      </c>
      <c r="AU19">
        <f t="shared" ca="1" si="41"/>
        <v>4.2103739943781922E-2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0.58655607217159411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0.7100781454062578</v>
      </c>
      <c r="AZ19">
        <f ca="1">MAX(1-(IF(Z19/(G19-AA19)&gt;0,Z19/(G19-AA19),Collision_Time_Buffer)/Collision_Time_Buffer),0)*IF($L$15&lt;&gt;L19,Lane_Change_Multiplier,1)</f>
        <v>0</v>
      </c>
      <c r="BA19">
        <f t="shared" ca="1" si="42"/>
        <v>0</v>
      </c>
      <c r="BB19">
        <f t="shared" ca="1" si="43"/>
        <v>0</v>
      </c>
      <c r="BC19">
        <f t="shared" si="44"/>
        <v>0</v>
      </c>
      <c r="BE19">
        <f t="shared" si="7"/>
        <v>0</v>
      </c>
      <c r="BF19">
        <f t="shared" si="45"/>
        <v>0</v>
      </c>
      <c r="BG19">
        <f t="shared" si="46"/>
        <v>0</v>
      </c>
      <c r="BH19">
        <f t="shared" si="8"/>
        <v>4.5913642134090431E-2</v>
      </c>
      <c r="BI19">
        <f t="shared" si="9"/>
        <v>0</v>
      </c>
      <c r="BJ19">
        <f t="shared" si="10"/>
        <v>0</v>
      </c>
      <c r="BK19">
        <f t="shared" si="11"/>
        <v>3.4740457297736573E-5</v>
      </c>
      <c r="BL19">
        <f t="shared" si="47"/>
        <v>0</v>
      </c>
      <c r="BM19">
        <f t="shared" si="12"/>
        <v>1.7729183205081167E-5</v>
      </c>
      <c r="BN19">
        <f t="shared" si="13"/>
        <v>0</v>
      </c>
      <c r="BO19">
        <f t="shared" si="14"/>
        <v>2.6249999999999999E-2</v>
      </c>
      <c r="BP19">
        <f t="shared" si="15"/>
        <v>4.4345896051946845E-2</v>
      </c>
      <c r="BQ19">
        <f t="shared" si="16"/>
        <v>4.8282841355125714E-2</v>
      </c>
    </row>
    <row r="20" spans="1:69" x14ac:dyDescent="0.25">
      <c r="A20" s="1" t="s">
        <v>12</v>
      </c>
      <c r="B20">
        <f t="shared" ca="1" si="2"/>
        <v>55.527482275833826</v>
      </c>
      <c r="C20" t="s">
        <v>390</v>
      </c>
      <c r="D20">
        <f t="shared" si="17"/>
        <v>50</v>
      </c>
      <c r="E20">
        <f t="shared" si="18"/>
        <v>657.62</v>
      </c>
      <c r="F20">
        <f t="shared" si="19"/>
        <v>2.2599999999999998</v>
      </c>
      <c r="G20">
        <f t="shared" si="20"/>
        <v>19.47</v>
      </c>
      <c r="H20">
        <f t="shared" si="21"/>
        <v>1.36</v>
      </c>
      <c r="I20">
        <f t="shared" si="22"/>
        <v>1.31</v>
      </c>
      <c r="J20">
        <f t="shared" si="23"/>
        <v>0</v>
      </c>
      <c r="K20">
        <f t="shared" si="24"/>
        <v>0.21</v>
      </c>
      <c r="L20">
        <f t="shared" si="3"/>
        <v>1</v>
      </c>
      <c r="M20">
        <f t="shared" si="0"/>
        <v>0</v>
      </c>
      <c r="N20">
        <f t="shared" si="1"/>
        <v>4</v>
      </c>
      <c r="O20">
        <f t="shared" si="4"/>
        <v>2</v>
      </c>
      <c r="P20">
        <f t="shared" si="5"/>
        <v>49</v>
      </c>
      <c r="Q20">
        <f t="shared" ca="1" si="25"/>
        <v>18.107951000000071</v>
      </c>
      <c r="R20">
        <f t="shared" ca="1" si="26"/>
        <v>14.970216000000001</v>
      </c>
      <c r="S20">
        <f t="shared" si="27"/>
        <v>48</v>
      </c>
      <c r="T20">
        <f t="shared" ca="1" si="28"/>
        <v>-57.598990999999955</v>
      </c>
      <c r="U20">
        <f t="shared" ca="1" si="29"/>
        <v>18.810728000000001</v>
      </c>
      <c r="V20">
        <f t="shared" si="30"/>
        <v>49</v>
      </c>
      <c r="W20">
        <f t="shared" ca="1" si="31"/>
        <v>12.667951000000016</v>
      </c>
      <c r="X20">
        <f t="shared" ca="1" si="32"/>
        <v>14.970216000000001</v>
      </c>
      <c r="Y20">
        <f>GetFollowingCarRow($B$45:$E$54,L20,$E$15,E20)</f>
        <v>48</v>
      </c>
      <c r="Z20">
        <f t="shared" ca="1" si="33"/>
        <v>-63.03899100000001</v>
      </c>
      <c r="AA20">
        <f t="shared" ca="1" si="34"/>
        <v>18.810728000000001</v>
      </c>
      <c r="AB20">
        <f t="shared" si="35"/>
        <v>0.20000000000000018</v>
      </c>
      <c r="AC20">
        <f t="shared" si="36"/>
        <v>5.4400000000000546</v>
      </c>
      <c r="AD20">
        <f t="shared" si="37"/>
        <v>26.437205882352718</v>
      </c>
      <c r="AE20">
        <f t="shared" si="38"/>
        <v>-143.81840000000022</v>
      </c>
      <c r="AF20">
        <f t="shared" si="39"/>
        <v>5.4436752291076838</v>
      </c>
      <c r="AG20">
        <f t="shared" si="40"/>
        <v>21.699549783641849</v>
      </c>
      <c r="AH20">
        <f t="shared" si="6"/>
        <v>0</v>
      </c>
      <c r="AI20">
        <f>IF(G20&lt;=0,1,0)</f>
        <v>0</v>
      </c>
      <c r="AJ20">
        <f>IF(G20&lt;0,1,0)</f>
        <v>0</v>
      </c>
      <c r="AK20">
        <f>MAX(($B$3-G20)/(G20 + 1),0) / $B$3</f>
        <v>4.0287918182835333E-3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0.17</v>
      </c>
      <c r="AP20">
        <f>Logistic(I20/$B$5)</f>
        <v>8.1692539122192834E-2</v>
      </c>
      <c r="AQ20">
        <f>IF(I20&gt;$B$5,1,0)</f>
        <v>0</v>
      </c>
      <c r="AR20">
        <f>Logistic(ABS(F20-O20)/($B$6/2))</f>
        <v>6.4908612774637456E-2</v>
      </c>
      <c r="AS20">
        <f>IF(OR(F20&lt;M20,F20&gt;N20),1,0)</f>
        <v>0</v>
      </c>
      <c r="AT20">
        <f>ABS(K20)/$B$4</f>
        <v>2.6249999999999999E-2</v>
      </c>
      <c r="AU20">
        <f t="shared" ca="1" si="41"/>
        <v>4.2269317958973179E-2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0.59758177281398228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0.71847646464808035</v>
      </c>
      <c r="AZ20">
        <f ca="1">MAX(1-(IF(Z20/(G20-AA20)&gt;0,Z20/(G20-AA20),Collision_Time_Buffer)/Collision_Time_Buffer),0)*IF($L$15&lt;&gt;L20,Lane_Change_Multiplier,1)</f>
        <v>0</v>
      </c>
      <c r="BA20">
        <f t="shared" ca="1" si="42"/>
        <v>0</v>
      </c>
      <c r="BB20">
        <f t="shared" ca="1" si="43"/>
        <v>0</v>
      </c>
      <c r="BC20">
        <f t="shared" si="44"/>
        <v>0</v>
      </c>
      <c r="BE20">
        <f t="shared" si="7"/>
        <v>0</v>
      </c>
      <c r="BF20">
        <f t="shared" si="45"/>
        <v>0</v>
      </c>
      <c r="BG20">
        <f t="shared" si="46"/>
        <v>0</v>
      </c>
      <c r="BH20">
        <f t="shared" si="8"/>
        <v>4.2719465697685401E-2</v>
      </c>
      <c r="BI20">
        <f t="shared" si="9"/>
        <v>0</v>
      </c>
      <c r="BJ20">
        <f t="shared" si="10"/>
        <v>0</v>
      </c>
      <c r="BK20">
        <f t="shared" si="11"/>
        <v>7.5791597137662139E-3</v>
      </c>
      <c r="BL20">
        <f t="shared" si="47"/>
        <v>0</v>
      </c>
      <c r="BM20">
        <f t="shared" si="12"/>
        <v>6.0550040748313808E-3</v>
      </c>
      <c r="BN20">
        <f t="shared" si="13"/>
        <v>0</v>
      </c>
      <c r="BO20">
        <f t="shared" si="14"/>
        <v>2.6249999999999999E-2</v>
      </c>
      <c r="BP20">
        <f t="shared" si="15"/>
        <v>8.4795881548701976E-2</v>
      </c>
      <c r="BQ20">
        <f t="shared" si="16"/>
        <v>4.4910703644346579E-2</v>
      </c>
    </row>
    <row r="21" spans="1:69" x14ac:dyDescent="0.25">
      <c r="A21" s="1" t="s">
        <v>33</v>
      </c>
      <c r="B21">
        <f t="shared" ca="1" si="2"/>
        <v>54.220518148194699</v>
      </c>
      <c r="C21" t="s">
        <v>389</v>
      </c>
      <c r="D21">
        <f t="shared" si="17"/>
        <v>50</v>
      </c>
      <c r="E21">
        <f t="shared" si="18"/>
        <v>657.54</v>
      </c>
      <c r="F21">
        <f t="shared" si="19"/>
        <v>2.2599999999999998</v>
      </c>
      <c r="G21">
        <f t="shared" si="20"/>
        <v>19.190000000000001</v>
      </c>
      <c r="H21">
        <f t="shared" si="21"/>
        <v>-0.26</v>
      </c>
      <c r="I21">
        <f t="shared" si="22"/>
        <v>0.3</v>
      </c>
      <c r="J21">
        <f t="shared" si="23"/>
        <v>0</v>
      </c>
      <c r="K21">
        <f t="shared" si="24"/>
        <v>0.21</v>
      </c>
      <c r="L21">
        <f t="shared" si="3"/>
        <v>1</v>
      </c>
      <c r="M21">
        <f t="shared" si="0"/>
        <v>0</v>
      </c>
      <c r="N21">
        <f t="shared" si="1"/>
        <v>4</v>
      </c>
      <c r="O21">
        <f t="shared" si="4"/>
        <v>2</v>
      </c>
      <c r="P21">
        <f t="shared" si="5"/>
        <v>49</v>
      </c>
      <c r="Q21">
        <f t="shared" ca="1" si="25"/>
        <v>18.107951000000071</v>
      </c>
      <c r="R21">
        <f t="shared" ca="1" si="26"/>
        <v>14.970216000000001</v>
      </c>
      <c r="S21">
        <f t="shared" si="27"/>
        <v>48</v>
      </c>
      <c r="T21">
        <f t="shared" ca="1" si="28"/>
        <v>-57.598990999999955</v>
      </c>
      <c r="U21">
        <f t="shared" ca="1" si="29"/>
        <v>18.810728000000001</v>
      </c>
      <c r="V21">
        <f t="shared" si="30"/>
        <v>49</v>
      </c>
      <c r="W21">
        <f t="shared" ca="1" si="31"/>
        <v>12.747951000000057</v>
      </c>
      <c r="X21">
        <f t="shared" ca="1" si="32"/>
        <v>14.970216000000001</v>
      </c>
      <c r="Y21">
        <f>GetFollowingCarRow($B$45:$E$54,L21,$E$15,E21)</f>
        <v>48</v>
      </c>
      <c r="Z21">
        <f t="shared" ca="1" si="33"/>
        <v>-62.958990999999969</v>
      </c>
      <c r="AA21">
        <f t="shared" ca="1" si="34"/>
        <v>18.810728000000001</v>
      </c>
      <c r="AB21">
        <f t="shared" si="35"/>
        <v>0.20000000000000018</v>
      </c>
      <c r="AC21">
        <f t="shared" si="36"/>
        <v>5.3600000000000136</v>
      </c>
      <c r="AD21">
        <f t="shared" si="37"/>
        <v>26.795074626865631</v>
      </c>
      <c r="AE21">
        <f t="shared" si="38"/>
        <v>-143.62160000000014</v>
      </c>
      <c r="AF21">
        <f t="shared" si="39"/>
        <v>5.3637300454068475</v>
      </c>
      <c r="AG21">
        <f t="shared" si="40"/>
        <v>22.010800722735677</v>
      </c>
      <c r="AH21">
        <f t="shared" si="6"/>
        <v>0</v>
      </c>
      <c r="AI21">
        <f>IF(G21&lt;=0,1,0)</f>
        <v>0</v>
      </c>
      <c r="AJ21">
        <f>IF(G21&lt;0,1,0)</f>
        <v>0</v>
      </c>
      <c r="AK21">
        <f>MAX(($B$3-G21)/(G21 + 1),0) / $B$3</f>
        <v>4.7382103756070338E-3</v>
      </c>
      <c r="AL21">
        <f>IF(H21+ABS(K21)&lt;0,Logistic(SQRT(H21^2+K21^2)/$B$4),0)</f>
        <v>2.0885431163519031E-2</v>
      </c>
      <c r="AM21">
        <f>IF(G21&gt;$B$3,1,0)</f>
        <v>0</v>
      </c>
      <c r="AN21">
        <f>IF(H21&gt;$B$4,1,0)</f>
        <v>0</v>
      </c>
      <c r="AO21">
        <f>ABS(H21)/$B$4</f>
        <v>3.2500000000000001E-2</v>
      </c>
      <c r="AP21">
        <f>Logistic(I21/$B$5)</f>
        <v>1.8747803043321489E-2</v>
      </c>
      <c r="AQ21">
        <f>IF(I21&gt;$B$5,1,0)</f>
        <v>0</v>
      </c>
      <c r="AR21">
        <f>Logistic(ABS(F21-O21)/($B$6/2))</f>
        <v>6.4908612774637456E-2</v>
      </c>
      <c r="AS21">
        <f>IF(OR(F21&lt;M21,F21&gt;N21),1,0)</f>
        <v>0</v>
      </c>
      <c r="AT21">
        <f>ABS(K21)/$B$4</f>
        <v>2.6249999999999999E-2</v>
      </c>
      <c r="AU21">
        <f t="shared" ca="1" si="41"/>
        <v>4.1829382429424987E-2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0.5708796706182101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0.69790039016214922</v>
      </c>
      <c r="AZ21">
        <f ca="1">MAX(1-(IF(Z21/(G21-AA21)&gt;0,Z21/(G21-AA21),Collision_Time_Buffer)/Collision_Time_Buffer),0)*IF($L$15&lt;&gt;L21,Lane_Change_Multiplier,1)</f>
        <v>0</v>
      </c>
      <c r="BA21">
        <f t="shared" ca="1" si="42"/>
        <v>0</v>
      </c>
      <c r="BB21">
        <f t="shared" ca="1" si="43"/>
        <v>0</v>
      </c>
      <c r="BC21">
        <f t="shared" si="44"/>
        <v>0</v>
      </c>
      <c r="BE21">
        <f t="shared" si="7"/>
        <v>0</v>
      </c>
      <c r="BF21">
        <f t="shared" si="45"/>
        <v>0</v>
      </c>
      <c r="BG21">
        <f t="shared" si="46"/>
        <v>0</v>
      </c>
      <c r="BH21">
        <f t="shared" si="8"/>
        <v>5.0230103441555582E-2</v>
      </c>
      <c r="BI21">
        <f t="shared" si="9"/>
        <v>0</v>
      </c>
      <c r="BJ21">
        <f t="shared" si="10"/>
        <v>0</v>
      </c>
      <c r="BK21">
        <f t="shared" si="11"/>
        <v>1.1786567465600531E-13</v>
      </c>
      <c r="BL21">
        <f t="shared" si="47"/>
        <v>0</v>
      </c>
      <c r="BM21">
        <f t="shared" si="12"/>
        <v>7.13030812843618E-12</v>
      </c>
      <c r="BN21">
        <f t="shared" si="13"/>
        <v>0</v>
      </c>
      <c r="BO21">
        <f t="shared" si="14"/>
        <v>2.6249999999999999E-2</v>
      </c>
      <c r="BP21">
        <f t="shared" si="15"/>
        <v>1.6248569812521704E-2</v>
      </c>
      <c r="BQ21">
        <f t="shared" si="16"/>
        <v>5.2842863170435302E-2</v>
      </c>
    </row>
    <row r="22" spans="1:69" x14ac:dyDescent="0.25">
      <c r="A22" s="1" t="s">
        <v>11</v>
      </c>
      <c r="B22">
        <f t="shared" ca="1" si="2"/>
        <v>54.132669708902831</v>
      </c>
      <c r="C22" t="s">
        <v>388</v>
      </c>
      <c r="D22">
        <f t="shared" si="17"/>
        <v>50</v>
      </c>
      <c r="E22">
        <f t="shared" si="18"/>
        <v>657.54</v>
      </c>
      <c r="F22">
        <f t="shared" si="19"/>
        <v>2.2599999999999998</v>
      </c>
      <c r="G22">
        <f t="shared" si="20"/>
        <v>19.170000000000002</v>
      </c>
      <c r="H22">
        <f t="shared" si="21"/>
        <v>-0.33</v>
      </c>
      <c r="I22">
        <f t="shared" si="22"/>
        <v>0.38</v>
      </c>
      <c r="J22">
        <f t="shared" si="23"/>
        <v>0</v>
      </c>
      <c r="K22">
        <f t="shared" si="24"/>
        <v>0.21</v>
      </c>
      <c r="L22">
        <f t="shared" si="3"/>
        <v>1</v>
      </c>
      <c r="M22">
        <f t="shared" si="0"/>
        <v>0</v>
      </c>
      <c r="N22">
        <f t="shared" si="1"/>
        <v>4</v>
      </c>
      <c r="O22">
        <f t="shared" si="4"/>
        <v>2</v>
      </c>
      <c r="P22">
        <f t="shared" si="5"/>
        <v>49</v>
      </c>
      <c r="Q22">
        <f t="shared" ca="1" si="25"/>
        <v>18.107951000000071</v>
      </c>
      <c r="R22">
        <f t="shared" ca="1" si="26"/>
        <v>14.970216000000001</v>
      </c>
      <c r="S22">
        <f t="shared" si="27"/>
        <v>48</v>
      </c>
      <c r="T22">
        <f t="shared" ca="1" si="28"/>
        <v>-57.598990999999955</v>
      </c>
      <c r="U22">
        <f t="shared" ca="1" si="29"/>
        <v>18.810728000000001</v>
      </c>
      <c r="V22">
        <f t="shared" si="30"/>
        <v>49</v>
      </c>
      <c r="W22">
        <f t="shared" ca="1" si="31"/>
        <v>12.747951000000057</v>
      </c>
      <c r="X22">
        <f t="shared" ca="1" si="32"/>
        <v>14.970216000000001</v>
      </c>
      <c r="Y22">
        <f>GetFollowingCarRow($B$45:$E$54,L22,$E$15,E22)</f>
        <v>48</v>
      </c>
      <c r="Z22">
        <f t="shared" ca="1" si="33"/>
        <v>-62.958990999999969</v>
      </c>
      <c r="AA22">
        <f t="shared" ca="1" si="34"/>
        <v>18.810728000000001</v>
      </c>
      <c r="AB22">
        <f t="shared" si="35"/>
        <v>0.20000000000000018</v>
      </c>
      <c r="AC22">
        <f t="shared" si="36"/>
        <v>5.3600000000000136</v>
      </c>
      <c r="AD22">
        <f t="shared" si="37"/>
        <v>26.795074626865631</v>
      </c>
      <c r="AE22">
        <f t="shared" si="38"/>
        <v>-143.62160000000014</v>
      </c>
      <c r="AF22">
        <f t="shared" si="39"/>
        <v>5.3637300454068475</v>
      </c>
      <c r="AG22">
        <f t="shared" si="40"/>
        <v>22.010800722735677</v>
      </c>
      <c r="AH22">
        <f t="shared" si="6"/>
        <v>0</v>
      </c>
      <c r="AI22">
        <f>IF(G22&lt;=0,1,0)</f>
        <v>0</v>
      </c>
      <c r="AJ22">
        <f>IF(G22&lt;0,1,0)</f>
        <v>0</v>
      </c>
      <c r="AK22">
        <f>MAX(($B$3-G22)/(G22 + 1),0) / $B$3</f>
        <v>4.7896368146905805E-3</v>
      </c>
      <c r="AL22">
        <f>IF(H22+ABS(K22)&lt;0,Logistic(SQRT(H22^2+K22^2)/$B$4),0)</f>
        <v>2.4442139880956979E-2</v>
      </c>
      <c r="AM22">
        <f>IF(G22&gt;$B$3,1,0)</f>
        <v>0</v>
      </c>
      <c r="AN22">
        <f>IF(H22&gt;$B$4,1,0)</f>
        <v>0</v>
      </c>
      <c r="AO22">
        <f>ABS(H22)/$B$4</f>
        <v>4.1250000000000002E-2</v>
      </c>
      <c r="AP22">
        <f>Logistic(I22/$B$5)</f>
        <v>2.3745535512505592E-2</v>
      </c>
      <c r="AQ22">
        <f>IF(I22&gt;$B$5,1,0)</f>
        <v>0</v>
      </c>
      <c r="AR22">
        <f>Logistic(ABS(F22-O22)/($B$6/2))</f>
        <v>6.4908612774637456E-2</v>
      </c>
      <c r="AS22">
        <f>IF(OR(F22&lt;M22,F22&gt;N22),1,0)</f>
        <v>0</v>
      </c>
      <c r="AT22">
        <f>ABS(K22)/$B$4</f>
        <v>2.6249999999999999E-2</v>
      </c>
      <c r="AU22">
        <f t="shared" ca="1" si="41"/>
        <v>4.1829382429424987E-2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0.56883613538219902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0.69646174660410975</v>
      </c>
      <c r="AZ22">
        <f ca="1">MAX(1-(IF(Z22/(G22-AA22)&gt;0,Z22/(G22-AA22),Collision_Time_Buffer)/Collision_Time_Buffer),0)*IF($L$15&lt;&gt;L22,Lane_Change_Multiplier,1)</f>
        <v>0</v>
      </c>
      <c r="BA22">
        <f t="shared" ca="1" si="42"/>
        <v>0</v>
      </c>
      <c r="BB22">
        <f t="shared" ca="1" si="43"/>
        <v>0</v>
      </c>
      <c r="BC22">
        <f t="shared" si="44"/>
        <v>0</v>
      </c>
      <c r="BE22">
        <f t="shared" si="7"/>
        <v>0</v>
      </c>
      <c r="BF22">
        <f t="shared" si="45"/>
        <v>0</v>
      </c>
      <c r="BG22">
        <f t="shared" si="46"/>
        <v>0</v>
      </c>
      <c r="BH22">
        <f t="shared" si="8"/>
        <v>5.077434631958111E-2</v>
      </c>
      <c r="BI22">
        <f t="shared" si="9"/>
        <v>0</v>
      </c>
      <c r="BJ22">
        <f t="shared" si="10"/>
        <v>0</v>
      </c>
      <c r="BK22">
        <f t="shared" si="11"/>
        <v>8.0527349615842887E-11</v>
      </c>
      <c r="BL22">
        <f t="shared" si="47"/>
        <v>0</v>
      </c>
      <c r="BM22">
        <f t="shared" si="12"/>
        <v>1.9554772044501257E-9</v>
      </c>
      <c r="BN22">
        <f t="shared" si="13"/>
        <v>0</v>
      </c>
      <c r="BO22">
        <f t="shared" si="14"/>
        <v>2.6249999999999999E-2</v>
      </c>
      <c r="BP22">
        <f t="shared" si="15"/>
        <v>2.0622075936999738E-2</v>
      </c>
      <c r="BQ22">
        <f t="shared" si="16"/>
        <v>5.3418065451529537E-2</v>
      </c>
    </row>
    <row r="23" spans="1:69" x14ac:dyDescent="0.25">
      <c r="A23" s="1" t="s">
        <v>34</v>
      </c>
      <c r="B23">
        <f t="shared" ca="1" si="2"/>
        <v>64.871011074739158</v>
      </c>
      <c r="C23" t="s">
        <v>387</v>
      </c>
      <c r="D23">
        <f t="shared" si="17"/>
        <v>91</v>
      </c>
      <c r="E23">
        <f t="shared" si="18"/>
        <v>673.24</v>
      </c>
      <c r="F23">
        <f t="shared" si="19"/>
        <v>5.0199999999999996</v>
      </c>
      <c r="G23">
        <f t="shared" si="20"/>
        <v>18.41</v>
      </c>
      <c r="H23">
        <f t="shared" si="21"/>
        <v>-0.37</v>
      </c>
      <c r="I23">
        <f t="shared" si="22"/>
        <v>0.42</v>
      </c>
      <c r="J23">
        <f t="shared" si="23"/>
        <v>-3.97</v>
      </c>
      <c r="K23">
        <f t="shared" si="24"/>
        <v>0.89</v>
      </c>
      <c r="L23">
        <f t="shared" si="3"/>
        <v>2</v>
      </c>
      <c r="M23">
        <f t="shared" si="0"/>
        <v>4</v>
      </c>
      <c r="N23">
        <f t="shared" si="1"/>
        <v>8</v>
      </c>
      <c r="O23">
        <f t="shared" si="4"/>
        <v>6</v>
      </c>
      <c r="P23">
        <f t="shared" si="5"/>
        <v>52</v>
      </c>
      <c r="Q23">
        <f t="shared" ca="1" si="25"/>
        <v>19.517666000000077</v>
      </c>
      <c r="R23">
        <f t="shared" ca="1" si="26"/>
        <v>17.064807999999999</v>
      </c>
      <c r="S23">
        <f t="shared" si="27"/>
        <v>50</v>
      </c>
      <c r="T23">
        <f t="shared" ca="1" si="28"/>
        <v>-56.030927999999903</v>
      </c>
      <c r="U23">
        <f t="shared" ca="1" si="29"/>
        <v>19.826961000000001</v>
      </c>
      <c r="V23">
        <f t="shared" si="30"/>
        <v>51</v>
      </c>
      <c r="W23">
        <f t="shared" ca="1" si="31"/>
        <v>93.823562000000038</v>
      </c>
      <c r="X23">
        <f t="shared" ca="1" si="32"/>
        <v>18.046088000000001</v>
      </c>
      <c r="Y23">
        <f>GetFollowingCarRow($B$45:$E$54,L23,$E$15,E23)</f>
        <v>52</v>
      </c>
      <c r="Z23">
        <f t="shared" ca="1" si="33"/>
        <v>-1.5423339999999826</v>
      </c>
      <c r="AA23">
        <f t="shared" ca="1" si="34"/>
        <v>17.064807999999999</v>
      </c>
      <c r="AB23">
        <f t="shared" si="35"/>
        <v>-2.5599999999999996</v>
      </c>
      <c r="AC23">
        <f t="shared" si="36"/>
        <v>21.060000000000059</v>
      </c>
      <c r="AD23">
        <f t="shared" si="37"/>
        <v>-76.817340930674035</v>
      </c>
      <c r="AE23">
        <f t="shared" si="38"/>
        <v>1617.7731999999996</v>
      </c>
      <c r="AF23">
        <f t="shared" si="39"/>
        <v>21.215022979011888</v>
      </c>
      <c r="AG23">
        <f t="shared" si="40"/>
        <v>59.987053924900977</v>
      </c>
      <c r="AH23">
        <f t="shared" si="6"/>
        <v>0.38847268021606096</v>
      </c>
      <c r="AI23">
        <f>IF(G23&lt;=0,1,0)</f>
        <v>0</v>
      </c>
      <c r="AJ23">
        <f>IF(G23&lt;0,1,0)</f>
        <v>0</v>
      </c>
      <c r="AK23">
        <f>MAX(($B$3-G23)/(G23 + 1),0) / $B$3</f>
        <v>6.8223721363639203E-3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4.6249999999999999E-2</v>
      </c>
      <c r="AP23">
        <f>Logistic(I23/$B$5)</f>
        <v>2.6243972364486601E-2</v>
      </c>
      <c r="AQ23">
        <f>IF(I23&gt;$B$5,1,0)</f>
        <v>0</v>
      </c>
      <c r="AR23">
        <f>Logistic(ABS(F23-O23)/($B$6/2))</f>
        <v>0.24021286468618039</v>
      </c>
      <c r="AS23">
        <f>IF(OR(F23&lt;M23,F23&gt;N23),1,0)</f>
        <v>0</v>
      </c>
      <c r="AT23">
        <f>ABS(K23)/$B$4</f>
        <v>0.11125</v>
      </c>
      <c r="AU23">
        <f t="shared" ca="1" si="41"/>
        <v>0</v>
      </c>
      <c r="AV23">
        <f ca="1">IF(AND(L23&lt;&gt;$L$15,$Q$15&gt;Safety_Distance),1,0)</f>
        <v>0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2"/>
        <v>0</v>
      </c>
      <c r="BB23">
        <f t="shared" ca="1" si="43"/>
        <v>1</v>
      </c>
      <c r="BC23">
        <f t="shared" si="44"/>
        <v>1</v>
      </c>
      <c r="BE23">
        <f t="shared" si="7"/>
        <v>0.38847268021606096</v>
      </c>
      <c r="BF23">
        <f t="shared" si="45"/>
        <v>0</v>
      </c>
      <c r="BG23">
        <f t="shared" si="46"/>
        <v>0</v>
      </c>
      <c r="BH23">
        <f t="shared" si="8"/>
        <v>7.2259208312288603E-2</v>
      </c>
      <c r="BI23">
        <f t="shared" si="9"/>
        <v>0</v>
      </c>
      <c r="BJ23">
        <f t="shared" si="10"/>
        <v>0</v>
      </c>
      <c r="BK23">
        <f t="shared" si="11"/>
        <v>1.1069895517386149E-9</v>
      </c>
      <c r="BL23">
        <f t="shared" si="47"/>
        <v>0</v>
      </c>
      <c r="BM23">
        <f t="shared" si="12"/>
        <v>1.4521739308759024E-8</v>
      </c>
      <c r="BN23">
        <f t="shared" si="13"/>
        <v>0</v>
      </c>
      <c r="BO23">
        <f t="shared" si="14"/>
        <v>0.11125</v>
      </c>
      <c r="BP23">
        <f t="shared" si="15"/>
        <v>2.3120878729870464E-2</v>
      </c>
      <c r="BQ23">
        <f t="shared" si="16"/>
        <v>7.6169398027458049E-2</v>
      </c>
    </row>
    <row r="24" spans="1:69" x14ac:dyDescent="0.25">
      <c r="A24" s="1" t="s">
        <v>35</v>
      </c>
      <c r="B24">
        <f t="shared" ca="1" si="2"/>
        <v>65.916009533183086</v>
      </c>
      <c r="C24" t="s">
        <v>386</v>
      </c>
      <c r="D24">
        <f t="shared" si="17"/>
        <v>86</v>
      </c>
      <c r="E24">
        <f t="shared" si="18"/>
        <v>669.63</v>
      </c>
      <c r="F24">
        <f t="shared" si="19"/>
        <v>5.04</v>
      </c>
      <c r="G24">
        <f t="shared" si="20"/>
        <v>15.05</v>
      </c>
      <c r="H24">
        <f t="shared" si="21"/>
        <v>-2.0699999999999998</v>
      </c>
      <c r="I24">
        <f t="shared" si="22"/>
        <v>2.12</v>
      </c>
      <c r="J24">
        <f t="shared" si="23"/>
        <v>-3.9</v>
      </c>
      <c r="K24">
        <f t="shared" si="24"/>
        <v>1.58</v>
      </c>
      <c r="L24">
        <f t="shared" si="3"/>
        <v>2</v>
      </c>
      <c r="M24">
        <f t="shared" si="0"/>
        <v>4</v>
      </c>
      <c r="N24">
        <f t="shared" si="1"/>
        <v>8</v>
      </c>
      <c r="O24">
        <f t="shared" si="4"/>
        <v>6</v>
      </c>
      <c r="P24">
        <f t="shared" si="5"/>
        <v>52</v>
      </c>
      <c r="Q24">
        <f t="shared" ca="1" si="25"/>
        <v>19.517666000000077</v>
      </c>
      <c r="R24">
        <f t="shared" ca="1" si="26"/>
        <v>17.064807999999999</v>
      </c>
      <c r="S24">
        <f t="shared" si="27"/>
        <v>50</v>
      </c>
      <c r="T24">
        <f t="shared" ca="1" si="28"/>
        <v>-56.030927999999903</v>
      </c>
      <c r="U24">
        <f t="shared" ca="1" si="29"/>
        <v>19.826961000000001</v>
      </c>
      <c r="V24">
        <f t="shared" si="30"/>
        <v>52</v>
      </c>
      <c r="W24">
        <f t="shared" ca="1" si="31"/>
        <v>2.0676660000000311</v>
      </c>
      <c r="X24">
        <f t="shared" ca="1" si="32"/>
        <v>17.064807999999999</v>
      </c>
      <c r="Y24">
        <f>GetFollowingCarRow($B$45:$E$54,L24,$E$15,E24)</f>
        <v>50</v>
      </c>
      <c r="Z24">
        <f t="shared" ca="1" si="33"/>
        <v>-73.480927999999949</v>
      </c>
      <c r="AA24">
        <f t="shared" ca="1" si="34"/>
        <v>19.826961000000001</v>
      </c>
      <c r="AB24">
        <f t="shared" si="35"/>
        <v>-2.58</v>
      </c>
      <c r="AC24">
        <f t="shared" si="36"/>
        <v>17.450000000000045</v>
      </c>
      <c r="AD24">
        <f t="shared" si="37"/>
        <v>-93.965467048710352</v>
      </c>
      <c r="AE24">
        <f t="shared" si="38"/>
        <v>1639.6974</v>
      </c>
      <c r="AF24">
        <f t="shared" si="39"/>
        <v>17.639696709410895</v>
      </c>
      <c r="AG24">
        <f t="shared" si="40"/>
        <v>73.998660718106692</v>
      </c>
      <c r="AH24">
        <f t="shared" si="6"/>
        <v>0.34521403413552088</v>
      </c>
      <c r="AI24">
        <f>IF(G24&lt;=0,1,0)</f>
        <v>0</v>
      </c>
      <c r="AJ24">
        <f>IF(G24&lt;0,1,0)</f>
        <v>0</v>
      </c>
      <c r="AK24">
        <f>MAX(($B$3-G24)/(G24 + 1),0) / $B$3</f>
        <v>1.8116101602849242E-2</v>
      </c>
      <c r="AL24">
        <f>IF(H24+ABS(K24)&lt;0,Logistic(SQRT(H24^2+K24^2)/$B$4),0)</f>
        <v>0.1613337698596207</v>
      </c>
      <c r="AM24">
        <f>IF(G24&gt;$B$3,1,0)</f>
        <v>0</v>
      </c>
      <c r="AN24">
        <f>IF(H24&gt;$B$4,1,0)</f>
        <v>0</v>
      </c>
      <c r="AO24">
        <f>ABS(H24)/$B$4</f>
        <v>0.25874999999999998</v>
      </c>
      <c r="AP24">
        <f>Logistic(I24/$B$5)</f>
        <v>0.13173000579096333</v>
      </c>
      <c r="AQ24">
        <f>IF(I24&gt;$B$5,1,0)</f>
        <v>0</v>
      </c>
      <c r="AR24">
        <f>Logistic(ABS(F24-O24)/($B$6/2))</f>
        <v>0.23549574953849797</v>
      </c>
      <c r="AS24">
        <f>IF(OR(F24&lt;M24,F24&gt;N24),1,0)</f>
        <v>0</v>
      </c>
      <c r="AT24">
        <f>ABS(K24)/$B$4</f>
        <v>0.19750000000000001</v>
      </c>
      <c r="AU24">
        <f t="shared" ca="1" si="41"/>
        <v>0.3035134203006421</v>
      </c>
      <c r="AV24">
        <f ca="1">IF(AND(L24&lt;&gt;$L$15,$Q$15&gt;Safety_Distance),1,0)</f>
        <v>0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2"/>
        <v>1</v>
      </c>
      <c r="BB24">
        <f t="shared" ca="1" si="43"/>
        <v>0</v>
      </c>
      <c r="BC24">
        <f t="shared" si="44"/>
        <v>0</v>
      </c>
      <c r="BE24">
        <f t="shared" si="7"/>
        <v>0.34521403413552088</v>
      </c>
      <c r="BF24">
        <f t="shared" si="45"/>
        <v>0</v>
      </c>
      <c r="BG24">
        <f t="shared" si="46"/>
        <v>0</v>
      </c>
      <c r="BH24">
        <f t="shared" si="8"/>
        <v>0.18987919036728695</v>
      </c>
      <c r="BI24">
        <f t="shared" si="9"/>
        <v>0</v>
      </c>
      <c r="BJ24">
        <f t="shared" si="10"/>
        <v>0</v>
      </c>
      <c r="BK24">
        <f t="shared" si="11"/>
        <v>5.6998273589093887E-2</v>
      </c>
      <c r="BL24">
        <f t="shared" si="47"/>
        <v>0</v>
      </c>
      <c r="BM24">
        <f t="shared" si="12"/>
        <v>6.243776953783646E-2</v>
      </c>
      <c r="BN24">
        <f t="shared" si="13"/>
        <v>0</v>
      </c>
      <c r="BO24">
        <f t="shared" si="14"/>
        <v>0.19750000000000001</v>
      </c>
      <c r="BP24">
        <f t="shared" si="15"/>
        <v>0.12865797865439887</v>
      </c>
      <c r="BQ24">
        <f t="shared" si="16"/>
        <v>0.20215982533487822</v>
      </c>
    </row>
    <row r="25" spans="1:69" x14ac:dyDescent="0.25">
      <c r="A25" s="1" t="s">
        <v>36</v>
      </c>
      <c r="B25">
        <f t="shared" ca="1" si="2"/>
        <v>184.95255604126459</v>
      </c>
      <c r="C25" t="s">
        <v>385</v>
      </c>
      <c r="D25">
        <f t="shared" si="17"/>
        <v>135</v>
      </c>
      <c r="E25">
        <f t="shared" si="18"/>
        <v>641.89</v>
      </c>
      <c r="F25">
        <f t="shared" si="19"/>
        <v>2.19</v>
      </c>
      <c r="G25">
        <f t="shared" si="20"/>
        <v>-29.26</v>
      </c>
      <c r="H25">
        <f t="shared" si="21"/>
        <v>-12.18</v>
      </c>
      <c r="I25">
        <f t="shared" si="22"/>
        <v>12.23</v>
      </c>
      <c r="J25">
        <f t="shared" si="23"/>
        <v>-0.09</v>
      </c>
      <c r="K25">
        <f t="shared" si="24"/>
        <v>3.55</v>
      </c>
      <c r="L25">
        <f t="shared" si="3"/>
        <v>2</v>
      </c>
      <c r="M25">
        <f t="shared" si="0"/>
        <v>4</v>
      </c>
      <c r="N25">
        <f t="shared" si="1"/>
        <v>8</v>
      </c>
      <c r="O25">
        <f t="shared" si="4"/>
        <v>6</v>
      </c>
      <c r="P25">
        <f t="shared" si="5"/>
        <v>52</v>
      </c>
      <c r="Q25">
        <f t="shared" ca="1" si="25"/>
        <v>19.517666000000077</v>
      </c>
      <c r="R25">
        <f t="shared" ca="1" si="26"/>
        <v>17.064807999999999</v>
      </c>
      <c r="S25">
        <f t="shared" si="27"/>
        <v>50</v>
      </c>
      <c r="T25">
        <f t="shared" ca="1" si="28"/>
        <v>-56.030927999999903</v>
      </c>
      <c r="U25">
        <f t="shared" ca="1" si="29"/>
        <v>19.826961000000001</v>
      </c>
      <c r="V25">
        <f t="shared" si="30"/>
        <v>52</v>
      </c>
      <c r="W25">
        <f t="shared" ca="1" si="31"/>
        <v>29.80766600000004</v>
      </c>
      <c r="X25">
        <f t="shared" ca="1" si="32"/>
        <v>17.064807999999999</v>
      </c>
      <c r="Y25">
        <f>GetFollowingCarRow($B$45:$E$54,L25,$E$15,E25)</f>
        <v>50</v>
      </c>
      <c r="Z25">
        <f t="shared" ca="1" si="33"/>
        <v>-45.74092799999994</v>
      </c>
      <c r="AA25">
        <f t="shared" ca="1" si="34"/>
        <v>19.826961000000001</v>
      </c>
      <c r="AB25">
        <f t="shared" si="35"/>
        <v>0.27</v>
      </c>
      <c r="AC25">
        <f t="shared" si="36"/>
        <v>-10.289999999999964</v>
      </c>
      <c r="AD25">
        <f t="shared" si="37"/>
        <v>-14.652594752186648</v>
      </c>
      <c r="AE25">
        <f t="shared" si="38"/>
        <v>-150.77520000000007</v>
      </c>
      <c r="AF25">
        <f t="shared" si="39"/>
        <v>10.293541664558377</v>
      </c>
      <c r="AG25">
        <f t="shared" si="40"/>
        <v>8.3159616096694293</v>
      </c>
      <c r="AH25">
        <f t="shared" si="6"/>
        <v>0.69106946983293061</v>
      </c>
      <c r="AI25">
        <f>IF(G25&lt;=0,1,0)</f>
        <v>1</v>
      </c>
      <c r="AJ25">
        <f>IF(G25&lt;0,1,0)</f>
        <v>1</v>
      </c>
      <c r="AK25">
        <f>MAX(($B$3-G25)/(G25 + 1),0) / $B$3</f>
        <v>0</v>
      </c>
      <c r="AL25">
        <f>IF(H25+ABS(K25)&lt;0,Logistic(SQRT(H25^2+K25^2)/$B$4),0)</f>
        <v>0.66006285955894461</v>
      </c>
      <c r="AM25">
        <f>IF(G25&gt;$B$3,1,0)</f>
        <v>0</v>
      </c>
      <c r="AN25">
        <f>IF(H25&gt;$B$4,1,0)</f>
        <v>0</v>
      </c>
      <c r="AO25">
        <f>ABS(H25)/$B$4</f>
        <v>1.5225</v>
      </c>
      <c r="AP25">
        <f>Logistic(I25/$B$5)</f>
        <v>0.64364670135260171</v>
      </c>
      <c r="AQ25">
        <f>IF(I25&gt;$B$5,1,0)</f>
        <v>1</v>
      </c>
      <c r="AR25">
        <f>Logistic(ABS(F25-O25)/($B$6/2))</f>
        <v>0.74091276216064328</v>
      </c>
      <c r="AS25">
        <f>IF(OR(F25&lt;M25,F25&gt;N25),1,0)</f>
        <v>1</v>
      </c>
      <c r="AT25">
        <f>ABS(K25)/$B$4</f>
        <v>0.44374999999999998</v>
      </c>
      <c r="AU25">
        <f t="shared" ca="1" si="41"/>
        <v>2.0810188390551836E-4</v>
      </c>
      <c r="AV25">
        <f ca="1">IF(AND(L25&lt;&gt;$L$15,$Q$15&gt;Safety_Distance),1,0)</f>
        <v>0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0.88585374433752395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0.90681654136217571</v>
      </c>
      <c r="BA25">
        <f t="shared" ca="1" si="42"/>
        <v>0</v>
      </c>
      <c r="BB25">
        <f t="shared" ca="1" si="43"/>
        <v>0</v>
      </c>
      <c r="BC25">
        <f t="shared" si="44"/>
        <v>0</v>
      </c>
      <c r="BE25">
        <f t="shared" si="7"/>
        <v>0.69106946983293061</v>
      </c>
      <c r="BF25">
        <f t="shared" si="45"/>
        <v>1</v>
      </c>
      <c r="BG25">
        <f t="shared" si="46"/>
        <v>1</v>
      </c>
      <c r="BH25">
        <f t="shared" si="8"/>
        <v>-0.71293880229492967</v>
      </c>
      <c r="BI25">
        <f t="shared" si="9"/>
        <v>0</v>
      </c>
      <c r="BJ25">
        <f t="shared" si="10"/>
        <v>0</v>
      </c>
      <c r="BK25">
        <f t="shared" si="11"/>
        <v>1.4094302575654398</v>
      </c>
      <c r="BL25">
        <f t="shared" si="47"/>
        <v>1</v>
      </c>
      <c r="BM25">
        <f t="shared" si="12"/>
        <v>1.4132200294001287</v>
      </c>
      <c r="BN25">
        <f t="shared" si="13"/>
        <v>0.45250000000000001</v>
      </c>
      <c r="BO25">
        <f t="shared" si="14"/>
        <v>0.44374999999999998</v>
      </c>
      <c r="BP25">
        <f t="shared" si="15"/>
        <v>0.64181264667570048</v>
      </c>
      <c r="BQ25">
        <f t="shared" si="16"/>
        <v>-0.6976005191856901</v>
      </c>
    </row>
    <row r="26" spans="1:69" x14ac:dyDescent="0.25">
      <c r="A26" s="1" t="s">
        <v>79</v>
      </c>
      <c r="B26">
        <f t="shared" ca="1" si="2"/>
        <v>65.646424608378013</v>
      </c>
      <c r="C26" t="s">
        <v>384</v>
      </c>
      <c r="D26">
        <f t="shared" si="17"/>
        <v>93</v>
      </c>
      <c r="E26">
        <f t="shared" si="18"/>
        <v>673.42</v>
      </c>
      <c r="F26">
        <f t="shared" si="19"/>
        <v>5.0599999999999996</v>
      </c>
      <c r="G26">
        <f t="shared" si="20"/>
        <v>17.420000000000002</v>
      </c>
      <c r="H26">
        <f t="shared" si="21"/>
        <v>-0.79</v>
      </c>
      <c r="I26">
        <f t="shared" si="22"/>
        <v>0.83</v>
      </c>
      <c r="J26">
        <f t="shared" si="23"/>
        <v>-3.77</v>
      </c>
      <c r="K26">
        <f t="shared" si="24"/>
        <v>0.89</v>
      </c>
      <c r="L26">
        <f t="shared" si="3"/>
        <v>2</v>
      </c>
      <c r="M26">
        <f t="shared" si="0"/>
        <v>4</v>
      </c>
      <c r="N26">
        <f t="shared" si="1"/>
        <v>8</v>
      </c>
      <c r="O26">
        <f t="shared" si="4"/>
        <v>6</v>
      </c>
      <c r="P26">
        <f t="shared" si="5"/>
        <v>52</v>
      </c>
      <c r="Q26">
        <f t="shared" ca="1" si="25"/>
        <v>19.517666000000077</v>
      </c>
      <c r="R26">
        <f t="shared" ca="1" si="26"/>
        <v>17.064807999999999</v>
      </c>
      <c r="S26">
        <f t="shared" si="27"/>
        <v>50</v>
      </c>
      <c r="T26">
        <f t="shared" ca="1" si="28"/>
        <v>-56.030927999999903</v>
      </c>
      <c r="U26">
        <f t="shared" ca="1" si="29"/>
        <v>19.826961000000001</v>
      </c>
      <c r="V26">
        <f t="shared" si="30"/>
        <v>51</v>
      </c>
      <c r="W26">
        <f t="shared" ca="1" si="31"/>
        <v>93.643562000000088</v>
      </c>
      <c r="X26">
        <f t="shared" ca="1" si="32"/>
        <v>18.046088000000001</v>
      </c>
      <c r="Y26">
        <f>GetFollowingCarRow($B$45:$E$54,L26,$E$15,E26)</f>
        <v>52</v>
      </c>
      <c r="Z26">
        <f t="shared" ca="1" si="33"/>
        <v>-1.7223339999999325</v>
      </c>
      <c r="AA26">
        <f t="shared" ca="1" si="34"/>
        <v>17.064807999999999</v>
      </c>
      <c r="AB26">
        <f t="shared" si="35"/>
        <v>-2.5999999999999996</v>
      </c>
      <c r="AC26">
        <f t="shared" si="36"/>
        <v>21.240000000000009</v>
      </c>
      <c r="AD26">
        <f t="shared" si="37"/>
        <v>-77.373709981167565</v>
      </c>
      <c r="AE26">
        <f t="shared" si="38"/>
        <v>1643.4175999999998</v>
      </c>
      <c r="AF26">
        <f t="shared" si="39"/>
        <v>21.398542006407826</v>
      </c>
      <c r="AG26">
        <f t="shared" si="40"/>
        <v>60.443826027618435</v>
      </c>
      <c r="AH26">
        <f t="shared" si="6"/>
        <v>0.40532130868946298</v>
      </c>
      <c r="AI26">
        <f>IF(G26&lt;=0,1,0)</f>
        <v>0</v>
      </c>
      <c r="AJ26">
        <f>IF(G26&lt;0,1,0)</f>
        <v>0</v>
      </c>
      <c r="AK26">
        <f>MAX(($B$3-G26)/(G26 + 1),0) / $B$3</f>
        <v>9.7218427292384852E-3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9.8750000000000004E-2</v>
      </c>
      <c r="AP26">
        <f>Logistic(I26/$B$5)</f>
        <v>5.1828517887812731E-2</v>
      </c>
      <c r="AQ26">
        <f>IF(I26&gt;$B$5,1,0)</f>
        <v>0</v>
      </c>
      <c r="AR26">
        <f>Logistic(ABS(F26-O26)/($B$6/2))</f>
        <v>0.23076751278236443</v>
      </c>
      <c r="AS26">
        <f>IF(OR(F26&lt;M26,F26&gt;N26),1,0)</f>
        <v>0</v>
      </c>
      <c r="AT26">
        <f>ABS(K26)/$B$4</f>
        <v>0.11125</v>
      </c>
      <c r="AU26">
        <f t="shared" ca="1" si="41"/>
        <v>0</v>
      </c>
      <c r="AV26">
        <f ca="1">IF(AND(L26&lt;&gt;$L$15,$Q$15&gt;Safety_Distance),1,0)</f>
        <v>0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2"/>
        <v>0</v>
      </c>
      <c r="BB26">
        <f t="shared" ca="1" si="43"/>
        <v>1</v>
      </c>
      <c r="BC26">
        <f t="shared" si="44"/>
        <v>1</v>
      </c>
      <c r="BE26">
        <f t="shared" si="7"/>
        <v>0.40532130868946298</v>
      </c>
      <c r="BF26">
        <f t="shared" si="45"/>
        <v>0</v>
      </c>
      <c r="BG26">
        <f t="shared" si="46"/>
        <v>0</v>
      </c>
      <c r="BH26">
        <f t="shared" si="8"/>
        <v>0.10278447885698973</v>
      </c>
      <c r="BI26">
        <f t="shared" si="9"/>
        <v>0</v>
      </c>
      <c r="BJ26">
        <f t="shared" si="10"/>
        <v>0</v>
      </c>
      <c r="BK26">
        <f t="shared" si="11"/>
        <v>1.0873658211253536E-4</v>
      </c>
      <c r="BL26">
        <f t="shared" si="47"/>
        <v>0</v>
      </c>
      <c r="BM26">
        <f t="shared" si="12"/>
        <v>1.7714282730368284E-4</v>
      </c>
      <c r="BN26">
        <f t="shared" si="13"/>
        <v>0</v>
      </c>
      <c r="BO26">
        <f t="shared" si="14"/>
        <v>0.11125</v>
      </c>
      <c r="BP26">
        <f t="shared" si="15"/>
        <v>4.9334915471688147E-2</v>
      </c>
      <c r="BQ26">
        <f t="shared" si="16"/>
        <v>0.10863957373105808</v>
      </c>
    </row>
    <row r="27" spans="1:69" x14ac:dyDescent="0.25">
      <c r="A27" s="1" t="s">
        <v>80</v>
      </c>
      <c r="B27">
        <f t="shared" ca="1" si="2"/>
        <v>65.514983536831849</v>
      </c>
      <c r="C27" t="s">
        <v>383</v>
      </c>
      <c r="D27">
        <f t="shared" si="17"/>
        <v>87</v>
      </c>
      <c r="E27">
        <f t="shared" si="18"/>
        <v>669.47</v>
      </c>
      <c r="F27">
        <f t="shared" si="19"/>
        <v>5</v>
      </c>
      <c r="G27">
        <f t="shared" si="20"/>
        <v>14.1</v>
      </c>
      <c r="H27">
        <f t="shared" si="21"/>
        <v>-2.4900000000000002</v>
      </c>
      <c r="I27">
        <f t="shared" si="22"/>
        <v>2.54</v>
      </c>
      <c r="J27">
        <f t="shared" si="23"/>
        <v>-3.64</v>
      </c>
      <c r="K27">
        <f t="shared" si="24"/>
        <v>1.58</v>
      </c>
      <c r="L27">
        <f t="shared" si="3"/>
        <v>2</v>
      </c>
      <c r="M27">
        <f t="shared" si="0"/>
        <v>4</v>
      </c>
      <c r="N27">
        <f t="shared" si="1"/>
        <v>8</v>
      </c>
      <c r="O27">
        <f t="shared" si="4"/>
        <v>6</v>
      </c>
      <c r="P27">
        <f t="shared" si="5"/>
        <v>52</v>
      </c>
      <c r="Q27">
        <f t="shared" ca="1" si="25"/>
        <v>19.517666000000077</v>
      </c>
      <c r="R27">
        <f t="shared" ca="1" si="26"/>
        <v>17.064807999999999</v>
      </c>
      <c r="S27">
        <f t="shared" si="27"/>
        <v>50</v>
      </c>
      <c r="T27">
        <f t="shared" ca="1" si="28"/>
        <v>-56.030927999999903</v>
      </c>
      <c r="U27">
        <f t="shared" ca="1" si="29"/>
        <v>19.826961000000001</v>
      </c>
      <c r="V27">
        <f t="shared" si="30"/>
        <v>52</v>
      </c>
      <c r="W27">
        <f t="shared" ca="1" si="31"/>
        <v>2.2276659999999993</v>
      </c>
      <c r="X27">
        <f t="shared" ca="1" si="32"/>
        <v>17.064807999999999</v>
      </c>
      <c r="Y27">
        <f>GetFollowingCarRow($B$45:$E$54,L27,$E$15,E27)</f>
        <v>50</v>
      </c>
      <c r="Z27">
        <f t="shared" ca="1" si="33"/>
        <v>-73.320927999999981</v>
      </c>
      <c r="AA27">
        <f t="shared" ca="1" si="34"/>
        <v>19.826961000000001</v>
      </c>
      <c r="AB27">
        <f t="shared" si="35"/>
        <v>-2.54</v>
      </c>
      <c r="AC27">
        <f t="shared" si="36"/>
        <v>17.290000000000077</v>
      </c>
      <c r="AD27">
        <f t="shared" si="37"/>
        <v>-93.348976286870595</v>
      </c>
      <c r="AE27">
        <f t="shared" si="38"/>
        <v>1614.0037999999997</v>
      </c>
      <c r="AF27">
        <f t="shared" si="39"/>
        <v>17.475574382548995</v>
      </c>
      <c r="AG27">
        <f t="shared" si="40"/>
        <v>73.497463589672009</v>
      </c>
      <c r="AH27">
        <f t="shared" si="6"/>
        <v>0.35399171247704603</v>
      </c>
      <c r="AI27">
        <f>IF(G27&lt;=0,1,0)</f>
        <v>0</v>
      </c>
      <c r="AJ27">
        <f>IF(G27&lt;0,1,0)</f>
        <v>0</v>
      </c>
      <c r="AK27">
        <f>MAX(($B$3-G27)/(G27 + 1),0) / $B$3</f>
        <v>2.2220696456547926E-2</v>
      </c>
      <c r="AL27">
        <f>IF(H27+ABS(K27)&lt;0,Logistic(SQRT(H27^2+K27^2)/$B$4),0)</f>
        <v>0.18225234171265456</v>
      </c>
      <c r="AM27">
        <f>IF(G27&gt;$B$3,1,0)</f>
        <v>0</v>
      </c>
      <c r="AN27">
        <f>IF(H27&gt;$B$4,1,0)</f>
        <v>0</v>
      </c>
      <c r="AO27">
        <f>ABS(H27)/$B$4</f>
        <v>0.31125000000000003</v>
      </c>
      <c r="AP27">
        <f>Logistic(I27/$B$5)</f>
        <v>0.15742972492026799</v>
      </c>
      <c r="AQ27">
        <f>IF(I27&gt;$B$5,1,0)</f>
        <v>0</v>
      </c>
      <c r="AR27">
        <f>Logistic(ABS(F27-O27)/($B$6/2))</f>
        <v>0.24491866240370913</v>
      </c>
      <c r="AS27">
        <f>IF(OR(F27&lt;M27,F27&gt;N27),1,0)</f>
        <v>0</v>
      </c>
      <c r="AT27">
        <f>ABS(K27)/$B$4</f>
        <v>0.19750000000000001</v>
      </c>
      <c r="AU27">
        <f t="shared" ca="1" si="41"/>
        <v>0.28681544703406947</v>
      </c>
      <c r="AV27">
        <f ca="1">IF(AND(L27&lt;&gt;$L$15,$Q$15&gt;Safety_Distance),1,0)</f>
        <v>0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2.1628958185678338E-2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</v>
      </c>
      <c r="BA27">
        <f t="shared" ca="1" si="42"/>
        <v>1</v>
      </c>
      <c r="BB27">
        <f t="shared" ca="1" si="43"/>
        <v>0</v>
      </c>
      <c r="BC27">
        <f t="shared" si="44"/>
        <v>0</v>
      </c>
      <c r="BE27">
        <f t="shared" si="7"/>
        <v>0.35399171247704603</v>
      </c>
      <c r="BF27">
        <f t="shared" si="45"/>
        <v>0</v>
      </c>
      <c r="BG27">
        <f t="shared" si="46"/>
        <v>0</v>
      </c>
      <c r="BH27">
        <f t="shared" si="8"/>
        <v>0.23148841793608971</v>
      </c>
      <c r="BI27">
        <f t="shared" si="9"/>
        <v>0</v>
      </c>
      <c r="BJ27">
        <f t="shared" si="10"/>
        <v>0</v>
      </c>
      <c r="BK27">
        <f t="shared" si="11"/>
        <v>0.10938829300730389</v>
      </c>
      <c r="BL27">
        <f t="shared" si="47"/>
        <v>0</v>
      </c>
      <c r="BM27">
        <f t="shared" si="12"/>
        <v>0.11653002670685735</v>
      </c>
      <c r="BN27">
        <f t="shared" si="13"/>
        <v>0</v>
      </c>
      <c r="BO27">
        <f t="shared" si="14"/>
        <v>0.19750000000000001</v>
      </c>
      <c r="BP27">
        <f t="shared" si="15"/>
        <v>0.15438068518552661</v>
      </c>
      <c r="BQ27">
        <f t="shared" si="16"/>
        <v>0.24725061008900776</v>
      </c>
    </row>
    <row r="28" spans="1:69" x14ac:dyDescent="0.25">
      <c r="A28" s="1" t="s">
        <v>81</v>
      </c>
      <c r="B28">
        <f t="shared" ca="1" si="2"/>
        <v>184.9693021295306</v>
      </c>
      <c r="C28" t="s">
        <v>382</v>
      </c>
      <c r="D28">
        <f t="shared" si="17"/>
        <v>135</v>
      </c>
      <c r="E28">
        <f t="shared" si="18"/>
        <v>640.22</v>
      </c>
      <c r="F28">
        <f t="shared" si="19"/>
        <v>2.2000000000000002</v>
      </c>
      <c r="G28">
        <f t="shared" si="20"/>
        <v>-30.93</v>
      </c>
      <c r="H28">
        <f t="shared" si="21"/>
        <v>-12.6</v>
      </c>
      <c r="I28">
        <f t="shared" si="22"/>
        <v>12.65</v>
      </c>
      <c r="J28">
        <f t="shared" si="23"/>
        <v>-0.1</v>
      </c>
      <c r="K28">
        <f t="shared" si="24"/>
        <v>3.55</v>
      </c>
      <c r="L28">
        <f t="shared" si="3"/>
        <v>2</v>
      </c>
      <c r="M28">
        <f t="shared" si="0"/>
        <v>4</v>
      </c>
      <c r="N28">
        <f t="shared" si="1"/>
        <v>8</v>
      </c>
      <c r="O28">
        <f t="shared" si="4"/>
        <v>6</v>
      </c>
      <c r="P28">
        <f t="shared" si="5"/>
        <v>52</v>
      </c>
      <c r="Q28">
        <f t="shared" ca="1" si="25"/>
        <v>19.517666000000077</v>
      </c>
      <c r="R28">
        <f t="shared" ca="1" si="26"/>
        <v>17.064807999999999</v>
      </c>
      <c r="S28">
        <f t="shared" si="27"/>
        <v>50</v>
      </c>
      <c r="T28">
        <f t="shared" ca="1" si="28"/>
        <v>-56.030927999999903</v>
      </c>
      <c r="U28">
        <f t="shared" ca="1" si="29"/>
        <v>19.826961000000001</v>
      </c>
      <c r="V28">
        <f t="shared" si="30"/>
        <v>52</v>
      </c>
      <c r="W28">
        <f t="shared" ca="1" si="31"/>
        <v>31.477665999999999</v>
      </c>
      <c r="X28">
        <f t="shared" ca="1" si="32"/>
        <v>17.064807999999999</v>
      </c>
      <c r="Y28">
        <f>GetFollowingCarRow($B$45:$E$54,L28,$E$15,E28)</f>
        <v>50</v>
      </c>
      <c r="Z28">
        <f t="shared" ca="1" si="33"/>
        <v>-44.070927999999981</v>
      </c>
      <c r="AA28">
        <f t="shared" ca="1" si="34"/>
        <v>19.826961000000001</v>
      </c>
      <c r="AB28">
        <f t="shared" si="35"/>
        <v>0.25999999999999979</v>
      </c>
      <c r="AC28">
        <f t="shared" si="36"/>
        <v>-11.959999999999923</v>
      </c>
      <c r="AD28">
        <f t="shared" si="37"/>
        <v>-11.717826086956602</v>
      </c>
      <c r="AE28">
        <f t="shared" si="38"/>
        <v>-140.14520000000005</v>
      </c>
      <c r="AF28">
        <f t="shared" si="39"/>
        <v>11.962825753140356</v>
      </c>
      <c r="AG28">
        <f t="shared" si="40"/>
        <v>5.857360794677307</v>
      </c>
      <c r="AH28">
        <f t="shared" si="6"/>
        <v>0.69106946983293061</v>
      </c>
      <c r="AI28">
        <f>IF(G28&lt;=0,1,0)</f>
        <v>1</v>
      </c>
      <c r="AJ28">
        <f>IF(G28&lt;0,1,0)</f>
        <v>1</v>
      </c>
      <c r="AK28">
        <f>MAX(($B$3-G28)/(G28 + 1),0) / $B$3</f>
        <v>0</v>
      </c>
      <c r="AL28">
        <f>IF(H28+ABS(K28)&lt;0,Logistic(SQRT(H28^2+K28^2)/$B$4),0)</f>
        <v>0.67406681392760626</v>
      </c>
      <c r="AM28">
        <f>IF(G28&gt;$B$3,1,0)</f>
        <v>0</v>
      </c>
      <c r="AN28">
        <f>IF(H28&gt;$B$4,1,0)</f>
        <v>0</v>
      </c>
      <c r="AO28">
        <f>ABS(H28)/$B$4</f>
        <v>1.575</v>
      </c>
      <c r="AP28">
        <f>Logistic(I28/$B$5)</f>
        <v>0.65876295123438999</v>
      </c>
      <c r="AQ28">
        <f>IF(I28&gt;$B$5,1,0)</f>
        <v>1</v>
      </c>
      <c r="AR28">
        <f>Logistic(ABS(F28-O28)/($B$6/2))</f>
        <v>0.73978305127400423</v>
      </c>
      <c r="AS28">
        <f>IF(OR(F28&lt;M28,F28&gt;N28),1,0)</f>
        <v>1</v>
      </c>
      <c r="AT28">
        <f>ABS(K28)/$B$4</f>
        <v>0.44374999999999998</v>
      </c>
      <c r="AU28">
        <f t="shared" ca="1" si="41"/>
        <v>0</v>
      </c>
      <c r="AV28">
        <f ca="1">IF(AND(L28&lt;&gt;$L$15,$Q$15&gt;Safety_Distance),1,0)</f>
        <v>0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0.88960937200318213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0.91317264246770025</v>
      </c>
      <c r="BA28">
        <f t="shared" ca="1" si="42"/>
        <v>0</v>
      </c>
      <c r="BB28">
        <f t="shared" ca="1" si="43"/>
        <v>0</v>
      </c>
      <c r="BC28">
        <f t="shared" si="44"/>
        <v>0</v>
      </c>
      <c r="BE28">
        <f t="shared" si="7"/>
        <v>0.69106946983293061</v>
      </c>
      <c r="BF28">
        <f t="shared" si="45"/>
        <v>1</v>
      </c>
      <c r="BG28">
        <f t="shared" si="46"/>
        <v>1</v>
      </c>
      <c r="BH28">
        <f t="shared" si="8"/>
        <v>-0.70198303597772693</v>
      </c>
      <c r="BI28">
        <f t="shared" si="9"/>
        <v>0</v>
      </c>
      <c r="BJ28">
        <f t="shared" si="10"/>
        <v>0</v>
      </c>
      <c r="BK28">
        <f t="shared" si="11"/>
        <v>1.4406283391946866</v>
      </c>
      <c r="BL28">
        <f t="shared" si="47"/>
        <v>1</v>
      </c>
      <c r="BM28">
        <f t="shared" si="12"/>
        <v>1.4442482338668743</v>
      </c>
      <c r="BN28">
        <f t="shared" si="13"/>
        <v>0.44999999999999996</v>
      </c>
      <c r="BO28">
        <f t="shared" si="14"/>
        <v>0.44374999999999998</v>
      </c>
      <c r="BP28">
        <f t="shared" si="15"/>
        <v>0.65699046004919825</v>
      </c>
      <c r="BQ28">
        <f t="shared" si="16"/>
        <v>-0.68741201715778499</v>
      </c>
    </row>
    <row r="29" spans="1:69" x14ac:dyDescent="0.25">
      <c r="A29" s="1" t="s">
        <v>22</v>
      </c>
      <c r="B29">
        <f t="shared" ca="1" si="2"/>
        <v>65.646424608378013</v>
      </c>
      <c r="C29" t="s">
        <v>381</v>
      </c>
      <c r="D29">
        <f t="shared" si="17"/>
        <v>93</v>
      </c>
      <c r="E29">
        <f t="shared" si="18"/>
        <v>673.42</v>
      </c>
      <c r="F29">
        <f t="shared" si="19"/>
        <v>5.0599999999999996</v>
      </c>
      <c r="G29">
        <f t="shared" si="20"/>
        <v>17.420000000000002</v>
      </c>
      <c r="H29">
        <f t="shared" si="21"/>
        <v>-0.79</v>
      </c>
      <c r="I29">
        <f t="shared" si="22"/>
        <v>0.83</v>
      </c>
      <c r="J29">
        <f t="shared" si="23"/>
        <v>-3.77</v>
      </c>
      <c r="K29">
        <f t="shared" si="24"/>
        <v>0.89</v>
      </c>
      <c r="L29">
        <f t="shared" si="3"/>
        <v>2</v>
      </c>
      <c r="M29">
        <f t="shared" si="0"/>
        <v>4</v>
      </c>
      <c r="N29">
        <f t="shared" si="1"/>
        <v>8</v>
      </c>
      <c r="O29">
        <f t="shared" si="4"/>
        <v>6</v>
      </c>
      <c r="P29">
        <f t="shared" si="5"/>
        <v>52</v>
      </c>
      <c r="Q29">
        <f t="shared" ca="1" si="25"/>
        <v>19.517666000000077</v>
      </c>
      <c r="R29">
        <f t="shared" ca="1" si="26"/>
        <v>17.064807999999999</v>
      </c>
      <c r="S29">
        <f t="shared" si="27"/>
        <v>50</v>
      </c>
      <c r="T29">
        <f t="shared" ca="1" si="28"/>
        <v>-56.030927999999903</v>
      </c>
      <c r="U29">
        <f t="shared" ca="1" si="29"/>
        <v>19.826961000000001</v>
      </c>
      <c r="V29">
        <f t="shared" si="30"/>
        <v>51</v>
      </c>
      <c r="W29">
        <f t="shared" ca="1" si="31"/>
        <v>93.643562000000088</v>
      </c>
      <c r="X29">
        <f t="shared" ca="1" si="32"/>
        <v>18.046088000000001</v>
      </c>
      <c r="Y29">
        <f>GetFollowingCarRow($B$45:$E$54,L29,$E$15,E29)</f>
        <v>52</v>
      </c>
      <c r="Z29">
        <f t="shared" ca="1" si="33"/>
        <v>-1.7223339999999325</v>
      </c>
      <c r="AA29">
        <f t="shared" ca="1" si="34"/>
        <v>17.064807999999999</v>
      </c>
      <c r="AB29">
        <f t="shared" si="35"/>
        <v>-2.5999999999999996</v>
      </c>
      <c r="AC29">
        <f t="shared" si="36"/>
        <v>21.240000000000009</v>
      </c>
      <c r="AD29">
        <f t="shared" si="37"/>
        <v>-77.373709981167565</v>
      </c>
      <c r="AE29">
        <f t="shared" si="38"/>
        <v>1643.4175999999998</v>
      </c>
      <c r="AF29">
        <f t="shared" si="39"/>
        <v>21.398542006407826</v>
      </c>
      <c r="AG29">
        <f t="shared" si="40"/>
        <v>60.443826027618435</v>
      </c>
      <c r="AH29">
        <f t="shared" si="6"/>
        <v>0.40532130868946298</v>
      </c>
      <c r="AI29">
        <f>IF(G29&lt;=0,1,0)</f>
        <v>0</v>
      </c>
      <c r="AJ29">
        <f>IF(G29&lt;0,1,0)</f>
        <v>0</v>
      </c>
      <c r="AK29">
        <f>MAX(($B$3-G29)/(G29 + 1),0) / $B$3</f>
        <v>9.7218427292384852E-3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9.8750000000000004E-2</v>
      </c>
      <c r="AP29">
        <f>Logistic(I29/$B$5)</f>
        <v>5.1828517887812731E-2</v>
      </c>
      <c r="AQ29">
        <f>IF(I29&gt;$B$5,1,0)</f>
        <v>0</v>
      </c>
      <c r="AR29">
        <f>Logistic(ABS(F29-O29)/($B$6/2))</f>
        <v>0.23076751278236443</v>
      </c>
      <c r="AS29">
        <f>IF(OR(F29&lt;M29,F29&gt;N29),1,0)</f>
        <v>0</v>
      </c>
      <c r="AT29">
        <f>ABS(K29)/$B$4</f>
        <v>0.11125</v>
      </c>
      <c r="AU29">
        <f t="shared" ca="1" si="41"/>
        <v>0</v>
      </c>
      <c r="AV29">
        <f ca="1">IF(AND(L29&lt;&gt;$L$15,$Q$15&gt;Safety_Distance),1,0)</f>
        <v>0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2"/>
        <v>0</v>
      </c>
      <c r="BB29">
        <f t="shared" ca="1" si="43"/>
        <v>1</v>
      </c>
      <c r="BC29">
        <f t="shared" si="44"/>
        <v>1</v>
      </c>
      <c r="BE29">
        <f t="shared" si="7"/>
        <v>0.40532130868946298</v>
      </c>
      <c r="BF29">
        <f t="shared" si="45"/>
        <v>0</v>
      </c>
      <c r="BG29">
        <f t="shared" si="46"/>
        <v>0</v>
      </c>
      <c r="BH29">
        <f t="shared" si="8"/>
        <v>0.10278447885698973</v>
      </c>
      <c r="BI29">
        <f t="shared" si="9"/>
        <v>0</v>
      </c>
      <c r="BJ29">
        <f t="shared" si="10"/>
        <v>0</v>
      </c>
      <c r="BK29">
        <f t="shared" si="11"/>
        <v>1.0873658211253536E-4</v>
      </c>
      <c r="BL29">
        <f t="shared" si="47"/>
        <v>0</v>
      </c>
      <c r="BM29">
        <f t="shared" si="12"/>
        <v>1.7714282730368284E-4</v>
      </c>
      <c r="BN29">
        <f t="shared" si="13"/>
        <v>0</v>
      </c>
      <c r="BO29">
        <f t="shared" si="14"/>
        <v>0.11125</v>
      </c>
      <c r="BP29">
        <f t="shared" si="15"/>
        <v>4.9334915471688147E-2</v>
      </c>
      <c r="BQ29">
        <f t="shared" si="16"/>
        <v>0.10863957373105808</v>
      </c>
    </row>
    <row r="30" spans="1:69" x14ac:dyDescent="0.25">
      <c r="A30" s="1" t="s">
        <v>21</v>
      </c>
      <c r="B30">
        <f t="shared" ca="1" si="2"/>
        <v>65.585893727079096</v>
      </c>
      <c r="C30" t="s">
        <v>380</v>
      </c>
      <c r="D30">
        <f t="shared" si="17"/>
        <v>87</v>
      </c>
      <c r="E30">
        <f t="shared" si="18"/>
        <v>669.48</v>
      </c>
      <c r="F30">
        <f t="shared" si="19"/>
        <v>5</v>
      </c>
      <c r="G30">
        <f t="shared" si="20"/>
        <v>14.11</v>
      </c>
      <c r="H30">
        <f t="shared" si="21"/>
        <v>-2.4900000000000002</v>
      </c>
      <c r="I30">
        <f t="shared" si="22"/>
        <v>2.5299999999999998</v>
      </c>
      <c r="J30">
        <f t="shared" si="23"/>
        <v>-3.65</v>
      </c>
      <c r="K30">
        <f t="shared" si="24"/>
        <v>1.58</v>
      </c>
      <c r="L30">
        <f t="shared" si="3"/>
        <v>2</v>
      </c>
      <c r="M30">
        <f t="shared" si="0"/>
        <v>4</v>
      </c>
      <c r="N30">
        <f t="shared" si="1"/>
        <v>8</v>
      </c>
      <c r="O30">
        <f t="shared" si="4"/>
        <v>6</v>
      </c>
      <c r="P30">
        <f t="shared" si="5"/>
        <v>52</v>
      </c>
      <c r="Q30">
        <f t="shared" ca="1" si="25"/>
        <v>19.517666000000077</v>
      </c>
      <c r="R30">
        <f t="shared" ca="1" si="26"/>
        <v>17.064807999999999</v>
      </c>
      <c r="S30">
        <f t="shared" si="27"/>
        <v>50</v>
      </c>
      <c r="T30">
        <f t="shared" ca="1" si="28"/>
        <v>-56.030927999999903</v>
      </c>
      <c r="U30">
        <f t="shared" ca="1" si="29"/>
        <v>19.826961000000001</v>
      </c>
      <c r="V30">
        <f t="shared" si="30"/>
        <v>52</v>
      </c>
      <c r="W30">
        <f t="shared" ca="1" si="31"/>
        <v>2.2176660000000084</v>
      </c>
      <c r="X30">
        <f t="shared" ca="1" si="32"/>
        <v>17.064807999999999</v>
      </c>
      <c r="Y30">
        <f>GetFollowingCarRow($B$45:$E$54,L30,$E$15,E30)</f>
        <v>50</v>
      </c>
      <c r="Z30">
        <f t="shared" ca="1" si="33"/>
        <v>-73.330927999999972</v>
      </c>
      <c r="AA30">
        <f t="shared" ca="1" si="34"/>
        <v>19.826961000000001</v>
      </c>
      <c r="AB30">
        <f t="shared" si="35"/>
        <v>-2.54</v>
      </c>
      <c r="AC30">
        <f t="shared" si="36"/>
        <v>17.300000000000068</v>
      </c>
      <c r="AD30">
        <f t="shared" si="37"/>
        <v>-93.293595375722163</v>
      </c>
      <c r="AE30">
        <f t="shared" si="38"/>
        <v>1613.9791999999998</v>
      </c>
      <c r="AF30">
        <f t="shared" si="39"/>
        <v>17.485468252237407</v>
      </c>
      <c r="AG30">
        <f t="shared" si="40"/>
        <v>73.452430025467379</v>
      </c>
      <c r="AH30">
        <f t="shared" si="6"/>
        <v>0.35399171247704603</v>
      </c>
      <c r="AI30">
        <f>IF(G30&lt;=0,1,0)</f>
        <v>0</v>
      </c>
      <c r="AJ30">
        <f>IF(G30&lt;0,1,0)</f>
        <v>0</v>
      </c>
      <c r="AK30">
        <f>MAX(($B$3-G30)/(G30 + 1),0) / $B$3</f>
        <v>2.2174802313664609E-2</v>
      </c>
      <c r="AL30">
        <f>IF(H30+ABS(K30)&lt;0,Logistic(SQRT(H30^2+K30^2)/$B$4),0)</f>
        <v>0.18225234171265456</v>
      </c>
      <c r="AM30">
        <f>IF(G30&gt;$B$3,1,0)</f>
        <v>0</v>
      </c>
      <c r="AN30">
        <f>IF(H30&gt;$B$4,1,0)</f>
        <v>0</v>
      </c>
      <c r="AO30">
        <f>ABS(H30)/$B$4</f>
        <v>0.31125000000000003</v>
      </c>
      <c r="AP30">
        <f>Logistic(I30/$B$5)</f>
        <v>0.15682015509581318</v>
      </c>
      <c r="AQ30">
        <f>IF(I30&gt;$B$5,1,0)</f>
        <v>0</v>
      </c>
      <c r="AR30">
        <f>Logistic(ABS(F30-O30)/($B$6/2))</f>
        <v>0.24491866240370913</v>
      </c>
      <c r="AS30">
        <f>IF(OR(F30&lt;M30,F30&gt;N30),1,0)</f>
        <v>0</v>
      </c>
      <c r="AT30">
        <f>ABS(K30)/$B$4</f>
        <v>0.19750000000000001</v>
      </c>
      <c r="AU30">
        <f t="shared" ca="1" si="41"/>
        <v>0.28781041910502747</v>
      </c>
      <c r="AV30">
        <f ca="1">IF(AND(L30&lt;&gt;$L$15,$Q$15&gt;Safety_Distance),1,0)</f>
        <v>0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1.9917610072906045E-2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</v>
      </c>
      <c r="BA30">
        <f t="shared" ca="1" si="42"/>
        <v>1</v>
      </c>
      <c r="BB30">
        <f t="shared" ca="1" si="43"/>
        <v>0</v>
      </c>
      <c r="BC30">
        <f t="shared" si="44"/>
        <v>0</v>
      </c>
      <c r="BE30">
        <f t="shared" si="7"/>
        <v>0.35399171247704603</v>
      </c>
      <c r="BF30">
        <f t="shared" si="45"/>
        <v>0</v>
      </c>
      <c r="BG30">
        <f t="shared" si="46"/>
        <v>0</v>
      </c>
      <c r="BH30">
        <f t="shared" si="8"/>
        <v>0.23102752259487944</v>
      </c>
      <c r="BI30">
        <f t="shared" si="9"/>
        <v>0</v>
      </c>
      <c r="BJ30">
        <f t="shared" si="10"/>
        <v>0</v>
      </c>
      <c r="BK30">
        <f t="shared" si="11"/>
        <v>0.10938829300730389</v>
      </c>
      <c r="BL30">
        <f t="shared" si="47"/>
        <v>0</v>
      </c>
      <c r="BM30">
        <f t="shared" si="12"/>
        <v>0.11508833259199781</v>
      </c>
      <c r="BN30">
        <f t="shared" si="13"/>
        <v>0</v>
      </c>
      <c r="BO30">
        <f t="shared" si="14"/>
        <v>0.19750000000000001</v>
      </c>
      <c r="BP30">
        <f t="shared" si="15"/>
        <v>0.15438068518552661</v>
      </c>
      <c r="BQ30">
        <f t="shared" si="16"/>
        <v>0.24674984894542551</v>
      </c>
    </row>
    <row r="31" spans="1:69" x14ac:dyDescent="0.25">
      <c r="A31" s="1" t="s">
        <v>20</v>
      </c>
      <c r="B31">
        <f t="shared" ca="1" si="2"/>
        <v>184.96908459802563</v>
      </c>
      <c r="C31" t="s">
        <v>379</v>
      </c>
      <c r="D31">
        <f t="shared" si="17"/>
        <v>135</v>
      </c>
      <c r="E31">
        <f t="shared" si="18"/>
        <v>640.23</v>
      </c>
      <c r="F31">
        <f t="shared" si="19"/>
        <v>2.2000000000000002</v>
      </c>
      <c r="G31">
        <f t="shared" si="20"/>
        <v>-30.92</v>
      </c>
      <c r="H31">
        <f t="shared" si="21"/>
        <v>-12.6</v>
      </c>
      <c r="I31">
        <f t="shared" si="22"/>
        <v>12.65</v>
      </c>
      <c r="J31">
        <f t="shared" si="23"/>
        <v>-0.1</v>
      </c>
      <c r="K31">
        <f t="shared" si="24"/>
        <v>3.55</v>
      </c>
      <c r="L31">
        <f t="shared" si="3"/>
        <v>2</v>
      </c>
      <c r="M31">
        <f t="shared" si="0"/>
        <v>4</v>
      </c>
      <c r="N31">
        <f t="shared" si="1"/>
        <v>8</v>
      </c>
      <c r="O31">
        <f t="shared" si="4"/>
        <v>6</v>
      </c>
      <c r="P31">
        <f t="shared" si="5"/>
        <v>52</v>
      </c>
      <c r="Q31">
        <f t="shared" ca="1" si="25"/>
        <v>19.517666000000077</v>
      </c>
      <c r="R31">
        <f t="shared" ca="1" si="26"/>
        <v>17.064807999999999</v>
      </c>
      <c r="S31">
        <f t="shared" si="27"/>
        <v>50</v>
      </c>
      <c r="T31">
        <f t="shared" ca="1" si="28"/>
        <v>-56.030927999999903</v>
      </c>
      <c r="U31">
        <f t="shared" ca="1" si="29"/>
        <v>19.826961000000001</v>
      </c>
      <c r="V31">
        <f t="shared" si="30"/>
        <v>52</v>
      </c>
      <c r="W31">
        <f t="shared" ca="1" si="31"/>
        <v>31.467666000000008</v>
      </c>
      <c r="X31">
        <f t="shared" ca="1" si="32"/>
        <v>17.064807999999999</v>
      </c>
      <c r="Y31">
        <f>GetFollowingCarRow($B$45:$E$54,L31,$E$15,E31)</f>
        <v>50</v>
      </c>
      <c r="Z31">
        <f t="shared" ca="1" si="33"/>
        <v>-44.080927999999972</v>
      </c>
      <c r="AA31">
        <f t="shared" ca="1" si="34"/>
        <v>19.826961000000001</v>
      </c>
      <c r="AB31">
        <f t="shared" si="35"/>
        <v>0.25999999999999979</v>
      </c>
      <c r="AC31">
        <f t="shared" si="36"/>
        <v>-11.949999999999932</v>
      </c>
      <c r="AD31">
        <f t="shared" si="37"/>
        <v>-11.729690376569106</v>
      </c>
      <c r="AE31">
        <f t="shared" si="38"/>
        <v>-140.16980000000001</v>
      </c>
      <c r="AF31">
        <f t="shared" si="39"/>
        <v>11.952828117228089</v>
      </c>
      <c r="AG31">
        <f t="shared" si="40"/>
        <v>5.8673014036667945</v>
      </c>
      <c r="AH31">
        <f t="shared" si="6"/>
        <v>0.69106946983293061</v>
      </c>
      <c r="AI31">
        <f>IF(G31&lt;=0,1,0)</f>
        <v>1</v>
      </c>
      <c r="AJ31">
        <f>IF(G31&lt;0,1,0)</f>
        <v>1</v>
      </c>
      <c r="AK31">
        <f>MAX(($B$3-G31)/(G31 + 1),0) / $B$3</f>
        <v>0</v>
      </c>
      <c r="AL31">
        <f>IF(H31+ABS(K31)&lt;0,Logistic(SQRT(H31^2+K31^2)/$B$4),0)</f>
        <v>0.67406681392760626</v>
      </c>
      <c r="AM31">
        <f>IF(G31&gt;$B$3,1,0)</f>
        <v>0</v>
      </c>
      <c r="AN31">
        <f>IF(H31&gt;$B$4,1,0)</f>
        <v>0</v>
      </c>
      <c r="AO31">
        <f>ABS(H31)/$B$4</f>
        <v>1.575</v>
      </c>
      <c r="AP31">
        <f>Logistic(I31/$B$5)</f>
        <v>0.65876295123438999</v>
      </c>
      <c r="AQ31">
        <f>IF(I31&gt;$B$5,1,0)</f>
        <v>1</v>
      </c>
      <c r="AR31">
        <f>Logistic(ABS(F31-O31)/($B$6/2))</f>
        <v>0.73978305127400423</v>
      </c>
      <c r="AS31">
        <f>IF(OR(F31&lt;M31,F31&gt;N31),1,0)</f>
        <v>1</v>
      </c>
      <c r="AT31">
        <f>ABS(K31)/$B$4</f>
        <v>0.44374999999999998</v>
      </c>
      <c r="AU31">
        <f t="shared" ca="1" si="41"/>
        <v>0</v>
      </c>
      <c r="AV31">
        <f ca="1">IF(AND(L31&lt;&gt;$L$15,$Q$15&gt;Safety_Distance),1,0)</f>
        <v>0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0.88958761885268378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0.91313582699070395</v>
      </c>
      <c r="BA31">
        <f t="shared" ca="1" si="42"/>
        <v>0</v>
      </c>
      <c r="BB31">
        <f t="shared" ca="1" si="43"/>
        <v>0</v>
      </c>
      <c r="BC31">
        <f t="shared" si="44"/>
        <v>0</v>
      </c>
      <c r="BE31">
        <f t="shared" si="7"/>
        <v>0.69106946983293061</v>
      </c>
      <c r="BF31">
        <f t="shared" si="45"/>
        <v>1</v>
      </c>
      <c r="BG31">
        <f t="shared" si="46"/>
        <v>1</v>
      </c>
      <c r="BH31">
        <f t="shared" si="8"/>
        <v>-0.70204595821302829</v>
      </c>
      <c r="BI31">
        <f t="shared" si="9"/>
        <v>0</v>
      </c>
      <c r="BJ31">
        <f t="shared" si="10"/>
        <v>0</v>
      </c>
      <c r="BK31">
        <f t="shared" si="11"/>
        <v>1.4406283391946866</v>
      </c>
      <c r="BL31">
        <f t="shared" si="47"/>
        <v>1</v>
      </c>
      <c r="BM31">
        <f t="shared" si="12"/>
        <v>1.4442482338668743</v>
      </c>
      <c r="BN31">
        <f t="shared" si="13"/>
        <v>0.44999999999999996</v>
      </c>
      <c r="BO31">
        <f t="shared" si="14"/>
        <v>0.44374999999999998</v>
      </c>
      <c r="BP31">
        <f t="shared" si="15"/>
        <v>0.65699046004919825</v>
      </c>
      <c r="BQ31">
        <f t="shared" si="16"/>
        <v>-0.68747053068431341</v>
      </c>
    </row>
    <row r="32" spans="1:69" x14ac:dyDescent="0.25">
      <c r="A32" s="1" t="s">
        <v>37</v>
      </c>
      <c r="B32">
        <f t="shared" si="2"/>
        <v>1000000</v>
      </c>
      <c r="D32" t="e">
        <f t="shared" si="17"/>
        <v>#VALUE!</v>
      </c>
      <c r="E32" t="e">
        <f t="shared" si="18"/>
        <v>#VALUE!</v>
      </c>
      <c r="F32" t="e">
        <f t="shared" si="19"/>
        <v>#VALUE!</v>
      </c>
      <c r="G32" t="e">
        <f t="shared" si="20"/>
        <v>#VALUE!</v>
      </c>
      <c r="H32" t="e">
        <f t="shared" si="21"/>
        <v>#VALUE!</v>
      </c>
      <c r="I32" t="e">
        <f t="shared" si="22"/>
        <v>#VALUE!</v>
      </c>
      <c r="J32" t="e">
        <f t="shared" si="23"/>
        <v>#VALUE!</v>
      </c>
      <c r="K32" t="e">
        <f t="shared" si="24"/>
        <v>#VALUE!</v>
      </c>
      <c r="L32" t="e">
        <f t="shared" si="3"/>
        <v>#VALUE!</v>
      </c>
      <c r="M32" t="e">
        <f t="shared" si="0"/>
        <v>#VALUE!</v>
      </c>
      <c r="N32" t="e">
        <f t="shared" si="1"/>
        <v>#VALUE!</v>
      </c>
      <c r="O32" t="e">
        <f t="shared" si="4"/>
        <v>#VALUE!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 t="e">
        <f t="shared" si="27"/>
        <v>#VALUE!</v>
      </c>
      <c r="T32">
        <f t="shared" ca="1" si="28"/>
        <v>1000000</v>
      </c>
      <c r="U32">
        <f t="shared" ca="1" si="29"/>
        <v>100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 t="e">
        <f>GetFollowingCarRow($B$45:$E$54,L32,$E$15,E32)</f>
        <v>#VALUE!</v>
      </c>
      <c r="Z32">
        <f t="shared" ca="1" si="33"/>
        <v>1000000000</v>
      </c>
      <c r="AA32">
        <f t="shared" ca="1" si="34"/>
        <v>100</v>
      </c>
      <c r="AB32" t="e">
        <f t="shared" si="35"/>
        <v>#VALUE!</v>
      </c>
      <c r="AC32" t="e">
        <f t="shared" si="36"/>
        <v>#VALUE!</v>
      </c>
      <c r="AD32" t="e">
        <f t="shared" si="37"/>
        <v>#VALUE!</v>
      </c>
      <c r="AE32" t="e">
        <f t="shared" si="38"/>
        <v>#VALUE!</v>
      </c>
      <c r="AF32" t="e">
        <f t="shared" si="39"/>
        <v>#VALUE!</v>
      </c>
      <c r="AG32" t="e">
        <f t="shared" si="40"/>
        <v>#VALUE!</v>
      </c>
      <c r="AH32" t="e">
        <f t="shared" si="6"/>
        <v>#VALUE!</v>
      </c>
      <c r="AI32" t="e">
        <f>IF(G32&lt;=0,1,0)</f>
        <v>#VALUE!</v>
      </c>
      <c r="AJ32" t="e">
        <f>IF(G32&lt;0,1,0)</f>
        <v>#VALUE!</v>
      </c>
      <c r="AK32" t="e">
        <f>MAX(($B$3-G32)/(G32 + 1),0) / $B$3</f>
        <v>#VALUE!</v>
      </c>
      <c r="AL32" t="e">
        <f>IF(H32+ABS(K32)&lt;0,Logistic(SQRT(H32^2+K32^2)/$B$4),0)</f>
        <v>#VALUE!</v>
      </c>
      <c r="AM32" t="e">
        <f>IF(G32&gt;$B$3,1,0)</f>
        <v>#VALUE!</v>
      </c>
      <c r="AN32" t="e">
        <f>IF(H32&gt;$B$4,1,0)</f>
        <v>#VALUE!</v>
      </c>
      <c r="AO32" t="e">
        <f>ABS(H32)/$B$4</f>
        <v>#VALUE!</v>
      </c>
      <c r="AP32" t="e">
        <f>Logistic(I32/$B$5)</f>
        <v>#VALUE!</v>
      </c>
      <c r="AQ32" t="e">
        <f>IF(I32&gt;$B$5,1,0)</f>
        <v>#VALUE!</v>
      </c>
      <c r="AR32" t="e">
        <f>Logistic(ABS(F32-O32)/($B$6/2))</f>
        <v>#VALUE!</v>
      </c>
      <c r="AS32" t="e">
        <f>IF(OR(F32&lt;M32,F32&gt;N32),1,0)</f>
        <v>#VALUE!</v>
      </c>
      <c r="AT32" t="e">
        <f>ABS(K32)/$B$4</f>
        <v>#VALUE!</v>
      </c>
      <c r="AU32">
        <f t="shared" ca="1" si="41"/>
        <v>0</v>
      </c>
      <c r="AV32" t="e">
        <f ca="1">IF(AND(L32&lt;&gt;$L$15,$Q$15&gt;Safety_Distance),1,0)</f>
        <v>#VALUE!</v>
      </c>
      <c r="AW32" t="e">
        <f ca="1">MAX(1-(IF(Q32/(G32-R32)&gt;0,Q32/(G32-R32),Collision_Time_Buffer)/Collision_Time_Buffer),0)*IF($L$15&lt;&gt;L32,Lane_Change_Multiplier,1)</f>
        <v>#VALUE!</v>
      </c>
      <c r="AX32" t="e">
        <f ca="1">MAX(1-(IF(T32/(G32-U32)&gt;0,T32/(G32-U32),Collision_Time_Buffer)/Collision_Time_Buffer),0)*IF($L$15&lt;&gt;L32,Lane_Change_Multiplier,1)</f>
        <v>#VALUE!</v>
      </c>
      <c r="AY32" t="e">
        <f ca="1">MAX(1-(IF(W32/(G32-X32)&gt;0,W32/(G32-X32),Collision_Time_Buffer)/Collision_Time_Buffer),0)*IF($L$15&lt;&gt;L32,Lane_Change_Multiplier,1)</f>
        <v>#VALUE!</v>
      </c>
      <c r="AZ32" t="e">
        <f ca="1">MAX(1-(IF(Z32/(G32-AA32)&gt;0,Z32/(G32-AA32),Collision_Time_Buffer)/Collision_Time_Buffer),0)*IF($L$15&lt;&gt;L32,Lane_Change_Multiplier,1)</f>
        <v>#VALUE!</v>
      </c>
      <c r="BA32">
        <f t="shared" ca="1" si="42"/>
        <v>0</v>
      </c>
      <c r="BB32">
        <f t="shared" ca="1" si="43"/>
        <v>0</v>
      </c>
      <c r="BC32">
        <f t="shared" si="44"/>
        <v>0</v>
      </c>
      <c r="BE32" t="e">
        <f t="shared" si="7"/>
        <v>#VALUE!</v>
      </c>
      <c r="BF32" t="e">
        <f t="shared" si="45"/>
        <v>#VALUE!</v>
      </c>
      <c r="BG32" t="e">
        <f t="shared" si="46"/>
        <v>#VALUE!</v>
      </c>
      <c r="BH32" t="e">
        <f t="shared" si="8"/>
        <v>#VALUE!</v>
      </c>
      <c r="BI32" t="e">
        <f t="shared" si="9"/>
        <v>#VALUE!</v>
      </c>
      <c r="BJ32" t="e">
        <f t="shared" si="10"/>
        <v>#VALUE!</v>
      </c>
      <c r="BK32" t="e">
        <f t="shared" si="11"/>
        <v>#VALUE!</v>
      </c>
      <c r="BL32" t="e">
        <f t="shared" si="47"/>
        <v>#VALUE!</v>
      </c>
      <c r="BM32" t="e">
        <f t="shared" si="12"/>
        <v>#VALUE!</v>
      </c>
      <c r="BN32" t="e">
        <f t="shared" si="13"/>
        <v>#VALUE!</v>
      </c>
      <c r="BO32" t="e">
        <f t="shared" si="14"/>
        <v>#VALUE!</v>
      </c>
      <c r="BP32" t="e">
        <f t="shared" si="15"/>
        <v>#VALUE!</v>
      </c>
      <c r="BQ32" t="e">
        <f t="shared" si="16"/>
        <v>#VALUE!</v>
      </c>
    </row>
    <row r="33" spans="1:69" x14ac:dyDescent="0.25">
      <c r="A33" s="1" t="s">
        <v>38</v>
      </c>
      <c r="B33">
        <f t="shared" si="2"/>
        <v>1000000</v>
      </c>
      <c r="D33" t="e">
        <f t="shared" si="17"/>
        <v>#VALUE!</v>
      </c>
      <c r="E33" t="e">
        <f t="shared" si="18"/>
        <v>#VALUE!</v>
      </c>
      <c r="F33" t="e">
        <f t="shared" si="19"/>
        <v>#VALUE!</v>
      </c>
      <c r="G33" t="e">
        <f t="shared" si="20"/>
        <v>#VALUE!</v>
      </c>
      <c r="H33" t="e">
        <f t="shared" si="21"/>
        <v>#VALUE!</v>
      </c>
      <c r="I33" t="e">
        <f t="shared" si="22"/>
        <v>#VALUE!</v>
      </c>
      <c r="J33" t="e">
        <f t="shared" si="23"/>
        <v>#VALUE!</v>
      </c>
      <c r="K33" t="e">
        <f t="shared" si="24"/>
        <v>#VALUE!</v>
      </c>
      <c r="L33" t="e">
        <f t="shared" si="3"/>
        <v>#VALUE!</v>
      </c>
      <c r="M33" t="e">
        <f t="shared" si="0"/>
        <v>#VALUE!</v>
      </c>
      <c r="N33" t="e">
        <f t="shared" si="1"/>
        <v>#VALUE!</v>
      </c>
      <c r="O33" t="e">
        <f t="shared" si="4"/>
        <v>#VALUE!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 t="e">
        <f t="shared" si="27"/>
        <v>#VALUE!</v>
      </c>
      <c r="T33">
        <f t="shared" ca="1" si="28"/>
        <v>1000000</v>
      </c>
      <c r="U33">
        <f t="shared" ca="1" si="29"/>
        <v>100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 t="e">
        <f>GetFollowingCarRow($B$45:$E$54,L33,$E$15,E33)</f>
        <v>#VALUE!</v>
      </c>
      <c r="Z33">
        <f t="shared" ca="1" si="33"/>
        <v>1000000000</v>
      </c>
      <c r="AA33">
        <f t="shared" ca="1" si="34"/>
        <v>100</v>
      </c>
      <c r="AB33" t="e">
        <f t="shared" si="35"/>
        <v>#VALUE!</v>
      </c>
      <c r="AC33" t="e">
        <f t="shared" si="36"/>
        <v>#VALUE!</v>
      </c>
      <c r="AD33" t="e">
        <f t="shared" si="37"/>
        <v>#VALUE!</v>
      </c>
      <c r="AE33" t="e">
        <f t="shared" si="38"/>
        <v>#VALUE!</v>
      </c>
      <c r="AF33" t="e">
        <f t="shared" si="39"/>
        <v>#VALUE!</v>
      </c>
      <c r="AG33" t="e">
        <f t="shared" si="40"/>
        <v>#VALUE!</v>
      </c>
      <c r="AH33" t="e">
        <f t="shared" si="6"/>
        <v>#VALUE!</v>
      </c>
      <c r="AI33" t="e">
        <f>IF(G33&lt;=0,1,0)</f>
        <v>#VALUE!</v>
      </c>
      <c r="AJ33" t="e">
        <f>IF(G33&lt;0,1,0)</f>
        <v>#VALUE!</v>
      </c>
      <c r="AK33" t="e">
        <f>MAX(($B$3-G33)/(G33 + 1),0) / $B$3</f>
        <v>#VALUE!</v>
      </c>
      <c r="AL33" t="e">
        <f>IF(H33+ABS(K33)&lt;0,Logistic(SQRT(H33^2+K33^2)/$B$4),0)</f>
        <v>#VALUE!</v>
      </c>
      <c r="AM33" t="e">
        <f>IF(G33&gt;$B$3,1,0)</f>
        <v>#VALUE!</v>
      </c>
      <c r="AN33" t="e">
        <f>IF(H33&gt;$B$4,1,0)</f>
        <v>#VALUE!</v>
      </c>
      <c r="AO33" t="e">
        <f>ABS(H33)/$B$4</f>
        <v>#VALUE!</v>
      </c>
      <c r="AP33" t="e">
        <f>Logistic(I33/$B$5)</f>
        <v>#VALUE!</v>
      </c>
      <c r="AQ33" t="e">
        <f>IF(I33&gt;$B$5,1,0)</f>
        <v>#VALUE!</v>
      </c>
      <c r="AR33" t="e">
        <f>Logistic(ABS(F33-O33)/($B$6/2))</f>
        <v>#VALUE!</v>
      </c>
      <c r="AS33" t="e">
        <f>IF(OR(F33&lt;M33,F33&gt;N33),1,0)</f>
        <v>#VALUE!</v>
      </c>
      <c r="AT33" t="e">
        <f>ABS(K33)/$B$4</f>
        <v>#VALUE!</v>
      </c>
      <c r="AU33">
        <f t="shared" ca="1" si="41"/>
        <v>0</v>
      </c>
      <c r="AV33" t="e">
        <f ca="1">IF(AND(L33&lt;&gt;$L$15,$Q$15&gt;Safety_Distance),1,0)</f>
        <v>#VALUE!</v>
      </c>
      <c r="AW33" t="e">
        <f ca="1">MAX(1-(IF(Q33/(G33-R33)&gt;0,Q33/(G33-R33),Collision_Time_Buffer)/Collision_Time_Buffer),0)*IF($L$15&lt;&gt;L33,Lane_Change_Multiplier,1)</f>
        <v>#VALUE!</v>
      </c>
      <c r="AX33" t="e">
        <f ca="1">MAX(1-(IF(T33/(G33-U33)&gt;0,T33/(G33-U33),Collision_Time_Buffer)/Collision_Time_Buffer),0)*IF($L$15&lt;&gt;L33,Lane_Change_Multiplier,1)</f>
        <v>#VALUE!</v>
      </c>
      <c r="AY33" t="e">
        <f ca="1">MAX(1-(IF(W33/(G33-X33)&gt;0,W33/(G33-X33),Collision_Time_Buffer)/Collision_Time_Buffer),0)*IF($L$15&lt;&gt;L33,Lane_Change_Multiplier,1)</f>
        <v>#VALUE!</v>
      </c>
      <c r="AZ33" t="e">
        <f ca="1">MAX(1-(IF(Z33/(G33-AA33)&gt;0,Z33/(G33-AA33),Collision_Time_Buffer)/Collision_Time_Buffer),0)*IF($L$15&lt;&gt;L33,Lane_Change_Multiplier,1)</f>
        <v>#VALUE!</v>
      </c>
      <c r="BA33">
        <f t="shared" ca="1" si="42"/>
        <v>0</v>
      </c>
      <c r="BB33">
        <f t="shared" ca="1" si="43"/>
        <v>0</v>
      </c>
      <c r="BC33">
        <f t="shared" si="44"/>
        <v>0</v>
      </c>
      <c r="BE33" t="e">
        <f t="shared" si="7"/>
        <v>#VALUE!</v>
      </c>
      <c r="BF33" t="e">
        <f t="shared" si="45"/>
        <v>#VALUE!</v>
      </c>
      <c r="BG33" t="e">
        <f t="shared" si="46"/>
        <v>#VALUE!</v>
      </c>
      <c r="BH33" t="e">
        <f t="shared" si="8"/>
        <v>#VALUE!</v>
      </c>
      <c r="BI33" t="e">
        <f t="shared" si="9"/>
        <v>#VALUE!</v>
      </c>
      <c r="BJ33" t="e">
        <f t="shared" si="10"/>
        <v>#VALUE!</v>
      </c>
      <c r="BK33" t="e">
        <f t="shared" si="11"/>
        <v>#VALUE!</v>
      </c>
      <c r="BL33" t="e">
        <f t="shared" si="47"/>
        <v>#VALUE!</v>
      </c>
      <c r="BM33" t="e">
        <f t="shared" si="12"/>
        <v>#VALUE!</v>
      </c>
      <c r="BN33" t="e">
        <f t="shared" si="13"/>
        <v>#VALUE!</v>
      </c>
      <c r="BO33" t="e">
        <f t="shared" si="14"/>
        <v>#VALUE!</v>
      </c>
      <c r="BP33" t="e">
        <f t="shared" si="15"/>
        <v>#VALUE!</v>
      </c>
      <c r="BQ33" t="e">
        <f t="shared" si="16"/>
        <v>#VALUE!</v>
      </c>
    </row>
    <row r="34" spans="1:69" x14ac:dyDescent="0.25">
      <c r="A34" s="1" t="s">
        <v>39</v>
      </c>
      <c r="B34">
        <f t="shared" si="2"/>
        <v>1000000</v>
      </c>
      <c r="D34" t="e">
        <f t="shared" si="17"/>
        <v>#VALUE!</v>
      </c>
      <c r="E34" t="e">
        <f t="shared" si="18"/>
        <v>#VALUE!</v>
      </c>
      <c r="F34" t="e">
        <f t="shared" si="19"/>
        <v>#VALUE!</v>
      </c>
      <c r="G34" t="e">
        <f t="shared" si="20"/>
        <v>#VALUE!</v>
      </c>
      <c r="H34" t="e">
        <f t="shared" si="21"/>
        <v>#VALUE!</v>
      </c>
      <c r="I34" t="e">
        <f t="shared" si="22"/>
        <v>#VALUE!</v>
      </c>
      <c r="J34" t="e">
        <f t="shared" si="23"/>
        <v>#VALUE!</v>
      </c>
      <c r="K34" t="e">
        <f t="shared" si="24"/>
        <v>#VALUE!</v>
      </c>
      <c r="L34" t="e">
        <f t="shared" si="3"/>
        <v>#VALUE!</v>
      </c>
      <c r="M34" t="e">
        <f t="shared" si="0"/>
        <v>#VALUE!</v>
      </c>
      <c r="N34" t="e">
        <f t="shared" si="1"/>
        <v>#VALUE!</v>
      </c>
      <c r="O34" t="e">
        <f t="shared" si="4"/>
        <v>#VALUE!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 t="e">
        <f t="shared" si="27"/>
        <v>#VALUE!</v>
      </c>
      <c r="T34">
        <f t="shared" ca="1" si="28"/>
        <v>1000000</v>
      </c>
      <c r="U34">
        <f t="shared" ca="1" si="29"/>
        <v>100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 t="e">
        <f>GetFollowingCarRow($B$45:$E$54,L34,$E$15,E34)</f>
        <v>#VALUE!</v>
      </c>
      <c r="Z34">
        <f t="shared" ca="1" si="33"/>
        <v>1000000000</v>
      </c>
      <c r="AA34">
        <f t="shared" ca="1" si="34"/>
        <v>100</v>
      </c>
      <c r="AB34" t="e">
        <f t="shared" si="35"/>
        <v>#VALUE!</v>
      </c>
      <c r="AC34" t="e">
        <f t="shared" si="36"/>
        <v>#VALUE!</v>
      </c>
      <c r="AD34" t="e">
        <f t="shared" si="37"/>
        <v>#VALUE!</v>
      </c>
      <c r="AE34" t="e">
        <f t="shared" si="38"/>
        <v>#VALUE!</v>
      </c>
      <c r="AF34" t="e">
        <f t="shared" si="39"/>
        <v>#VALUE!</v>
      </c>
      <c r="AG34" t="e">
        <f t="shared" si="40"/>
        <v>#VALUE!</v>
      </c>
      <c r="AH34" t="e">
        <f t="shared" si="6"/>
        <v>#VALUE!</v>
      </c>
      <c r="AI34" t="e">
        <f>IF(G34&lt;=0,1,0)</f>
        <v>#VALUE!</v>
      </c>
      <c r="AJ34" t="e">
        <f>IF(G34&lt;0,1,0)</f>
        <v>#VALUE!</v>
      </c>
      <c r="AK34" t="e">
        <f>MAX(($B$3-G34)/(G34 + 1),0) / $B$3</f>
        <v>#VALUE!</v>
      </c>
      <c r="AL34" t="e">
        <f>IF(H34+ABS(K34)&lt;0,Logistic(SQRT(H34^2+K34^2)/$B$4),0)</f>
        <v>#VALUE!</v>
      </c>
      <c r="AM34" t="e">
        <f>IF(G34&gt;$B$3,1,0)</f>
        <v>#VALUE!</v>
      </c>
      <c r="AN34" t="e">
        <f>IF(H34&gt;$B$4,1,0)</f>
        <v>#VALUE!</v>
      </c>
      <c r="AO34" t="e">
        <f>ABS(H34)/$B$4</f>
        <v>#VALUE!</v>
      </c>
      <c r="AP34" t="e">
        <f>Logistic(I34/$B$5)</f>
        <v>#VALUE!</v>
      </c>
      <c r="AQ34" t="e">
        <f>IF(I34&gt;$B$5,1,0)</f>
        <v>#VALUE!</v>
      </c>
      <c r="AR34" t="e">
        <f>Logistic(ABS(F34-O34)/($B$6/2))</f>
        <v>#VALUE!</v>
      </c>
      <c r="AS34" t="e">
        <f>IF(OR(F34&lt;M34,F34&gt;N34),1,0)</f>
        <v>#VALUE!</v>
      </c>
      <c r="AT34" t="e">
        <f>ABS(K34)/$B$4</f>
        <v>#VALUE!</v>
      </c>
      <c r="AU34">
        <f t="shared" ca="1" si="41"/>
        <v>0</v>
      </c>
      <c r="AV34" t="e">
        <f ca="1">IF(AND(L34&lt;&gt;$L$15,$Q$15&gt;Safety_Distance),1,0)</f>
        <v>#VALUE!</v>
      </c>
      <c r="AW34" t="e">
        <f ca="1">MAX(1-(IF(Q34/(G34-R34)&gt;0,Q34/(G34-R34),Collision_Time_Buffer)/Collision_Time_Buffer),0)*IF($L$15&lt;&gt;L34,Lane_Change_Multiplier,1)</f>
        <v>#VALUE!</v>
      </c>
      <c r="AX34" t="e">
        <f ca="1">MAX(1-(IF(T34/(G34-U34)&gt;0,T34/(G34-U34),Collision_Time_Buffer)/Collision_Time_Buffer),0)*IF($L$15&lt;&gt;L34,Lane_Change_Multiplier,1)</f>
        <v>#VALUE!</v>
      </c>
      <c r="AY34" t="e">
        <f ca="1">MAX(1-(IF(W34/(G34-X34)&gt;0,W34/(G34-X34),Collision_Time_Buffer)/Collision_Time_Buffer),0)*IF($L$15&lt;&gt;L34,Lane_Change_Multiplier,1)</f>
        <v>#VALUE!</v>
      </c>
      <c r="AZ34" t="e">
        <f ca="1">MAX(1-(IF(Z34/(G34-AA34)&gt;0,Z34/(G34-AA34),Collision_Time_Buffer)/Collision_Time_Buffer),0)*IF($L$15&lt;&gt;L34,Lane_Change_Multiplier,1)</f>
        <v>#VALUE!</v>
      </c>
      <c r="BA34">
        <f t="shared" ca="1" si="42"/>
        <v>0</v>
      </c>
      <c r="BB34">
        <f t="shared" ca="1" si="43"/>
        <v>0</v>
      </c>
      <c r="BC34">
        <f t="shared" si="44"/>
        <v>0</v>
      </c>
      <c r="BE34" t="e">
        <f t="shared" si="7"/>
        <v>#VALUE!</v>
      </c>
      <c r="BF34" t="e">
        <f t="shared" si="45"/>
        <v>#VALUE!</v>
      </c>
      <c r="BG34" t="e">
        <f t="shared" si="46"/>
        <v>#VALUE!</v>
      </c>
      <c r="BH34" t="e">
        <f t="shared" si="8"/>
        <v>#VALUE!</v>
      </c>
      <c r="BI34" t="e">
        <f t="shared" si="9"/>
        <v>#VALUE!</v>
      </c>
      <c r="BJ34" t="e">
        <f t="shared" si="10"/>
        <v>#VALUE!</v>
      </c>
      <c r="BK34" t="e">
        <f t="shared" si="11"/>
        <v>#VALUE!</v>
      </c>
      <c r="BL34" t="e">
        <f t="shared" si="47"/>
        <v>#VALUE!</v>
      </c>
      <c r="BM34" t="e">
        <f t="shared" si="12"/>
        <v>#VALUE!</v>
      </c>
      <c r="BN34" t="e">
        <f t="shared" si="13"/>
        <v>#VALUE!</v>
      </c>
      <c r="BO34" t="e">
        <f t="shared" si="14"/>
        <v>#VALUE!</v>
      </c>
      <c r="BP34" t="e">
        <f t="shared" si="15"/>
        <v>#VALUE!</v>
      </c>
      <c r="BQ34" t="e">
        <f t="shared" si="16"/>
        <v>#VALUE!</v>
      </c>
    </row>
    <row r="35" spans="1:69" x14ac:dyDescent="0.25">
      <c r="A35" s="1" t="s">
        <v>82</v>
      </c>
      <c r="B35">
        <f t="shared" si="2"/>
        <v>1000000</v>
      </c>
      <c r="D35" t="e">
        <f t="shared" si="17"/>
        <v>#VALUE!</v>
      </c>
      <c r="E35" t="e">
        <f t="shared" si="18"/>
        <v>#VALUE!</v>
      </c>
      <c r="F35" t="e">
        <f t="shared" si="19"/>
        <v>#VALUE!</v>
      </c>
      <c r="G35" t="e">
        <f t="shared" si="20"/>
        <v>#VALUE!</v>
      </c>
      <c r="H35" t="e">
        <f t="shared" si="21"/>
        <v>#VALUE!</v>
      </c>
      <c r="I35" t="e">
        <f t="shared" si="22"/>
        <v>#VALUE!</v>
      </c>
      <c r="J35" t="e">
        <f t="shared" si="23"/>
        <v>#VALUE!</v>
      </c>
      <c r="K35" t="e">
        <f t="shared" si="24"/>
        <v>#VALUE!</v>
      </c>
      <c r="L35" t="e">
        <f t="shared" si="3"/>
        <v>#VALUE!</v>
      </c>
      <c r="M35" t="e">
        <f t="shared" si="0"/>
        <v>#VALUE!</v>
      </c>
      <c r="N35" t="e">
        <f t="shared" si="1"/>
        <v>#VALUE!</v>
      </c>
      <c r="O35" t="e">
        <f t="shared" si="4"/>
        <v>#VALUE!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 t="e">
        <f t="shared" si="27"/>
        <v>#VALUE!</v>
      </c>
      <c r="T35">
        <f t="shared" ca="1" si="28"/>
        <v>1000000</v>
      </c>
      <c r="U35">
        <f t="shared" ca="1" si="29"/>
        <v>100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 t="e">
        <f>GetFollowingCarRow($B$45:$E$54,L35,$E$15,E35)</f>
        <v>#VALUE!</v>
      </c>
      <c r="Z35">
        <f t="shared" ca="1" si="33"/>
        <v>1000000000</v>
      </c>
      <c r="AA35">
        <f t="shared" ca="1" si="34"/>
        <v>100</v>
      </c>
      <c r="AB35" t="e">
        <f t="shared" si="35"/>
        <v>#VALUE!</v>
      </c>
      <c r="AC35" t="e">
        <f t="shared" si="36"/>
        <v>#VALUE!</v>
      </c>
      <c r="AD35" t="e">
        <f t="shared" si="37"/>
        <v>#VALUE!</v>
      </c>
      <c r="AE35" t="e">
        <f t="shared" si="38"/>
        <v>#VALUE!</v>
      </c>
      <c r="AF35" t="e">
        <f t="shared" si="39"/>
        <v>#VALUE!</v>
      </c>
      <c r="AG35" t="e">
        <f t="shared" si="40"/>
        <v>#VALUE!</v>
      </c>
      <c r="AH35" t="e">
        <f t="shared" si="6"/>
        <v>#VALUE!</v>
      </c>
      <c r="AI35" t="e">
        <f>IF(G35&lt;=0,1,0)</f>
        <v>#VALUE!</v>
      </c>
      <c r="AJ35" t="e">
        <f>IF(G35&lt;0,1,0)</f>
        <v>#VALUE!</v>
      </c>
      <c r="AK35" t="e">
        <f>MAX(($B$3-G35)/(G35 + 1),0) / $B$3</f>
        <v>#VALUE!</v>
      </c>
      <c r="AL35" t="e">
        <f>IF(H35+ABS(K35)&lt;0,Logistic(SQRT(H35^2+K35^2)/$B$4),0)</f>
        <v>#VALUE!</v>
      </c>
      <c r="AM35" t="e">
        <f>IF(G35&gt;$B$3,1,0)</f>
        <v>#VALUE!</v>
      </c>
      <c r="AN35" t="e">
        <f>IF(H35&gt;$B$4,1,0)</f>
        <v>#VALUE!</v>
      </c>
      <c r="AO35" t="e">
        <f>ABS(H35)/$B$4</f>
        <v>#VALUE!</v>
      </c>
      <c r="AP35" t="e">
        <f>Logistic(I35/$B$5)</f>
        <v>#VALUE!</v>
      </c>
      <c r="AQ35" t="e">
        <f>IF(I35&gt;$B$5,1,0)</f>
        <v>#VALUE!</v>
      </c>
      <c r="AR35" t="e">
        <f>Logistic(ABS(F35-O35)/($B$6/2))</f>
        <v>#VALUE!</v>
      </c>
      <c r="AS35" t="e">
        <f>IF(OR(F35&lt;M35,F35&gt;N35),1,0)</f>
        <v>#VALUE!</v>
      </c>
      <c r="AT35" t="e">
        <f>ABS(K35)/$B$4</f>
        <v>#VALUE!</v>
      </c>
      <c r="AU35">
        <f t="shared" ca="1" si="41"/>
        <v>0</v>
      </c>
      <c r="AV35" t="e">
        <f ca="1">IF(AND(L35&lt;&gt;$L$15,$Q$15&gt;Safety_Distance),1,0)</f>
        <v>#VALUE!</v>
      </c>
      <c r="AW35" t="e">
        <f ca="1">MAX(1-(IF(Q35/(G35-R35)&gt;0,Q35/(G35-R35),Collision_Time_Buffer)/Collision_Time_Buffer),0)*IF($L$15&lt;&gt;L35,Lane_Change_Multiplier,1)</f>
        <v>#VALUE!</v>
      </c>
      <c r="AX35" t="e">
        <f ca="1">MAX(1-(IF(T35/(G35-U35)&gt;0,T35/(G35-U35),Collision_Time_Buffer)/Collision_Time_Buffer),0)*IF($L$15&lt;&gt;L35,Lane_Change_Multiplier,1)</f>
        <v>#VALUE!</v>
      </c>
      <c r="AY35" t="e">
        <f ca="1">MAX(1-(IF(W35/(G35-X35)&gt;0,W35/(G35-X35),Collision_Time_Buffer)/Collision_Time_Buffer),0)*IF($L$15&lt;&gt;L35,Lane_Change_Multiplier,1)</f>
        <v>#VALUE!</v>
      </c>
      <c r="AZ35" t="e">
        <f ca="1">MAX(1-(IF(Z35/(G35-AA35)&gt;0,Z35/(G35-AA35),Collision_Time_Buffer)/Collision_Time_Buffer),0)*IF($L$15&lt;&gt;L35,Lane_Change_Multiplier,1)</f>
        <v>#VALUE!</v>
      </c>
      <c r="BA35">
        <f t="shared" ca="1" si="42"/>
        <v>0</v>
      </c>
      <c r="BB35">
        <f t="shared" ca="1" si="43"/>
        <v>0</v>
      </c>
      <c r="BC35">
        <f t="shared" si="44"/>
        <v>0</v>
      </c>
      <c r="BE35" t="e">
        <f t="shared" si="7"/>
        <v>#VALUE!</v>
      </c>
      <c r="BF35" t="e">
        <f t="shared" si="45"/>
        <v>#VALUE!</v>
      </c>
      <c r="BG35" t="e">
        <f t="shared" si="46"/>
        <v>#VALUE!</v>
      </c>
      <c r="BH35" t="e">
        <f t="shared" si="8"/>
        <v>#VALUE!</v>
      </c>
      <c r="BI35" t="e">
        <f t="shared" si="9"/>
        <v>#VALUE!</v>
      </c>
      <c r="BJ35" t="e">
        <f t="shared" si="10"/>
        <v>#VALUE!</v>
      </c>
      <c r="BK35" t="e">
        <f t="shared" si="11"/>
        <v>#VALUE!</v>
      </c>
      <c r="BL35" t="e">
        <f t="shared" si="47"/>
        <v>#VALUE!</v>
      </c>
      <c r="BM35" t="e">
        <f t="shared" si="12"/>
        <v>#VALUE!</v>
      </c>
      <c r="BN35" t="e">
        <f t="shared" si="13"/>
        <v>#VALUE!</v>
      </c>
      <c r="BO35" t="e">
        <f t="shared" si="14"/>
        <v>#VALUE!</v>
      </c>
      <c r="BP35" t="e">
        <f t="shared" si="15"/>
        <v>#VALUE!</v>
      </c>
      <c r="BQ35" t="e">
        <f t="shared" si="16"/>
        <v>#VALUE!</v>
      </c>
    </row>
    <row r="36" spans="1:69" x14ac:dyDescent="0.25">
      <c r="A36" s="1" t="s">
        <v>83</v>
      </c>
      <c r="B36">
        <f t="shared" si="2"/>
        <v>1000000</v>
      </c>
      <c r="D36" t="e">
        <f t="shared" si="17"/>
        <v>#VALUE!</v>
      </c>
      <c r="E36" t="e">
        <f t="shared" si="18"/>
        <v>#VALUE!</v>
      </c>
      <c r="F36" t="e">
        <f t="shared" si="19"/>
        <v>#VALUE!</v>
      </c>
      <c r="G36" t="e">
        <f t="shared" si="20"/>
        <v>#VALUE!</v>
      </c>
      <c r="H36" t="e">
        <f t="shared" si="21"/>
        <v>#VALUE!</v>
      </c>
      <c r="I36" t="e">
        <f t="shared" si="22"/>
        <v>#VALUE!</v>
      </c>
      <c r="J36" t="e">
        <f t="shared" si="23"/>
        <v>#VALUE!</v>
      </c>
      <c r="K36" t="e">
        <f t="shared" si="24"/>
        <v>#VALUE!</v>
      </c>
      <c r="L36" t="e">
        <f t="shared" si="3"/>
        <v>#VALUE!</v>
      </c>
      <c r="M36" t="e">
        <f t="shared" si="0"/>
        <v>#VALUE!</v>
      </c>
      <c r="N36" t="e">
        <f t="shared" si="1"/>
        <v>#VALUE!</v>
      </c>
      <c r="O36" t="e">
        <f t="shared" si="4"/>
        <v>#VALUE!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 t="e">
        <f t="shared" si="27"/>
        <v>#VALUE!</v>
      </c>
      <c r="T36">
        <f t="shared" ca="1" si="28"/>
        <v>1000000</v>
      </c>
      <c r="U36">
        <f t="shared" ca="1" si="29"/>
        <v>100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 t="e">
        <f>GetFollowingCarRow($B$45:$E$54,L36,$E$15,E36)</f>
        <v>#VALUE!</v>
      </c>
      <c r="Z36">
        <f t="shared" ca="1" si="33"/>
        <v>1000000000</v>
      </c>
      <c r="AA36">
        <f t="shared" ca="1" si="34"/>
        <v>100</v>
      </c>
      <c r="AB36" t="e">
        <f t="shared" si="35"/>
        <v>#VALUE!</v>
      </c>
      <c r="AC36" t="e">
        <f t="shared" si="36"/>
        <v>#VALUE!</v>
      </c>
      <c r="AD36" t="e">
        <f t="shared" si="37"/>
        <v>#VALUE!</v>
      </c>
      <c r="AE36" t="e">
        <f t="shared" si="38"/>
        <v>#VALUE!</v>
      </c>
      <c r="AF36" t="e">
        <f t="shared" si="39"/>
        <v>#VALUE!</v>
      </c>
      <c r="AG36" t="e">
        <f t="shared" si="40"/>
        <v>#VALUE!</v>
      </c>
      <c r="AH36" t="e">
        <f t="shared" si="6"/>
        <v>#VALUE!</v>
      </c>
      <c r="AI36" t="e">
        <f>IF(G36&lt;=0,1,0)</f>
        <v>#VALUE!</v>
      </c>
      <c r="AJ36" t="e">
        <f>IF(G36&lt;0,1,0)</f>
        <v>#VALUE!</v>
      </c>
      <c r="AK36" t="e">
        <f>MAX(($B$3-G36)/(G36 + 1),0) / $B$3</f>
        <v>#VALUE!</v>
      </c>
      <c r="AL36" t="e">
        <f>IF(H36+ABS(K36)&lt;0,Logistic(SQRT(H36^2+K36^2)/$B$4),0)</f>
        <v>#VALUE!</v>
      </c>
      <c r="AM36" t="e">
        <f>IF(G36&gt;$B$3,1,0)</f>
        <v>#VALUE!</v>
      </c>
      <c r="AN36" t="e">
        <f>IF(H36&gt;$B$4,1,0)</f>
        <v>#VALUE!</v>
      </c>
      <c r="AO36" t="e">
        <f>ABS(H36)/$B$4</f>
        <v>#VALUE!</v>
      </c>
      <c r="AP36" t="e">
        <f>Logistic(I36/$B$5)</f>
        <v>#VALUE!</v>
      </c>
      <c r="AQ36" t="e">
        <f>IF(I36&gt;$B$5,1,0)</f>
        <v>#VALUE!</v>
      </c>
      <c r="AR36" t="e">
        <f>Logistic(ABS(F36-O36)/($B$6/2))</f>
        <v>#VALUE!</v>
      </c>
      <c r="AS36" t="e">
        <f>IF(OR(F36&lt;M36,F36&gt;N36),1,0)</f>
        <v>#VALUE!</v>
      </c>
      <c r="AT36" t="e">
        <f>ABS(K36)/$B$4</f>
        <v>#VALUE!</v>
      </c>
      <c r="AU36">
        <f t="shared" ca="1" si="41"/>
        <v>0</v>
      </c>
      <c r="AV36" t="e">
        <f ca="1">IF(AND(L36&lt;&gt;$L$15,$Q$15&gt;Safety_Distance),1,0)</f>
        <v>#VALUE!</v>
      </c>
      <c r="AW36" t="e">
        <f ca="1">MAX(1-(IF(Q36/(G36-R36)&gt;0,Q36/(G36-R36),Collision_Time_Buffer)/Collision_Time_Buffer),0)*IF($L$15&lt;&gt;L36,Lane_Change_Multiplier,1)</f>
        <v>#VALUE!</v>
      </c>
      <c r="AX36" t="e">
        <f ca="1">MAX(1-(IF(T36/(G36-U36)&gt;0,T36/(G36-U36),Collision_Time_Buffer)/Collision_Time_Buffer),0)*IF($L$15&lt;&gt;L36,Lane_Change_Multiplier,1)</f>
        <v>#VALUE!</v>
      </c>
      <c r="AY36" t="e">
        <f ca="1">MAX(1-(IF(W36/(G36-X36)&gt;0,W36/(G36-X36),Collision_Time_Buffer)/Collision_Time_Buffer),0)*IF($L$15&lt;&gt;L36,Lane_Change_Multiplier,1)</f>
        <v>#VALUE!</v>
      </c>
      <c r="AZ36" t="e">
        <f ca="1">MAX(1-(IF(Z36/(G36-AA36)&gt;0,Z36/(G36-AA36),Collision_Time_Buffer)/Collision_Time_Buffer),0)*IF($L$15&lt;&gt;L36,Lane_Change_Multiplier,1)</f>
        <v>#VALUE!</v>
      </c>
      <c r="BA36">
        <f t="shared" ca="1" si="42"/>
        <v>0</v>
      </c>
      <c r="BB36">
        <f t="shared" ca="1" si="43"/>
        <v>0</v>
      </c>
      <c r="BC36">
        <f t="shared" si="44"/>
        <v>0</v>
      </c>
      <c r="BE36" t="e">
        <f t="shared" si="7"/>
        <v>#VALUE!</v>
      </c>
      <c r="BF36" t="e">
        <f t="shared" si="45"/>
        <v>#VALUE!</v>
      </c>
      <c r="BG36" t="e">
        <f t="shared" si="46"/>
        <v>#VALUE!</v>
      </c>
      <c r="BH36" t="e">
        <f t="shared" si="8"/>
        <v>#VALUE!</v>
      </c>
      <c r="BI36" t="e">
        <f t="shared" si="9"/>
        <v>#VALUE!</v>
      </c>
      <c r="BJ36" t="e">
        <f t="shared" si="10"/>
        <v>#VALUE!</v>
      </c>
      <c r="BK36" t="e">
        <f t="shared" si="11"/>
        <v>#VALUE!</v>
      </c>
      <c r="BL36" t="e">
        <f t="shared" si="47"/>
        <v>#VALUE!</v>
      </c>
      <c r="BM36" t="e">
        <f t="shared" si="12"/>
        <v>#VALUE!</v>
      </c>
      <c r="BN36" t="e">
        <f t="shared" si="13"/>
        <v>#VALUE!</v>
      </c>
      <c r="BO36" t="e">
        <f t="shared" si="14"/>
        <v>#VALUE!</v>
      </c>
      <c r="BP36" t="e">
        <f t="shared" si="15"/>
        <v>#VALUE!</v>
      </c>
      <c r="BQ36" t="e">
        <f t="shared" si="16"/>
        <v>#VALUE!</v>
      </c>
    </row>
    <row r="37" spans="1:69" x14ac:dyDescent="0.25">
      <c r="A37" s="1" t="s">
        <v>84</v>
      </c>
      <c r="B37">
        <f t="shared" si="2"/>
        <v>1000000</v>
      </c>
      <c r="D37" t="e">
        <f t="shared" si="17"/>
        <v>#VALUE!</v>
      </c>
      <c r="E37" t="e">
        <f t="shared" si="18"/>
        <v>#VALUE!</v>
      </c>
      <c r="F37" t="e">
        <f t="shared" si="19"/>
        <v>#VALUE!</v>
      </c>
      <c r="G37" t="e">
        <f t="shared" si="20"/>
        <v>#VALUE!</v>
      </c>
      <c r="H37" t="e">
        <f t="shared" si="21"/>
        <v>#VALUE!</v>
      </c>
      <c r="I37" t="e">
        <f t="shared" si="22"/>
        <v>#VALUE!</v>
      </c>
      <c r="J37" t="e">
        <f t="shared" si="23"/>
        <v>#VALUE!</v>
      </c>
      <c r="K37" t="e">
        <f t="shared" si="24"/>
        <v>#VALUE!</v>
      </c>
      <c r="L37" t="e">
        <f t="shared" si="3"/>
        <v>#VALUE!</v>
      </c>
      <c r="M37" t="e">
        <f t="shared" si="0"/>
        <v>#VALUE!</v>
      </c>
      <c r="N37" t="e">
        <f t="shared" si="1"/>
        <v>#VALUE!</v>
      </c>
      <c r="O37" t="e">
        <f t="shared" si="4"/>
        <v>#VALUE!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 t="e">
        <f t="shared" si="27"/>
        <v>#VALUE!</v>
      </c>
      <c r="T37">
        <f t="shared" ca="1" si="28"/>
        <v>1000000</v>
      </c>
      <c r="U37">
        <f t="shared" ca="1" si="29"/>
        <v>100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 t="e">
        <f>GetFollowingCarRow($B$45:$E$54,L37,$E$15,E37)</f>
        <v>#VALUE!</v>
      </c>
      <c r="Z37">
        <f t="shared" ca="1" si="33"/>
        <v>1000000000</v>
      </c>
      <c r="AA37">
        <f t="shared" ca="1" si="34"/>
        <v>100</v>
      </c>
      <c r="AB37" t="e">
        <f t="shared" si="35"/>
        <v>#VALUE!</v>
      </c>
      <c r="AC37" t="e">
        <f t="shared" si="36"/>
        <v>#VALUE!</v>
      </c>
      <c r="AD37" t="e">
        <f t="shared" si="37"/>
        <v>#VALUE!</v>
      </c>
      <c r="AE37" t="e">
        <f t="shared" si="38"/>
        <v>#VALUE!</v>
      </c>
      <c r="AF37" t="e">
        <f t="shared" si="39"/>
        <v>#VALUE!</v>
      </c>
      <c r="AG37" t="e">
        <f t="shared" si="40"/>
        <v>#VALUE!</v>
      </c>
      <c r="AH37" t="e">
        <f t="shared" si="6"/>
        <v>#VALUE!</v>
      </c>
      <c r="AI37" t="e">
        <f>IF(G37&lt;=0,1,0)</f>
        <v>#VALUE!</v>
      </c>
      <c r="AJ37" t="e">
        <f>IF(G37&lt;0,1,0)</f>
        <v>#VALUE!</v>
      </c>
      <c r="AK37" t="e">
        <f>MAX(($B$3-G37)/(G37 + 1),0) / $B$3</f>
        <v>#VALUE!</v>
      </c>
      <c r="AL37" t="e">
        <f>IF(H37+ABS(K37)&lt;0,Logistic(SQRT(H37^2+K37^2)/$B$4),0)</f>
        <v>#VALUE!</v>
      </c>
      <c r="AM37" t="e">
        <f>IF(G37&gt;$B$3,1,0)</f>
        <v>#VALUE!</v>
      </c>
      <c r="AN37" t="e">
        <f>IF(H37&gt;$B$4,1,0)</f>
        <v>#VALUE!</v>
      </c>
      <c r="AO37" t="e">
        <f>ABS(H37)/$B$4</f>
        <v>#VALUE!</v>
      </c>
      <c r="AP37" t="e">
        <f>Logistic(I37/$B$5)</f>
        <v>#VALUE!</v>
      </c>
      <c r="AQ37" t="e">
        <f>IF(I37&gt;$B$5,1,0)</f>
        <v>#VALUE!</v>
      </c>
      <c r="AR37" t="e">
        <f>Logistic(ABS(F37-O37)/($B$6/2))</f>
        <v>#VALUE!</v>
      </c>
      <c r="AS37" t="e">
        <f>IF(OR(F37&lt;M37,F37&gt;N37),1,0)</f>
        <v>#VALUE!</v>
      </c>
      <c r="AT37" t="e">
        <f>ABS(K37)/$B$4</f>
        <v>#VALUE!</v>
      </c>
      <c r="AU37">
        <f t="shared" ca="1" si="41"/>
        <v>0</v>
      </c>
      <c r="AV37" t="e">
        <f ca="1">IF(AND(L37&lt;&gt;$L$15,$Q$15&gt;Safety_Distance),1,0)</f>
        <v>#VALUE!</v>
      </c>
      <c r="AW37" t="e">
        <f ca="1">MAX(1-(IF(Q37/(G37-R37)&gt;0,Q37/(G37-R37),Collision_Time_Buffer)/Collision_Time_Buffer),0)*IF($L$15&lt;&gt;L37,Lane_Change_Multiplier,1)</f>
        <v>#VALUE!</v>
      </c>
      <c r="AX37" t="e">
        <f ca="1">MAX(1-(IF(T37/(G37-U37)&gt;0,T37/(G37-U37),Collision_Time_Buffer)/Collision_Time_Buffer),0)*IF($L$15&lt;&gt;L37,Lane_Change_Multiplier,1)</f>
        <v>#VALUE!</v>
      </c>
      <c r="AY37" t="e">
        <f ca="1">MAX(1-(IF(W37/(G37-X37)&gt;0,W37/(G37-X37),Collision_Time_Buffer)/Collision_Time_Buffer),0)*IF($L$15&lt;&gt;L37,Lane_Change_Multiplier,1)</f>
        <v>#VALUE!</v>
      </c>
      <c r="AZ37" t="e">
        <f ca="1">MAX(1-(IF(Z37/(G37-AA37)&gt;0,Z37/(G37-AA37),Collision_Time_Buffer)/Collision_Time_Buffer),0)*IF($L$15&lt;&gt;L37,Lane_Change_Multiplier,1)</f>
        <v>#VALUE!</v>
      </c>
      <c r="BA37">
        <f t="shared" ca="1" si="42"/>
        <v>0</v>
      </c>
      <c r="BB37">
        <f t="shared" ca="1" si="43"/>
        <v>0</v>
      </c>
      <c r="BC37">
        <f t="shared" si="44"/>
        <v>0</v>
      </c>
      <c r="BE37" t="e">
        <f t="shared" si="7"/>
        <v>#VALUE!</v>
      </c>
      <c r="BF37" t="e">
        <f t="shared" si="45"/>
        <v>#VALUE!</v>
      </c>
      <c r="BG37" t="e">
        <f t="shared" si="46"/>
        <v>#VALUE!</v>
      </c>
      <c r="BH37" t="e">
        <f t="shared" si="8"/>
        <v>#VALUE!</v>
      </c>
      <c r="BI37" t="e">
        <f t="shared" si="9"/>
        <v>#VALUE!</v>
      </c>
      <c r="BJ37" t="e">
        <f t="shared" si="10"/>
        <v>#VALUE!</v>
      </c>
      <c r="BK37" t="e">
        <f t="shared" si="11"/>
        <v>#VALUE!</v>
      </c>
      <c r="BL37" t="e">
        <f t="shared" si="47"/>
        <v>#VALUE!</v>
      </c>
      <c r="BM37" t="e">
        <f t="shared" si="12"/>
        <v>#VALUE!</v>
      </c>
      <c r="BN37" t="e">
        <f t="shared" si="13"/>
        <v>#VALUE!</v>
      </c>
      <c r="BO37" t="e">
        <f t="shared" si="14"/>
        <v>#VALUE!</v>
      </c>
      <c r="BP37" t="e">
        <f t="shared" si="15"/>
        <v>#VALUE!</v>
      </c>
      <c r="BQ37" t="e">
        <f t="shared" si="16"/>
        <v>#VALUE!</v>
      </c>
    </row>
    <row r="38" spans="1:69" x14ac:dyDescent="0.25">
      <c r="A38" s="1" t="s">
        <v>19</v>
      </c>
      <c r="B38">
        <f t="shared" si="2"/>
        <v>1000000</v>
      </c>
      <c r="D38" t="e">
        <f t="shared" si="17"/>
        <v>#VALUE!</v>
      </c>
      <c r="E38" t="e">
        <f t="shared" si="18"/>
        <v>#VALUE!</v>
      </c>
      <c r="F38" t="e">
        <f t="shared" si="19"/>
        <v>#VALUE!</v>
      </c>
      <c r="G38" t="e">
        <f t="shared" si="20"/>
        <v>#VALUE!</v>
      </c>
      <c r="H38" t="e">
        <f t="shared" si="21"/>
        <v>#VALUE!</v>
      </c>
      <c r="I38" t="e">
        <f t="shared" si="22"/>
        <v>#VALUE!</v>
      </c>
      <c r="J38" t="e">
        <f t="shared" si="23"/>
        <v>#VALUE!</v>
      </c>
      <c r="K38" t="e">
        <f t="shared" si="24"/>
        <v>#VALUE!</v>
      </c>
      <c r="L38" t="e">
        <f t="shared" si="3"/>
        <v>#VALUE!</v>
      </c>
      <c r="M38" t="e">
        <f>$B$6*(L38-1)</f>
        <v>#VALUE!</v>
      </c>
      <c r="N38" t="e">
        <f>$B$6*L38</f>
        <v>#VALUE!</v>
      </c>
      <c r="O38" t="e">
        <f t="shared" si="4"/>
        <v>#VALUE!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 t="e">
        <f t="shared" si="27"/>
        <v>#VALUE!</v>
      </c>
      <c r="T38">
        <f t="shared" ca="1" si="28"/>
        <v>1000000</v>
      </c>
      <c r="U38">
        <f t="shared" ca="1" si="29"/>
        <v>100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 t="e">
        <f>GetFollowingCarRow($B$45:$E$54,L38,$E$15,E38)</f>
        <v>#VALUE!</v>
      </c>
      <c r="Z38">
        <f t="shared" ca="1" si="33"/>
        <v>1000000000</v>
      </c>
      <c r="AA38">
        <f t="shared" ca="1" si="34"/>
        <v>100</v>
      </c>
      <c r="AB38" t="e">
        <f t="shared" si="35"/>
        <v>#VALUE!</v>
      </c>
      <c r="AC38" t="e">
        <f t="shared" si="36"/>
        <v>#VALUE!</v>
      </c>
      <c r="AD38" t="e">
        <f t="shared" si="37"/>
        <v>#VALUE!</v>
      </c>
      <c r="AE38" t="e">
        <f t="shared" si="38"/>
        <v>#VALUE!</v>
      </c>
      <c r="AF38" t="e">
        <f t="shared" si="39"/>
        <v>#VALUE!</v>
      </c>
      <c r="AG38" t="e">
        <f t="shared" si="40"/>
        <v>#VALUE!</v>
      </c>
      <c r="AH38" t="e">
        <f>Logistic((D38-$B$2)/$B$2)</f>
        <v>#VALUE!</v>
      </c>
      <c r="AI38" t="e">
        <f>IF(G38&lt;=0,1,0)</f>
        <v>#VALUE!</v>
      </c>
      <c r="AJ38" t="e">
        <f>IF(G38&lt;0,1,0)</f>
        <v>#VALUE!</v>
      </c>
      <c r="AK38" t="e">
        <f>MAX(($B$3-G38)/(G38 + 1),0) / $B$3</f>
        <v>#VALUE!</v>
      </c>
      <c r="AL38" t="e">
        <f>IF(H38+ABS(K38)&lt;0,Logistic(SQRT(H38^2+K38^2)/$B$4),0)</f>
        <v>#VALUE!</v>
      </c>
      <c r="AM38" t="e">
        <f>IF(G38&gt;$B$3,1,0)</f>
        <v>#VALUE!</v>
      </c>
      <c r="AN38" t="e">
        <f>IF(H38&gt;$B$4,1,0)</f>
        <v>#VALUE!</v>
      </c>
      <c r="AO38" t="e">
        <f>ABS(H38)/$B$4</f>
        <v>#VALUE!</v>
      </c>
      <c r="AP38" t="e">
        <f>Logistic(I38/$B$5)</f>
        <v>#VALUE!</v>
      </c>
      <c r="AQ38" t="e">
        <f>IF(I38&gt;$B$5,1,0)</f>
        <v>#VALUE!</v>
      </c>
      <c r="AR38" t="e">
        <f>Logistic(ABS(F38-O38)/($B$6/2))</f>
        <v>#VALUE!</v>
      </c>
      <c r="AS38" t="e">
        <f>IF(OR(F38&lt;M38,F38&gt;N38),1,0)</f>
        <v>#VALUE!</v>
      </c>
      <c r="AT38" t="e">
        <f>ABS(K38)/$B$4</f>
        <v>#VALUE!</v>
      </c>
      <c r="AU38">
        <f t="shared" ca="1" si="41"/>
        <v>0</v>
      </c>
      <c r="AV38" t="e">
        <f ca="1">IF(AND(L38&lt;&gt;$L$15,$Q$15&gt;Safety_Distance),1,0)</f>
        <v>#VALUE!</v>
      </c>
      <c r="AW38" t="e">
        <f ca="1">MAX(1-(IF(Q38/(G38-R38)&gt;0,Q38/(G38-R38),Collision_Time_Buffer)/Collision_Time_Buffer),0)*IF($L$15&lt;&gt;L38,Lane_Change_Multiplier,1)</f>
        <v>#VALUE!</v>
      </c>
      <c r="AX38" t="e">
        <f ca="1">MAX(1-(IF(T38/(G38-U38)&gt;0,T38/(G38-U38),Collision_Time_Buffer)/Collision_Time_Buffer),0)*IF($L$15&lt;&gt;L38,Lane_Change_Multiplier,1)</f>
        <v>#VALUE!</v>
      </c>
      <c r="AY38" t="e">
        <f ca="1">MAX(1-(IF(W38/(G38-X38)&gt;0,W38/(G38-X38),Collision_Time_Buffer)/Collision_Time_Buffer),0)*IF($L$15&lt;&gt;L38,Lane_Change_Multiplier,1)</f>
        <v>#VALUE!</v>
      </c>
      <c r="AZ38" t="e">
        <f ca="1">MAX(1-(IF(Z38/(G38-AA38)&gt;0,Z38/(G38-AA38),Collision_Time_Buffer)/Collision_Time_Buffer),0)*IF($L$15&lt;&gt;L38,Lane_Change_Multiplier,1)</f>
        <v>#VALUE!</v>
      </c>
      <c r="BA38">
        <f t="shared" ca="1" si="42"/>
        <v>0</v>
      </c>
      <c r="BB38">
        <f t="shared" ca="1" si="43"/>
        <v>0</v>
      </c>
      <c r="BC38">
        <f t="shared" si="44"/>
        <v>0</v>
      </c>
      <c r="BE38" t="e">
        <f>Logistic((D38-$B$2)/$B$2)</f>
        <v>#VALUE!</v>
      </c>
      <c r="BF38" t="e">
        <f t="shared" si="45"/>
        <v>#VALUE!</v>
      </c>
      <c r="BG38" t="e">
        <f t="shared" si="46"/>
        <v>#VALUE!</v>
      </c>
      <c r="BH38" t="e">
        <f>Logistic(($B$3-G38)/(G38+1))</f>
        <v>#VALUE!</v>
      </c>
      <c r="BI38" t="e">
        <f>IF(G38&gt;$B$3,1,0)</f>
        <v>#VALUE!</v>
      </c>
      <c r="BJ38" t="e">
        <f>IF(H38&gt;$B$5,1,0)</f>
        <v>#VALUE!</v>
      </c>
      <c r="BK38" t="e">
        <f>EXP(-($B$4-ABS(H38))/MAX(ABS(H38),0.000000001))</f>
        <v>#VALUE!</v>
      </c>
      <c r="BL38" t="e">
        <f t="shared" si="47"/>
        <v>#VALUE!</v>
      </c>
      <c r="BM38" t="e">
        <f>EXP(-($B$5-I38)/MAX(I38,0.000000001))</f>
        <v>#VALUE!</v>
      </c>
      <c r="BN38" t="e">
        <f>IF(F38&gt;N38,(F38-N38)/$B$6,0)+IF(F38&lt;M38,(M38-F38)/$B$6,0)</f>
        <v>#VALUE!</v>
      </c>
      <c r="BO38" t="e">
        <f>ABS(K38/$B$4)</f>
        <v>#VALUE!</v>
      </c>
      <c r="BP38" t="e">
        <f>Logistic(ABS(H38)/$B$4)</f>
        <v>#VALUE!</v>
      </c>
      <c r="BQ38" t="e">
        <f>Logistic(($B$3-G38)/G38)</f>
        <v>#VALUE!</v>
      </c>
    </row>
    <row r="39" spans="1:69" x14ac:dyDescent="0.25">
      <c r="A39" s="1" t="s">
        <v>18</v>
      </c>
      <c r="B39">
        <f t="shared" si="2"/>
        <v>1000000</v>
      </c>
      <c r="D39" t="e">
        <f t="shared" si="17"/>
        <v>#VALUE!</v>
      </c>
      <c r="E39" t="e">
        <f t="shared" si="18"/>
        <v>#VALUE!</v>
      </c>
      <c r="F39" t="e">
        <f t="shared" si="19"/>
        <v>#VALUE!</v>
      </c>
      <c r="G39" t="e">
        <f t="shared" si="20"/>
        <v>#VALUE!</v>
      </c>
      <c r="H39" t="e">
        <f t="shared" si="21"/>
        <v>#VALUE!</v>
      </c>
      <c r="I39" t="e">
        <f t="shared" si="22"/>
        <v>#VALUE!</v>
      </c>
      <c r="J39" t="e">
        <f t="shared" si="23"/>
        <v>#VALUE!</v>
      </c>
      <c r="K39" t="e">
        <f t="shared" si="24"/>
        <v>#VALUE!</v>
      </c>
      <c r="L39" t="e">
        <f t="shared" si="3"/>
        <v>#VALUE!</v>
      </c>
      <c r="M39" t="e">
        <f>$B$6*(L39-1)</f>
        <v>#VALUE!</v>
      </c>
      <c r="N39" t="e">
        <f>$B$6*L39</f>
        <v>#VALUE!</v>
      </c>
      <c r="O39" t="e">
        <f t="shared" si="4"/>
        <v>#VALUE!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 t="e">
        <f t="shared" si="27"/>
        <v>#VALUE!</v>
      </c>
      <c r="T39">
        <f t="shared" ca="1" si="28"/>
        <v>1000000</v>
      </c>
      <c r="U39">
        <f t="shared" ca="1" si="29"/>
        <v>100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 t="e">
        <f>GetFollowingCarRow($B$45:$E$54,L39,$E$15,E39)</f>
        <v>#VALUE!</v>
      </c>
      <c r="Z39">
        <f t="shared" ca="1" si="33"/>
        <v>1000000000</v>
      </c>
      <c r="AA39">
        <f t="shared" ca="1" si="34"/>
        <v>100</v>
      </c>
      <c r="AB39" t="e">
        <f t="shared" si="35"/>
        <v>#VALUE!</v>
      </c>
      <c r="AC39" t="e">
        <f t="shared" si="36"/>
        <v>#VALUE!</v>
      </c>
      <c r="AD39" t="e">
        <f t="shared" si="37"/>
        <v>#VALUE!</v>
      </c>
      <c r="AE39" t="e">
        <f t="shared" si="38"/>
        <v>#VALUE!</v>
      </c>
      <c r="AF39" t="e">
        <f t="shared" si="39"/>
        <v>#VALUE!</v>
      </c>
      <c r="AG39" t="e">
        <f t="shared" si="40"/>
        <v>#VALUE!</v>
      </c>
      <c r="AH39" t="e">
        <f>Logistic((D39-$B$2)/$B$2)</f>
        <v>#VALUE!</v>
      </c>
      <c r="AI39" t="e">
        <f>IF(G39&lt;=0,1,0)</f>
        <v>#VALUE!</v>
      </c>
      <c r="AJ39" t="e">
        <f>IF(G39&lt;0,1,0)</f>
        <v>#VALUE!</v>
      </c>
      <c r="AK39" t="e">
        <f>MAX(($B$3-G39)/(G39 + 1),0) / $B$3</f>
        <v>#VALUE!</v>
      </c>
      <c r="AL39" t="e">
        <f>IF(H39+ABS(K39)&lt;0,Logistic(SQRT(H39^2+K39^2)/$B$4),0)</f>
        <v>#VALUE!</v>
      </c>
      <c r="AM39" t="e">
        <f>IF(G39&gt;$B$3,1,0)</f>
        <v>#VALUE!</v>
      </c>
      <c r="AN39" t="e">
        <f>IF(H39&gt;$B$4,1,0)</f>
        <v>#VALUE!</v>
      </c>
      <c r="AO39" t="e">
        <f>ABS(H39)/$B$4</f>
        <v>#VALUE!</v>
      </c>
      <c r="AP39" t="e">
        <f>Logistic(I39/$B$5)</f>
        <v>#VALUE!</v>
      </c>
      <c r="AQ39" t="e">
        <f>IF(I39&gt;$B$5,1,0)</f>
        <v>#VALUE!</v>
      </c>
      <c r="AR39" t="e">
        <f>Logistic(ABS(F39-O39)/($B$6/2))</f>
        <v>#VALUE!</v>
      </c>
      <c r="AS39" t="e">
        <f>IF(OR(F39&lt;M39,F39&gt;N39),1,0)</f>
        <v>#VALUE!</v>
      </c>
      <c r="AT39" t="e">
        <f>ABS(K39)/$B$4</f>
        <v>#VALUE!</v>
      </c>
      <c r="AU39">
        <f t="shared" ca="1" si="41"/>
        <v>0</v>
      </c>
      <c r="AV39" t="e">
        <f ca="1">IF(AND(L39&lt;&gt;$L$15,$Q$15&gt;Safety_Distance),1,0)</f>
        <v>#VALUE!</v>
      </c>
      <c r="AW39" t="e">
        <f ca="1">MAX(1-(IF(Q39/(G39-R39)&gt;0,Q39/(G39-R39),Collision_Time_Buffer)/Collision_Time_Buffer),0)*IF($L$15&lt;&gt;L39,Lane_Change_Multiplier,1)</f>
        <v>#VALUE!</v>
      </c>
      <c r="AX39" t="e">
        <f ca="1">MAX(1-(IF(T39/(G39-U39)&gt;0,T39/(G39-U39),Collision_Time_Buffer)/Collision_Time_Buffer),0)*IF($L$15&lt;&gt;L39,Lane_Change_Multiplier,1)</f>
        <v>#VALUE!</v>
      </c>
      <c r="AY39" t="e">
        <f ca="1">MAX(1-(IF(W39/(G39-X39)&gt;0,W39/(G39-X39),Collision_Time_Buffer)/Collision_Time_Buffer),0)*IF($L$15&lt;&gt;L39,Lane_Change_Multiplier,1)</f>
        <v>#VALUE!</v>
      </c>
      <c r="AZ39" t="e">
        <f ca="1">MAX(1-(IF(Z39/(G39-AA39)&gt;0,Z39/(G39-AA39),Collision_Time_Buffer)/Collision_Time_Buffer),0)*IF($L$15&lt;&gt;L39,Lane_Change_Multiplier,1)</f>
        <v>#VALUE!</v>
      </c>
      <c r="BA39">
        <f t="shared" ca="1" si="42"/>
        <v>0</v>
      </c>
      <c r="BB39">
        <f t="shared" ca="1" si="43"/>
        <v>0</v>
      </c>
      <c r="BC39">
        <f t="shared" si="44"/>
        <v>0</v>
      </c>
      <c r="BE39" t="e">
        <f>Logistic((D39-$B$2)/$B$2)</f>
        <v>#VALUE!</v>
      </c>
      <c r="BF39" t="e">
        <f t="shared" si="45"/>
        <v>#VALUE!</v>
      </c>
      <c r="BG39" t="e">
        <f t="shared" si="46"/>
        <v>#VALUE!</v>
      </c>
      <c r="BH39" t="e">
        <f>Logistic(($B$3-G39)/(G39+1))</f>
        <v>#VALUE!</v>
      </c>
      <c r="BI39" t="e">
        <f>IF(G39&gt;$B$3,1,0)</f>
        <v>#VALUE!</v>
      </c>
      <c r="BJ39" t="e">
        <f>IF(H39&gt;$B$5,1,0)</f>
        <v>#VALUE!</v>
      </c>
      <c r="BK39" t="e">
        <f>EXP(-($B$4-ABS(H39))/MAX(ABS(H39),0.000000001))</f>
        <v>#VALUE!</v>
      </c>
      <c r="BL39" t="e">
        <f t="shared" si="47"/>
        <v>#VALUE!</v>
      </c>
      <c r="BM39" t="e">
        <f>EXP(-($B$5-I39)/MAX(I39,0.000000001))</f>
        <v>#VALUE!</v>
      </c>
      <c r="BN39" t="e">
        <f>IF(F39&gt;N39,(F39-N39)/$B$6,0)+IF(F39&lt;M39,(M39-F39)/$B$6,0)</f>
        <v>#VALUE!</v>
      </c>
      <c r="BO39" t="e">
        <f>ABS(K39/$B$4)</f>
        <v>#VALUE!</v>
      </c>
      <c r="BP39" t="e">
        <f>Logistic(ABS(H39)/$B$4)</f>
        <v>#VALUE!</v>
      </c>
      <c r="BQ39" t="e">
        <f>Logistic(($B$3-G39)/G39)</f>
        <v>#VALUE!</v>
      </c>
    </row>
    <row r="40" spans="1:69" x14ac:dyDescent="0.25">
      <c r="A40" s="1" t="s">
        <v>17</v>
      </c>
      <c r="B40">
        <f t="shared" si="2"/>
        <v>1000000</v>
      </c>
      <c r="D40" t="e">
        <f t="shared" si="17"/>
        <v>#VALUE!</v>
      </c>
      <c r="E40" t="e">
        <f t="shared" si="18"/>
        <v>#VALUE!</v>
      </c>
      <c r="F40" t="e">
        <f t="shared" si="19"/>
        <v>#VALUE!</v>
      </c>
      <c r="G40" t="e">
        <f t="shared" si="20"/>
        <v>#VALUE!</v>
      </c>
      <c r="H40" t="e">
        <f t="shared" si="21"/>
        <v>#VALUE!</v>
      </c>
      <c r="I40" t="e">
        <f t="shared" si="22"/>
        <v>#VALUE!</v>
      </c>
      <c r="J40" t="e">
        <f t="shared" si="23"/>
        <v>#VALUE!</v>
      </c>
      <c r="K40" t="e">
        <f t="shared" si="24"/>
        <v>#VALUE!</v>
      </c>
      <c r="L40" t="e">
        <f t="shared" si="3"/>
        <v>#VALUE!</v>
      </c>
      <c r="M40" t="e">
        <f>$B$6*(L40-1)</f>
        <v>#VALUE!</v>
      </c>
      <c r="N40" t="e">
        <f>$B$6*L40</f>
        <v>#VALUE!</v>
      </c>
      <c r="O40" t="e">
        <f t="shared" si="4"/>
        <v>#VALUE!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 t="e">
        <f t="shared" si="27"/>
        <v>#VALUE!</v>
      </c>
      <c r="T40">
        <f t="shared" ca="1" si="28"/>
        <v>1000000</v>
      </c>
      <c r="U40">
        <f t="shared" ca="1" si="29"/>
        <v>100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 t="e">
        <f>GetFollowingCarRow($B$45:$E$54,L40,$E$15,E40)</f>
        <v>#VALUE!</v>
      </c>
      <c r="Z40">
        <f t="shared" ca="1" si="33"/>
        <v>1000000000</v>
      </c>
      <c r="AA40">
        <f t="shared" ca="1" si="34"/>
        <v>100</v>
      </c>
      <c r="AB40" t="e">
        <f t="shared" si="35"/>
        <v>#VALUE!</v>
      </c>
      <c r="AC40" t="e">
        <f t="shared" si="36"/>
        <v>#VALUE!</v>
      </c>
      <c r="AD40" t="e">
        <f t="shared" si="37"/>
        <v>#VALUE!</v>
      </c>
      <c r="AE40" t="e">
        <f t="shared" si="38"/>
        <v>#VALUE!</v>
      </c>
      <c r="AF40" t="e">
        <f t="shared" si="39"/>
        <v>#VALUE!</v>
      </c>
      <c r="AG40" t="e">
        <f t="shared" si="40"/>
        <v>#VALUE!</v>
      </c>
      <c r="AH40" t="e">
        <f>Logistic((D40-$B$2)/$B$2)</f>
        <v>#VALUE!</v>
      </c>
      <c r="AI40" t="e">
        <f>IF(G40&lt;=0,1,0)</f>
        <v>#VALUE!</v>
      </c>
      <c r="AJ40" t="e">
        <f>IF(G40&lt;0,1,0)</f>
        <v>#VALUE!</v>
      </c>
      <c r="AK40" t="e">
        <f>MAX(($B$3-G40)/(G40 + 1),0) / $B$3</f>
        <v>#VALUE!</v>
      </c>
      <c r="AL40" t="e">
        <f>IF(H40+ABS(K40)&lt;0,Logistic(SQRT(H40^2+K40^2)/$B$4),0)</f>
        <v>#VALUE!</v>
      </c>
      <c r="AM40" t="e">
        <f>IF(G40&gt;$B$3,1,0)</f>
        <v>#VALUE!</v>
      </c>
      <c r="AN40" t="e">
        <f>IF(H40&gt;$B$4,1,0)</f>
        <v>#VALUE!</v>
      </c>
      <c r="AO40" t="e">
        <f>ABS(H40)/$B$4</f>
        <v>#VALUE!</v>
      </c>
      <c r="AP40" t="e">
        <f>Logistic(I40/$B$5)</f>
        <v>#VALUE!</v>
      </c>
      <c r="AQ40" t="e">
        <f>IF(I40&gt;$B$5,1,0)</f>
        <v>#VALUE!</v>
      </c>
      <c r="AR40" t="e">
        <f>Logistic(ABS(F40-O40)/($B$6/2))</f>
        <v>#VALUE!</v>
      </c>
      <c r="AS40" t="e">
        <f>IF(OR(F40&lt;M40,F40&gt;N40),1,0)</f>
        <v>#VALUE!</v>
      </c>
      <c r="AT40" t="e">
        <f>ABS(K40)/$B$4</f>
        <v>#VALUE!</v>
      </c>
      <c r="AU40">
        <f t="shared" ca="1" si="41"/>
        <v>0</v>
      </c>
      <c r="AV40" t="e">
        <f ca="1">IF(AND(L40&lt;&gt;$L$15,$Q$15&gt;Safety_Distance),1,0)</f>
        <v>#VALUE!</v>
      </c>
      <c r="AW40" t="e">
        <f ca="1">MAX(1-(IF(Q40/(G40-R40)&gt;0,Q40/(G40-R40),Collision_Time_Buffer)/Collision_Time_Buffer),0)*IF($L$15&lt;&gt;L40,Lane_Change_Multiplier,1)</f>
        <v>#VALUE!</v>
      </c>
      <c r="AX40" t="e">
        <f ca="1">MAX(1-(IF(T40/(G40-U40)&gt;0,T40/(G40-U40),Collision_Time_Buffer)/Collision_Time_Buffer),0)*IF($L$15&lt;&gt;L40,Lane_Change_Multiplier,1)</f>
        <v>#VALUE!</v>
      </c>
      <c r="AY40" t="e">
        <f ca="1">MAX(1-(IF(W40/(G40-X40)&gt;0,W40/(G40-X40),Collision_Time_Buffer)/Collision_Time_Buffer),0)*IF($L$15&lt;&gt;L40,Lane_Change_Multiplier,1)</f>
        <v>#VALUE!</v>
      </c>
      <c r="AZ40" t="e">
        <f ca="1">MAX(1-(IF(Z40/(G40-AA40)&gt;0,Z40/(G40-AA40),Collision_Time_Buffer)/Collision_Time_Buffer),0)*IF($L$15&lt;&gt;L40,Lane_Change_Multiplier,1)</f>
        <v>#VALUE!</v>
      </c>
      <c r="BA40">
        <f t="shared" ca="1" si="42"/>
        <v>0</v>
      </c>
      <c r="BB40">
        <f t="shared" ca="1" si="43"/>
        <v>0</v>
      </c>
      <c r="BC40">
        <f t="shared" si="44"/>
        <v>0</v>
      </c>
      <c r="BE40" t="e">
        <f>Logistic((D40-$B$2)/$B$2)</f>
        <v>#VALUE!</v>
      </c>
      <c r="BF40" t="e">
        <f t="shared" si="45"/>
        <v>#VALUE!</v>
      </c>
      <c r="BG40" t="e">
        <f t="shared" si="46"/>
        <v>#VALUE!</v>
      </c>
      <c r="BH40" t="e">
        <f>Logistic(($B$3-G40)/(G40+1))</f>
        <v>#VALUE!</v>
      </c>
      <c r="BI40" t="e">
        <f>IF(G40&gt;$B$3,1,0)</f>
        <v>#VALUE!</v>
      </c>
      <c r="BJ40" t="e">
        <f>IF(H40&gt;$B$5,1,0)</f>
        <v>#VALUE!</v>
      </c>
      <c r="BK40" t="e">
        <f>EXP(-($B$4-ABS(H40))/MAX(ABS(H40),0.000000001))</f>
        <v>#VALUE!</v>
      </c>
      <c r="BL40" t="e">
        <f t="shared" si="47"/>
        <v>#VALUE!</v>
      </c>
      <c r="BM40" t="e">
        <f>EXP(-($B$5-I40)/MAX(I40,0.000000001))</f>
        <v>#VALUE!</v>
      </c>
      <c r="BN40" t="e">
        <f>IF(F40&gt;N40,(F40-N40)/$B$6,0)+IF(F40&lt;M40,(M40-F40)/$B$6,0)</f>
        <v>#VALUE!</v>
      </c>
      <c r="BO40" t="e">
        <f>ABS(K40/$B$4)</f>
        <v>#VALUE!</v>
      </c>
      <c r="BP40" t="e">
        <f>Logistic(ABS(H40)/$B$4)</f>
        <v>#VALUE!</v>
      </c>
      <c r="BQ40" t="e">
        <f>Logistic(($B$3-G40)/G40)</f>
        <v>#VALUE!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770.62231099999997</v>
      </c>
      <c r="C45">
        <v>10.08928</v>
      </c>
      <c r="D45">
        <v>17.767872000000001</v>
      </c>
      <c r="E45">
        <v>3</v>
      </c>
    </row>
    <row r="46" spans="1:69" x14ac:dyDescent="0.25">
      <c r="B46">
        <v>666.45748100000003</v>
      </c>
      <c r="C46">
        <v>9.9210569999999993</v>
      </c>
      <c r="D46">
        <v>21.622972000000001</v>
      </c>
      <c r="E46">
        <v>3</v>
      </c>
    </row>
    <row r="47" spans="1:69" x14ac:dyDescent="0.25">
      <c r="B47">
        <v>736.70840799999996</v>
      </c>
      <c r="C47">
        <v>2.0841430000000001</v>
      </c>
      <c r="D47">
        <v>16.645154000000002</v>
      </c>
      <c r="E47">
        <v>1</v>
      </c>
    </row>
    <row r="48" spans="1:69" x14ac:dyDescent="0.25">
      <c r="B48">
        <v>594.58100899999999</v>
      </c>
      <c r="C48">
        <v>2.2715380000000001</v>
      </c>
      <c r="D48">
        <v>18.810728000000001</v>
      </c>
      <c r="E48">
        <v>1</v>
      </c>
    </row>
    <row r="49" spans="2:5" x14ac:dyDescent="0.25">
      <c r="B49">
        <v>670.28795100000002</v>
      </c>
      <c r="C49">
        <v>2.002802</v>
      </c>
      <c r="D49">
        <v>14.970216000000001</v>
      </c>
      <c r="E49">
        <v>1</v>
      </c>
    </row>
    <row r="50" spans="2:5" x14ac:dyDescent="0.25">
      <c r="B50">
        <v>596.14907200000005</v>
      </c>
      <c r="C50">
        <v>6.1827990000000002</v>
      </c>
      <c r="D50">
        <v>19.826961000000001</v>
      </c>
      <c r="E50">
        <v>2</v>
      </c>
    </row>
    <row r="51" spans="2:5" x14ac:dyDescent="0.25">
      <c r="B51">
        <v>767.06356200000005</v>
      </c>
      <c r="C51">
        <v>6.1000719999999999</v>
      </c>
      <c r="D51">
        <v>18.046088000000001</v>
      </c>
      <c r="E51">
        <v>2</v>
      </c>
    </row>
    <row r="52" spans="2:5" x14ac:dyDescent="0.25">
      <c r="B52">
        <v>671.69766600000003</v>
      </c>
      <c r="C52">
        <v>5.9916660000000004</v>
      </c>
      <c r="D52">
        <v>17.064807999999999</v>
      </c>
      <c r="E52">
        <v>2</v>
      </c>
    </row>
    <row r="53" spans="2:5" x14ac:dyDescent="0.25">
      <c r="B53">
        <v>568.42162499999995</v>
      </c>
      <c r="C53">
        <v>0.81635599999999997</v>
      </c>
      <c r="D53">
        <v>19.194036000000001</v>
      </c>
      <c r="E53">
        <v>1</v>
      </c>
    </row>
    <row r="54" spans="2:5" x14ac:dyDescent="0.25">
      <c r="B54">
        <v>546.69195400000001</v>
      </c>
      <c r="C54">
        <v>6.0258630000000002</v>
      </c>
      <c r="D54">
        <v>20.839078000000001</v>
      </c>
      <c r="E54">
        <v>2</v>
      </c>
    </row>
    <row r="55" spans="2:5" x14ac:dyDescent="0.25">
      <c r="B55">
        <v>691.50837100000001</v>
      </c>
      <c r="C55">
        <v>10.022309999999999</v>
      </c>
      <c r="D55">
        <v>17.100815999999998</v>
      </c>
      <c r="E55">
        <v>3</v>
      </c>
    </row>
    <row r="56" spans="2:5" x14ac:dyDescent="0.25">
      <c r="B56">
        <v>731.01629600000001</v>
      </c>
      <c r="C56">
        <v>9.9691299999999998</v>
      </c>
      <c r="D56">
        <v>17.316851</v>
      </c>
      <c r="E56">
        <v>3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92D050"/>
  </sheetPr>
  <dimension ref="A1:BQ54"/>
  <sheetViews>
    <sheetView topLeftCell="B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-0.5</v>
      </c>
    </row>
    <row r="12" spans="1:69" x14ac:dyDescent="0.25">
      <c r="A12" t="s">
        <v>183</v>
      </c>
      <c r="B12">
        <f ca="1">INDEX(A16:F40,MATCH(MIN(B16:B40),B16:B40,0),5)</f>
        <v>5075.1899999999996</v>
      </c>
      <c r="C12">
        <f ca="1">INDEX(A16:F40,MATCH(MIN(B16:B40),B16:B40,0),6)</f>
        <v>5.41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397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5071.1099999999997</v>
      </c>
      <c r="F15">
        <f>VALUE(MID(C15,FIND("d[",C15)+2,FIND("]",C15,FIND("d[",C15))-(FIND("d[",C15)+2)))</f>
        <v>5.8</v>
      </c>
      <c r="G15">
        <f>VALUE(MID(C15,FIND("s_dot[",C15)+6,FIND("]",C15,FIND("s_dot[",C15))-(FIND("s_dot[",C15)+6)))</f>
        <v>16.03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0.02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7" si="0">$B$6*(L15-1)</f>
        <v>4</v>
      </c>
      <c r="N15">
        <f t="shared" ref="N15:N37" si="1">$B$6*L15</f>
        <v>8</v>
      </c>
      <c r="O15">
        <f>(N15+M15)/2</f>
        <v>6</v>
      </c>
      <c r="P15">
        <f>GetLeadingCarRow($B$45:$E$56,L15,$E$15, $E$15)</f>
        <v>54</v>
      </c>
      <c r="Q15">
        <f ca="1">IFERROR(INDIRECT(CONCATENATE("B", P15))-$E$15,1000000)</f>
        <v>27.139267000000473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5.0141458261516867</v>
      </c>
      <c r="C16" t="s">
        <v>422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5075.12</v>
      </c>
      <c r="F16">
        <f>VALUE(MID(C16,FIND("d[",C16)+2,FIND("]",C16,FIND("d[",C16))-(FIND("d[",C16)+2)))</f>
        <v>5.41</v>
      </c>
      <c r="G16">
        <f>VALUE(MID(C16,FIND("s_dot[",C16)+6,FIND("]",C16,FIND("s_dot[",C16))-(FIND("s_dot[",C16)+6)))</f>
        <v>15.52</v>
      </c>
      <c r="H16">
        <f>VALUE(MID(C16,FIND("s_dot2[",C16)+7,FIND("]",C16,FIND("s_dot2[",C16))-(FIND("s_dot2[",C16)+7)))</f>
        <v>-3.29</v>
      </c>
      <c r="I16">
        <f>VALUE(MID(C16,FIND("s_dot3[",C16)+7,FIND("]",C16,FIND("s_dot3[",C16))-(FIND("s_dot3[",C16)+7)))</f>
        <v>3.26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>
        <f t="shared" ref="P16:P40" si="5">GetLeadingCarRow($B$45:$E$56,L16,$E$15, $E$15)</f>
        <v>54</v>
      </c>
      <c r="Q16">
        <f ca="1">IFERROR(INDIRECT(CONCATENATE("B", P16))-$E$15,1000000)</f>
        <v>27.139267000000473</v>
      </c>
      <c r="R16">
        <f ca="1">IFERROR(INDIRECT(CONCATENATE("D", P16)),100)</f>
        <v>13.469815000000001</v>
      </c>
      <c r="S16">
        <f>GetFollowingCarRow($B$45:$E$56,L16,$E$15, $E$15)</f>
        <v>46</v>
      </c>
      <c r="T16">
        <f ca="1">IFERROR(INDIRECT(CONCATENATE("B", S16))-$E$15,1000000)</f>
        <v>-21.068162999999913</v>
      </c>
      <c r="U16">
        <f ca="1">IFERROR(INDIRECT(CONCATENATE("D", S16)),100)</f>
        <v>14.883107000000001</v>
      </c>
      <c r="V16">
        <f>GetLeadingCarRow($B$45:$E$56,L16,$E$15,E16)</f>
        <v>54</v>
      </c>
      <c r="W16">
        <f ca="1">IFERROR(INDIRECT(CONCATENATE("B", V16))-E16,1000000000)</f>
        <v>23.129267000000254</v>
      </c>
      <c r="X16">
        <f ca="1">IFERROR(INDIRECT(CONCATENATE("D", V16)),100)</f>
        <v>13.469815000000001</v>
      </c>
      <c r="Y16">
        <f>GetFollowingCarRow($B$45:$E$56,L16,$E$15,E16)</f>
        <v>46</v>
      </c>
      <c r="Z16">
        <f ca="1">IFERROR(INDIRECT(CONCATENATE("B", Y16))-E16,1000000000)</f>
        <v>-25.078163000000131</v>
      </c>
      <c r="AA16">
        <f ca="1">IFERROR(INDIRECT(CONCATENATE("D", Y16)),100)</f>
        <v>14.883107000000001</v>
      </c>
      <c r="AB16">
        <f>$F$15-F16</f>
        <v>0.38999999999999968</v>
      </c>
      <c r="AC16">
        <f>E16-$E$15</f>
        <v>4.0100000000002183</v>
      </c>
      <c r="AD16">
        <f>$F$15-(-AB16/AC16)*$E$15</f>
        <v>499.00022443887548</v>
      </c>
      <c r="AE16">
        <f>AD16*-AC16</f>
        <v>-2000.9908999999996</v>
      </c>
      <c r="AF16">
        <f>SQRT(AB16^2+AC16^2)</f>
        <v>4.0289204509398981</v>
      </c>
      <c r="AG16">
        <f>GetSmallestNormalDistance($B$45:$E$54,AB16,AC16,AF16,$L$15,L16)</f>
        <v>485.36235321891468</v>
      </c>
      <c r="AH16">
        <f t="shared" ref="AH16:AH37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1.6259958511432179E-2</v>
      </c>
      <c r="AL16">
        <f>IF(H16+ABS(K16)&lt;0,Logistic(SQRT(H16^2+K16^2)/$B$4),0)</f>
        <v>0.20277513498334734</v>
      </c>
      <c r="AM16">
        <f>IF(G16&gt;$B$3,1,0)</f>
        <v>0</v>
      </c>
      <c r="AN16">
        <f>IF(H16&gt;$B$4,1,0)</f>
        <v>0</v>
      </c>
      <c r="AO16">
        <f>ABS(H16)/$B$4</f>
        <v>0.41125</v>
      </c>
      <c r="AP16">
        <f>Logistic(I16/$B$5)</f>
        <v>0.20097654905393264</v>
      </c>
      <c r="AQ16">
        <f>IF(I16&gt;$B$5,1,0)</f>
        <v>0</v>
      </c>
      <c r="AR16">
        <f>Logistic(ABS(F16-O16)/($B$6/2))</f>
        <v>0.14643954535966966</v>
      </c>
      <c r="AS16">
        <f>IF(OR(F16&lt;M16,F16&gt;N16),1,0)</f>
        <v>0</v>
      </c>
      <c r="AT16">
        <f>ABS(K16)/$B$4</f>
        <v>0</v>
      </c>
      <c r="AU16">
        <f ca="1">MAX(($B$7-W16)/(W16+1),0)/$B$7</f>
        <v>9.4915619829364258E-3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7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7" si="8">Logistic(($B$3-G16)/(G16+1))</f>
        <v>0.17082676818435683</v>
      </c>
      <c r="BI16">
        <f t="shared" ref="BI16:BI37" si="9">IF(G16&gt;$B$3,1,0)</f>
        <v>0</v>
      </c>
      <c r="BJ16">
        <f t="shared" ref="BJ16:BJ37" si="10">IF(H16&gt;$B$5,1,0)</f>
        <v>0</v>
      </c>
      <c r="BK16">
        <f t="shared" ref="BK16:BK37" si="11">EXP(-($B$4-ABS(H16))/MAX(ABS(H16),0.000000001))</f>
        <v>0.23892371974308776</v>
      </c>
      <c r="BL16">
        <f>IF(G16&lt;ABS(H16),1,0)</f>
        <v>0</v>
      </c>
      <c r="BM16">
        <f t="shared" ref="BM16:BM37" si="12">EXP(-($B$5-I16)/MAX(I16,0.000000001))</f>
        <v>0.23363674769511775</v>
      </c>
      <c r="BN16">
        <f t="shared" ref="BN16:BN37" si="13">IF(F16&gt;N16,(F16-N16)/$B$6,0)+IF(F16&lt;M16,(M16-F16)/$B$6,0)</f>
        <v>0</v>
      </c>
      <c r="BO16">
        <f t="shared" ref="BO16:BO37" si="14">ABS(K16/$B$4)</f>
        <v>0</v>
      </c>
      <c r="BP16">
        <f t="shared" ref="BP16:BP37" si="15">Logistic(ABS(H16)/$B$4)</f>
        <v>0.20277513498334734</v>
      </c>
      <c r="BQ16">
        <f t="shared" ref="BQ16:BQ37" si="16">Logistic(($B$3-G16)/G16)</f>
        <v>0.18159735261182172</v>
      </c>
    </row>
    <row r="17" spans="1:69" x14ac:dyDescent="0.25">
      <c r="A17" s="1" t="s">
        <v>15</v>
      </c>
      <c r="B17">
        <f t="shared" ca="1" si="2"/>
        <v>4.9101016204522381</v>
      </c>
      <c r="C17" t="s">
        <v>421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5075.1899999999996</v>
      </c>
      <c r="F17">
        <f t="shared" ref="F17:F40" si="19">VALUE(MID(C17,FIND("d[",C17)+2,FIND("]",C17,FIND("d[",C17))-(FIND("d[",C17)+2)))</f>
        <v>5.41</v>
      </c>
      <c r="G17">
        <f t="shared" ref="G17:G40" si="20">VALUE(MID(C17,FIND("s_dot[",C17)+6,FIND("]",C17,FIND("s_dot[",C17))-(FIND("s_dot[",C17)+6)))</f>
        <v>15.78</v>
      </c>
      <c r="H17">
        <f t="shared" ref="H17:H40" si="21">VALUE(MID(C17,FIND("s_dot2[",C17)+7,FIND("]",C17,FIND("s_dot2[",C17))-(FIND("s_dot2[",C17)+7)))</f>
        <v>-1.67</v>
      </c>
      <c r="I17">
        <f t="shared" ref="I17:I40" si="22">VALUE(MID(C17,FIND("s_dot3[",C17)+7,FIND("]",C17,FIND("s_dot3[",C17))-(FIND("s_dot3[",C17)+7)))</f>
        <v>1.64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>
        <f t="shared" si="5"/>
        <v>54</v>
      </c>
      <c r="Q17">
        <f t="shared" ref="Q17:Q40" ca="1" si="25">IFERROR(INDIRECT(CONCATENATE("B", P17))-$E$15,1000000)</f>
        <v>27.139267000000473</v>
      </c>
      <c r="R17">
        <f t="shared" ref="R17:R40" ca="1" si="26">IFERROR(INDIRECT(CONCATENATE("D", P17)),100)</f>
        <v>13.469815000000001</v>
      </c>
      <c r="S17">
        <f t="shared" ref="S17:S40" si="27">GetFollowingCarRow($B$45:$E$56,L17,$E$15, $E$15)</f>
        <v>46</v>
      </c>
      <c r="T17">
        <f t="shared" ref="T17:T40" ca="1" si="28">IFERROR(INDIRECT(CONCATENATE("B", S17))-$E$15,1000000)</f>
        <v>-21.068162999999913</v>
      </c>
      <c r="U17">
        <f t="shared" ref="U17:U40" ca="1" si="29">IFERROR(INDIRECT(CONCATENATE("D", S17)),100)</f>
        <v>14.883107000000001</v>
      </c>
      <c r="V17">
        <f t="shared" ref="V17:V40" si="30">GetLeadingCarRow($B$45:$E$56,L17,$E$15,E17)</f>
        <v>54</v>
      </c>
      <c r="W17">
        <f t="shared" ref="W17:W40" ca="1" si="31">IFERROR(INDIRECT(CONCATENATE("B", V17))-E17,1000000000)</f>
        <v>23.059267000000546</v>
      </c>
      <c r="X17">
        <f t="shared" ref="X17:X40" ca="1" si="32">IFERROR(INDIRECT(CONCATENATE("D", V17)),100)</f>
        <v>13.469815000000001</v>
      </c>
      <c r="Y17">
        <f>GetFollowingCarRow($B$45:$E$54,L17,$E$15,E17)</f>
        <v>46</v>
      </c>
      <c r="Z17">
        <f t="shared" ref="Z17:Z40" ca="1" si="33">IFERROR(INDIRECT(CONCATENATE("B", Y17))-E17,1000000000)</f>
        <v>-25.14816299999984</v>
      </c>
      <c r="AA17">
        <f t="shared" ref="AA17:AA40" ca="1" si="34">IFERROR(INDIRECT(CONCATENATE("D", Y17)),100)</f>
        <v>14.883107000000001</v>
      </c>
      <c r="AB17">
        <f t="shared" ref="AB17:AB40" si="35">$F$15-F17</f>
        <v>0.38999999999999968</v>
      </c>
      <c r="AC17">
        <f t="shared" ref="AC17:AC40" si="36">E17-$E$15</f>
        <v>4.0799999999999272</v>
      </c>
      <c r="AD17">
        <f t="shared" ref="AD17:AD40" si="37">$F$15-(-AB17/AC17)*$E$15</f>
        <v>490.53845588236118</v>
      </c>
      <c r="AE17">
        <f t="shared" ref="AE17:AE40" si="38">AD17*-AC17</f>
        <v>-2001.3968999999979</v>
      </c>
      <c r="AF17">
        <f t="shared" ref="AF17:AF40" si="39">SQRT(AB17^2+AC17^2)</f>
        <v>4.0985973210355038</v>
      </c>
      <c r="AG17">
        <f>GetSmallestNormalDistance($B$45:$E$54,AB17,AC17,AF17,$L$15,L17)</f>
        <v>477.22600039318536</v>
      </c>
      <c r="AH17">
        <f t="shared" si="6"/>
        <v>0</v>
      </c>
      <c r="AI17">
        <f>IF(G17&lt;=0,1,0)</f>
        <v>0</v>
      </c>
      <c r="AJ17">
        <f>IF(G17&lt;0,1,0)</f>
        <v>0</v>
      </c>
      <c r="AK17">
        <f>MAX(($B$3-G17)/(G17 + 1),0) / $B$3</f>
        <v>1.5277826145078686E-2</v>
      </c>
      <c r="AL17">
        <f>IF(H17+ABS(K17)&lt;0,Logistic(SQRT(H17^2+K17^2)/$B$4),0)</f>
        <v>0.10399761910171519</v>
      </c>
      <c r="AM17">
        <f>IF(G17&gt;$B$3,1,0)</f>
        <v>0</v>
      </c>
      <c r="AN17">
        <f>IF(H17&gt;$B$4,1,0)</f>
        <v>0</v>
      </c>
      <c r="AO17">
        <f>ABS(H17)/$B$4</f>
        <v>0.20874999999999999</v>
      </c>
      <c r="AP17">
        <f>Logistic(I17/$B$5)</f>
        <v>0.10214253861468393</v>
      </c>
      <c r="AQ17">
        <f>IF(I17&gt;$B$5,1,0)</f>
        <v>0</v>
      </c>
      <c r="AR17">
        <f>Logistic(ABS(F17-O17)/($B$6/2))</f>
        <v>0.14643954535966966</v>
      </c>
      <c r="AS17">
        <f>IF(OR(F17&lt;M17,F17&gt;N17),1,0)</f>
        <v>0</v>
      </c>
      <c r="AT17">
        <f>ABS(K17)/$B$4</f>
        <v>0</v>
      </c>
      <c r="AU17">
        <f t="shared" ref="AU17:AU40" ca="1" si="40">MAX(($B$7-W17)/(W17+1),0)/$B$7</f>
        <v>9.6161602374105256E-3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1.843272292021636E-3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1">IF(OR(ABS(Q17)&lt;$B$8,ABS(W17)&lt;$B$8),1,0)</f>
        <v>0</v>
      </c>
      <c r="BB17">
        <f t="shared" ref="BB17:BB40" ca="1" si="42">IF(OR(ABS(T17)&lt;$B$8,ABS(Z17)&lt;$B$8),1,0)</f>
        <v>0</v>
      </c>
      <c r="BC17">
        <f t="shared" ref="BC17:BC40" si="43">IFERROR(IF(P17=Y17,1,0),0)</f>
        <v>0</v>
      </c>
      <c r="BE17">
        <f t="shared" si="7"/>
        <v>0</v>
      </c>
      <c r="BF17">
        <f t="shared" ref="BF17:BF40" si="44">IF(G17&lt;=0,1,0)</f>
        <v>0</v>
      </c>
      <c r="BG17">
        <f t="shared" ref="BG17:BG40" si="45">IF(G17&lt;0,1,0)</f>
        <v>0</v>
      </c>
      <c r="BH17">
        <f t="shared" si="8"/>
        <v>0.16069275773328509</v>
      </c>
      <c r="BI17">
        <f t="shared" si="9"/>
        <v>0</v>
      </c>
      <c r="BJ17">
        <f t="shared" si="10"/>
        <v>0</v>
      </c>
      <c r="BK17">
        <f t="shared" si="11"/>
        <v>2.2586132625471999E-2</v>
      </c>
      <c r="BL17">
        <f t="shared" ref="BL17:BL40" si="46">IF(G17&lt;ABS(H17),1,0)</f>
        <v>0</v>
      </c>
      <c r="BM17">
        <f t="shared" si="12"/>
        <v>2.0691158811836384E-2</v>
      </c>
      <c r="BN17">
        <f t="shared" si="13"/>
        <v>0</v>
      </c>
      <c r="BO17">
        <f t="shared" si="14"/>
        <v>0</v>
      </c>
      <c r="BP17">
        <f t="shared" si="15"/>
        <v>0.10399761910171519</v>
      </c>
      <c r="BQ17">
        <f t="shared" si="16"/>
        <v>0.17068301444139852</v>
      </c>
    </row>
    <row r="18" spans="1:69" x14ac:dyDescent="0.25">
      <c r="A18" s="1" t="s">
        <v>14</v>
      </c>
      <c r="B18">
        <f t="shared" ca="1" si="2"/>
        <v>13.81807033268878</v>
      </c>
      <c r="C18" t="s">
        <v>420</v>
      </c>
      <c r="D18">
        <f t="shared" si="17"/>
        <v>50</v>
      </c>
      <c r="E18">
        <f t="shared" si="18"/>
        <v>5075.28</v>
      </c>
      <c r="F18">
        <f t="shared" si="19"/>
        <v>5.41</v>
      </c>
      <c r="G18">
        <f t="shared" si="20"/>
        <v>16.12</v>
      </c>
      <c r="H18">
        <f t="shared" si="21"/>
        <v>0.43</v>
      </c>
      <c r="I18">
        <f t="shared" si="22"/>
        <v>0.47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>
        <f t="shared" si="5"/>
        <v>54</v>
      </c>
      <c r="Q18">
        <f t="shared" ca="1" si="25"/>
        <v>27.139267000000473</v>
      </c>
      <c r="R18">
        <f t="shared" ca="1" si="26"/>
        <v>13.469815000000001</v>
      </c>
      <c r="S18">
        <f t="shared" si="27"/>
        <v>46</v>
      </c>
      <c r="T18">
        <f t="shared" ca="1" si="28"/>
        <v>-21.068162999999913</v>
      </c>
      <c r="U18">
        <f t="shared" ca="1" si="29"/>
        <v>14.883107000000001</v>
      </c>
      <c r="V18">
        <f t="shared" si="30"/>
        <v>54</v>
      </c>
      <c r="W18">
        <f t="shared" ca="1" si="31"/>
        <v>22.9692670000004</v>
      </c>
      <c r="X18">
        <f t="shared" ca="1" si="32"/>
        <v>13.469815000000001</v>
      </c>
      <c r="Y18">
        <f>GetFollowingCarRow($B$45:$E$54,L18,$E$15,E18)</f>
        <v>46</v>
      </c>
      <c r="Z18">
        <f t="shared" ca="1" si="33"/>
        <v>-25.238162999999986</v>
      </c>
      <c r="AA18">
        <f t="shared" ca="1" si="34"/>
        <v>14.883107000000001</v>
      </c>
      <c r="AB18">
        <f t="shared" si="35"/>
        <v>0.38999999999999968</v>
      </c>
      <c r="AC18">
        <f t="shared" si="36"/>
        <v>4.1700000000000728</v>
      </c>
      <c r="AD18">
        <f t="shared" si="37"/>
        <v>480.07647482013522</v>
      </c>
      <c r="AE18">
        <f t="shared" si="38"/>
        <v>-2001.9188999999988</v>
      </c>
      <c r="AF18">
        <f t="shared" si="39"/>
        <v>4.1881977030699744</v>
      </c>
      <c r="AG18">
        <f>GetSmallestNormalDistance($B$45:$E$54,AB18,AC18,AF18,$L$15,L18)</f>
        <v>467.16100404854973</v>
      </c>
      <c r="AH18">
        <f t="shared" si="6"/>
        <v>0</v>
      </c>
      <c r="AI18">
        <f>IF(G18&lt;=0,1,0)</f>
        <v>0</v>
      </c>
      <c r="AJ18">
        <f>IF(G18&lt;0,1,0)</f>
        <v>0</v>
      </c>
      <c r="AK18">
        <f>MAX(($B$3-G18)/(G18 + 1),0) / $B$3</f>
        <v>1.403851066266174E-2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5.3749999999999999E-2</v>
      </c>
      <c r="AP18">
        <f>Logistic(I18/$B$5)</f>
        <v>2.9366553777884566E-2</v>
      </c>
      <c r="AQ18">
        <f>IF(I18&gt;$B$5,1,0)</f>
        <v>0</v>
      </c>
      <c r="AR18">
        <f>Logistic(ABS(F18-O18)/($B$6/2))</f>
        <v>0.14643954535966966</v>
      </c>
      <c r="AS18">
        <f>IF(OR(F18&lt;M18,F18&gt;N18),1,0)</f>
        <v>0</v>
      </c>
      <c r="AT18">
        <f>ABS(K18)/$B$4</f>
        <v>0</v>
      </c>
      <c r="AU18">
        <f t="shared" ca="1" si="40"/>
        <v>9.7774273475550767E-3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0.13329571331811196</v>
      </c>
      <c r="AZ18">
        <f ca="1">MAX(1-(IF(Z18/(G18-AA18)&gt;0,Z18/(G18-AA18),Collision_Time_Buffer)/Collision_Time_Buffer),0)*IF($L$15&lt;&gt;L18,Lane_Change_Multiplier,1)</f>
        <v>0</v>
      </c>
      <c r="BA18">
        <f t="shared" ca="1" si="41"/>
        <v>0</v>
      </c>
      <c r="BB18">
        <f t="shared" ca="1" si="42"/>
        <v>0</v>
      </c>
      <c r="BC18">
        <f t="shared" si="43"/>
        <v>0</v>
      </c>
      <c r="BE18">
        <f t="shared" si="7"/>
        <v>0</v>
      </c>
      <c r="BF18">
        <f t="shared" si="44"/>
        <v>0</v>
      </c>
      <c r="BG18">
        <f t="shared" si="45"/>
        <v>0</v>
      </c>
      <c r="BH18">
        <f t="shared" si="8"/>
        <v>0.14785677733765429</v>
      </c>
      <c r="BI18">
        <f t="shared" si="9"/>
        <v>0</v>
      </c>
      <c r="BJ18">
        <f t="shared" si="10"/>
        <v>0</v>
      </c>
      <c r="BK18">
        <f t="shared" si="11"/>
        <v>2.2615028748792137E-8</v>
      </c>
      <c r="BL18">
        <f t="shared" si="46"/>
        <v>0</v>
      </c>
      <c r="BM18">
        <f t="shared" si="12"/>
        <v>1.1016610157680324E-7</v>
      </c>
      <c r="BN18">
        <f t="shared" si="13"/>
        <v>0</v>
      </c>
      <c r="BO18">
        <f t="shared" si="14"/>
        <v>0</v>
      </c>
      <c r="BP18">
        <f t="shared" si="15"/>
        <v>2.6868531572538715E-2</v>
      </c>
      <c r="BQ18">
        <f t="shared" si="16"/>
        <v>0.15688217635227997</v>
      </c>
    </row>
    <row r="19" spans="1:69" x14ac:dyDescent="0.25">
      <c r="A19" s="1" t="s">
        <v>13</v>
      </c>
      <c r="B19">
        <f t="shared" ca="1" si="2"/>
        <v>15.579562788398395</v>
      </c>
      <c r="C19" t="s">
        <v>419</v>
      </c>
      <c r="D19">
        <f t="shared" si="17"/>
        <v>50</v>
      </c>
      <c r="E19">
        <f t="shared" si="18"/>
        <v>5075.3</v>
      </c>
      <c r="F19">
        <f t="shared" si="19"/>
        <v>5.41</v>
      </c>
      <c r="G19">
        <f t="shared" si="20"/>
        <v>16.2</v>
      </c>
      <c r="H19">
        <f t="shared" si="21"/>
        <v>0.92</v>
      </c>
      <c r="I19">
        <f t="shared" si="22"/>
        <v>0.95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>
        <f t="shared" si="5"/>
        <v>54</v>
      </c>
      <c r="Q19">
        <f t="shared" ca="1" si="25"/>
        <v>27.139267000000473</v>
      </c>
      <c r="R19">
        <f t="shared" ca="1" si="26"/>
        <v>13.469815000000001</v>
      </c>
      <c r="S19">
        <f t="shared" si="27"/>
        <v>46</v>
      </c>
      <c r="T19">
        <f t="shared" ca="1" si="28"/>
        <v>-21.068162999999913</v>
      </c>
      <c r="U19">
        <f t="shared" ca="1" si="29"/>
        <v>14.883107000000001</v>
      </c>
      <c r="V19">
        <f t="shared" si="30"/>
        <v>54</v>
      </c>
      <c r="W19">
        <f t="shared" ca="1" si="31"/>
        <v>22.949266999999963</v>
      </c>
      <c r="X19">
        <f t="shared" ca="1" si="32"/>
        <v>13.469815000000001</v>
      </c>
      <c r="Y19">
        <f>GetFollowingCarRow($B$45:$E$54,L19,$E$15,E19)</f>
        <v>46</v>
      </c>
      <c r="Z19">
        <f t="shared" ca="1" si="33"/>
        <v>-25.258163000000422</v>
      </c>
      <c r="AA19">
        <f t="shared" ca="1" si="34"/>
        <v>14.883107000000001</v>
      </c>
      <c r="AB19">
        <f t="shared" si="35"/>
        <v>0.38999999999999968</v>
      </c>
      <c r="AC19">
        <f t="shared" si="36"/>
        <v>4.1900000000005093</v>
      </c>
      <c r="AD19">
        <f t="shared" si="37"/>
        <v>477.8126252982716</v>
      </c>
      <c r="AE19">
        <f t="shared" si="38"/>
        <v>-2002.0349000000012</v>
      </c>
      <c r="AF19">
        <f t="shared" si="39"/>
        <v>4.208111215260864</v>
      </c>
      <c r="AG19">
        <f>GetSmallestNormalDistance($B$45:$E$54,AB19,AC19,AF19,$L$15,L19)</f>
        <v>464.98228912391153</v>
      </c>
      <c r="AH19">
        <f t="shared" si="6"/>
        <v>0</v>
      </c>
      <c r="AI19">
        <f>IF(G19&lt;=0,1,0)</f>
        <v>0</v>
      </c>
      <c r="AJ19">
        <f>IF(G19&lt;0,1,0)</f>
        <v>0</v>
      </c>
      <c r="AK19">
        <f>MAX(($B$3-G19)/(G19 + 1),0) / $B$3</f>
        <v>1.3754027573811455E-2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0.115</v>
      </c>
      <c r="AP19">
        <f>Logistic(I19/$B$5)</f>
        <v>5.930532489501579E-2</v>
      </c>
      <c r="AQ19">
        <f>IF(I19&gt;$B$5,1,0)</f>
        <v>0</v>
      </c>
      <c r="AR19">
        <f>Logistic(ABS(F19-O19)/($B$6/2))</f>
        <v>0.14643954535966966</v>
      </c>
      <c r="AS19">
        <f>IF(OR(F19&lt;M19,F19&gt;N19),1,0)</f>
        <v>0</v>
      </c>
      <c r="AT19">
        <f>ABS(K19)/$B$4</f>
        <v>0</v>
      </c>
      <c r="AU19">
        <f t="shared" ca="1" si="40"/>
        <v>9.8134290846285579E-3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5.9550177002479776E-3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0.15942447123546677</v>
      </c>
      <c r="AZ19">
        <f ca="1">MAX(1-(IF(Z19/(G19-AA19)&gt;0,Z19/(G19-AA19),Collision_Time_Buffer)/Collision_Time_Buffer),0)*IF($L$15&lt;&gt;L19,Lane_Change_Multiplier,1)</f>
        <v>0</v>
      </c>
      <c r="BA19">
        <f t="shared" ca="1" si="41"/>
        <v>0</v>
      </c>
      <c r="BB19">
        <f t="shared" ca="1" si="42"/>
        <v>0</v>
      </c>
      <c r="BC19">
        <f t="shared" si="43"/>
        <v>0</v>
      </c>
      <c r="BE19">
        <f t="shared" si="7"/>
        <v>0</v>
      </c>
      <c r="BF19">
        <f t="shared" si="44"/>
        <v>0</v>
      </c>
      <c r="BG19">
        <f t="shared" si="45"/>
        <v>0</v>
      </c>
      <c r="BH19">
        <f t="shared" si="8"/>
        <v>0.14490308892672948</v>
      </c>
      <c r="BI19">
        <f t="shared" si="9"/>
        <v>0</v>
      </c>
      <c r="BJ19">
        <f t="shared" si="10"/>
        <v>0</v>
      </c>
      <c r="BK19">
        <f t="shared" si="11"/>
        <v>4.5480028296520985E-4</v>
      </c>
      <c r="BL19">
        <f t="shared" si="46"/>
        <v>0</v>
      </c>
      <c r="BM19">
        <f t="shared" si="12"/>
        <v>5.9851879402537586E-4</v>
      </c>
      <c r="BN19">
        <f t="shared" si="13"/>
        <v>0</v>
      </c>
      <c r="BO19">
        <f t="shared" si="14"/>
        <v>0</v>
      </c>
      <c r="BP19">
        <f t="shared" si="15"/>
        <v>5.7436713902879279E-2</v>
      </c>
      <c r="BQ19">
        <f t="shared" si="16"/>
        <v>0.15371025288798795</v>
      </c>
    </row>
    <row r="20" spans="1:69" x14ac:dyDescent="0.25">
      <c r="A20" s="1" t="s">
        <v>12</v>
      </c>
      <c r="B20">
        <f t="shared" ca="1" si="2"/>
        <v>17.65022462702219</v>
      </c>
      <c r="C20" t="s">
        <v>418</v>
      </c>
      <c r="D20">
        <f t="shared" si="17"/>
        <v>50</v>
      </c>
      <c r="E20">
        <f t="shared" si="18"/>
        <v>5075.33</v>
      </c>
      <c r="F20">
        <f t="shared" si="19"/>
        <v>5.41</v>
      </c>
      <c r="G20">
        <f t="shared" si="20"/>
        <v>16.3</v>
      </c>
      <c r="H20">
        <f t="shared" si="21"/>
        <v>1.57</v>
      </c>
      <c r="I20">
        <f t="shared" si="22"/>
        <v>1.6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>
        <f t="shared" si="5"/>
        <v>54</v>
      </c>
      <c r="Q20">
        <f t="shared" ca="1" si="25"/>
        <v>27.139267000000473</v>
      </c>
      <c r="R20">
        <f t="shared" ca="1" si="26"/>
        <v>13.469815000000001</v>
      </c>
      <c r="S20">
        <f t="shared" si="27"/>
        <v>46</v>
      </c>
      <c r="T20">
        <f t="shared" ca="1" si="28"/>
        <v>-21.068162999999913</v>
      </c>
      <c r="U20">
        <f t="shared" ca="1" si="29"/>
        <v>14.883107000000001</v>
      </c>
      <c r="V20">
        <f t="shared" si="30"/>
        <v>54</v>
      </c>
      <c r="W20">
        <f t="shared" ca="1" si="31"/>
        <v>22.919267000000218</v>
      </c>
      <c r="X20">
        <f t="shared" ca="1" si="32"/>
        <v>13.469815000000001</v>
      </c>
      <c r="Y20">
        <f>GetFollowingCarRow($B$45:$E$54,L20,$E$15,E20)</f>
        <v>46</v>
      </c>
      <c r="Z20">
        <f t="shared" ca="1" si="33"/>
        <v>-25.288163000000168</v>
      </c>
      <c r="AA20">
        <f t="shared" ca="1" si="34"/>
        <v>14.883107000000001</v>
      </c>
      <c r="AB20">
        <f t="shared" si="35"/>
        <v>0.38999999999999968</v>
      </c>
      <c r="AC20">
        <f t="shared" si="36"/>
        <v>4.2200000000002547</v>
      </c>
      <c r="AD20">
        <f t="shared" si="37"/>
        <v>474.45708530802818</v>
      </c>
      <c r="AE20">
        <f t="shared" si="38"/>
        <v>-2002.2088999999999</v>
      </c>
      <c r="AF20">
        <f t="shared" si="39"/>
        <v>4.2379830108203773</v>
      </c>
      <c r="AG20">
        <f>GetSmallestNormalDistance($B$45:$E$54,AB20,AC20,AF20,$L$15,L20)</f>
        <v>461.75244054156531</v>
      </c>
      <c r="AH20">
        <f t="shared" si="6"/>
        <v>0</v>
      </c>
      <c r="AI20">
        <f>IF(G20&lt;=0,1,0)</f>
        <v>0</v>
      </c>
      <c r="AJ20">
        <f>IF(G20&lt;0,1,0)</f>
        <v>0</v>
      </c>
      <c r="AK20">
        <f>MAX(($B$3-G20)/(G20 + 1),0) / $B$3</f>
        <v>1.3402123637314557E-2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0.19625000000000001</v>
      </c>
      <c r="AP20">
        <f>Logistic(I20/$B$5)</f>
        <v>9.9667994624955847E-2</v>
      </c>
      <c r="AQ20">
        <f>IF(I20&gt;$B$5,1,0)</f>
        <v>0</v>
      </c>
      <c r="AR20">
        <f>Logistic(ABS(F20-O20)/($B$6/2))</f>
        <v>0.14643954535966966</v>
      </c>
      <c r="AS20">
        <f>IF(OR(F20&lt;M20,F20&gt;N20),1,0)</f>
        <v>0</v>
      </c>
      <c r="AT20">
        <f>ABS(K20)/$B$4</f>
        <v>0</v>
      </c>
      <c r="AU20">
        <f t="shared" ca="1" si="40"/>
        <v>9.8675445753970605E-3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4.1077986068031924E-2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0.19018484657362633</v>
      </c>
      <c r="AZ20">
        <f ca="1">MAX(1-(IF(Z20/(G20-AA20)&gt;0,Z20/(G20-AA20),Collision_Time_Buffer)/Collision_Time_Buffer),0)*IF($L$15&lt;&gt;L20,Lane_Change_Multiplier,1)</f>
        <v>0</v>
      </c>
      <c r="BA20">
        <f t="shared" ca="1" si="41"/>
        <v>0</v>
      </c>
      <c r="BB20">
        <f t="shared" ca="1" si="42"/>
        <v>0</v>
      </c>
      <c r="BC20">
        <f t="shared" si="43"/>
        <v>0</v>
      </c>
      <c r="BE20">
        <f t="shared" si="7"/>
        <v>0</v>
      </c>
      <c r="BF20">
        <f t="shared" si="44"/>
        <v>0</v>
      </c>
      <c r="BG20">
        <f t="shared" si="45"/>
        <v>0</v>
      </c>
      <c r="BH20">
        <f t="shared" si="8"/>
        <v>0.14124582264451122</v>
      </c>
      <c r="BI20">
        <f t="shared" si="9"/>
        <v>0</v>
      </c>
      <c r="BJ20">
        <f t="shared" si="10"/>
        <v>0</v>
      </c>
      <c r="BK20">
        <f t="shared" si="11"/>
        <v>1.664673128124048E-2</v>
      </c>
      <c r="BL20">
        <f t="shared" si="46"/>
        <v>0</v>
      </c>
      <c r="BM20">
        <f t="shared" si="12"/>
        <v>1.8315638888734179E-2</v>
      </c>
      <c r="BN20">
        <f t="shared" si="13"/>
        <v>0</v>
      </c>
      <c r="BO20">
        <f t="shared" si="14"/>
        <v>0</v>
      </c>
      <c r="BP20">
        <f t="shared" si="15"/>
        <v>9.7811275526454411E-2</v>
      </c>
      <c r="BQ20">
        <f t="shared" si="16"/>
        <v>0.14978475664370033</v>
      </c>
    </row>
    <row r="21" spans="1:69" x14ac:dyDescent="0.25">
      <c r="A21" s="1" t="s">
        <v>33</v>
      </c>
      <c r="B21">
        <f t="shared" ca="1" si="2"/>
        <v>11.943391359810906</v>
      </c>
      <c r="C21" t="s">
        <v>417</v>
      </c>
      <c r="D21">
        <f t="shared" si="17"/>
        <v>50</v>
      </c>
      <c r="E21">
        <f t="shared" si="18"/>
        <v>5075.26</v>
      </c>
      <c r="F21">
        <f t="shared" si="19"/>
        <v>5.41</v>
      </c>
      <c r="G21">
        <f t="shared" si="20"/>
        <v>16.04</v>
      </c>
      <c r="H21">
        <f t="shared" si="21"/>
        <v>-0.05</v>
      </c>
      <c r="I21">
        <f t="shared" si="22"/>
        <v>0.02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>
        <f t="shared" si="5"/>
        <v>54</v>
      </c>
      <c r="Q21">
        <f t="shared" ca="1" si="25"/>
        <v>27.139267000000473</v>
      </c>
      <c r="R21">
        <f t="shared" ca="1" si="26"/>
        <v>13.469815000000001</v>
      </c>
      <c r="S21">
        <f t="shared" si="27"/>
        <v>46</v>
      </c>
      <c r="T21">
        <f t="shared" ca="1" si="28"/>
        <v>-21.068162999999913</v>
      </c>
      <c r="U21">
        <f t="shared" ca="1" si="29"/>
        <v>14.883107000000001</v>
      </c>
      <c r="V21">
        <f t="shared" si="30"/>
        <v>54</v>
      </c>
      <c r="W21">
        <f t="shared" ca="1" si="31"/>
        <v>22.989266999999927</v>
      </c>
      <c r="X21">
        <f t="shared" ca="1" si="32"/>
        <v>13.469815000000001</v>
      </c>
      <c r="Y21">
        <f>GetFollowingCarRow($B$45:$E$54,L21,$E$15,E21)</f>
        <v>46</v>
      </c>
      <c r="Z21">
        <f t="shared" ca="1" si="33"/>
        <v>-25.218163000000459</v>
      </c>
      <c r="AA21">
        <f t="shared" ca="1" si="34"/>
        <v>14.883107000000001</v>
      </c>
      <c r="AB21">
        <f t="shared" si="35"/>
        <v>0.38999999999999968</v>
      </c>
      <c r="AC21">
        <f t="shared" si="36"/>
        <v>4.1500000000005457</v>
      </c>
      <c r="AD21">
        <f t="shared" si="37"/>
        <v>482.3621445782502</v>
      </c>
      <c r="AE21">
        <f t="shared" si="38"/>
        <v>-2001.8029000000015</v>
      </c>
      <c r="AF21">
        <f t="shared" si="39"/>
        <v>4.168285019046146</v>
      </c>
      <c r="AG21">
        <f>GetSmallestNormalDistance($B$45:$E$54,AB21,AC21,AF21,$L$15,L21)</f>
        <v>469.36044285371429</v>
      </c>
      <c r="AH21">
        <f t="shared" si="6"/>
        <v>0</v>
      </c>
      <c r="AI21">
        <f>IF(G21&lt;=0,1,0)</f>
        <v>0</v>
      </c>
      <c r="AJ21">
        <f>IF(G21&lt;0,1,0)</f>
        <v>0</v>
      </c>
      <c r="AK21">
        <f>MAX(($B$3-G21)/(G21 + 1),0) / $B$3</f>
        <v>1.4325664954224247E-2</v>
      </c>
      <c r="AL21">
        <f>IF(H21+ABS(K21)&lt;0,Logistic(SQRT(H21^2+K21^2)/$B$4),0)</f>
        <v>3.1249898275137089E-3</v>
      </c>
      <c r="AM21">
        <f>IF(G21&gt;$B$3,1,0)</f>
        <v>0</v>
      </c>
      <c r="AN21">
        <f>IF(H21&gt;$B$4,1,0)</f>
        <v>0</v>
      </c>
      <c r="AO21">
        <f>ABS(H21)/$B$4</f>
        <v>6.2500000000000003E-3</v>
      </c>
      <c r="AP21">
        <f>Logistic(I21/$B$5)</f>
        <v>1.2499993489587598E-3</v>
      </c>
      <c r="AQ21">
        <f>IF(I21&gt;$B$5,1,0)</f>
        <v>0</v>
      </c>
      <c r="AR21">
        <f>Logistic(ABS(F21-O21)/($B$6/2))</f>
        <v>0.14643954535966966</v>
      </c>
      <c r="AS21">
        <f>IF(OR(F21&lt;M21,F21&gt;N21),1,0)</f>
        <v>0</v>
      </c>
      <c r="AT21">
        <f>ABS(K21)/$B$4</f>
        <v>0</v>
      </c>
      <c r="AU21">
        <f t="shared" ca="1" si="40"/>
        <v>9.7414856402241526E-3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0.10554037938903471</v>
      </c>
      <c r="AZ21">
        <f ca="1">MAX(1-(IF(Z21/(G21-AA21)&gt;0,Z21/(G21-AA21),Collision_Time_Buffer)/Collision_Time_Buffer),0)*IF($L$15&lt;&gt;L21,Lane_Change_Multiplier,1)</f>
        <v>0</v>
      </c>
      <c r="BA21">
        <f t="shared" ca="1" si="41"/>
        <v>0</v>
      </c>
      <c r="BB21">
        <f t="shared" ca="1" si="42"/>
        <v>0</v>
      </c>
      <c r="BC21">
        <f t="shared" si="43"/>
        <v>0</v>
      </c>
      <c r="BE21">
        <f t="shared" si="7"/>
        <v>0</v>
      </c>
      <c r="BF21">
        <f t="shared" si="44"/>
        <v>0</v>
      </c>
      <c r="BG21">
        <f t="shared" si="45"/>
        <v>0</v>
      </c>
      <c r="BH21">
        <f t="shared" si="8"/>
        <v>0.15083552732670083</v>
      </c>
      <c r="BI21">
        <f t="shared" si="9"/>
        <v>0</v>
      </c>
      <c r="BJ21">
        <f t="shared" si="10"/>
        <v>0</v>
      </c>
      <c r="BK21">
        <f t="shared" si="11"/>
        <v>8.8547718835134325E-70</v>
      </c>
      <c r="BL21">
        <f t="shared" si="46"/>
        <v>0</v>
      </c>
      <c r="BM21">
        <f t="shared" si="12"/>
        <v>5.2059707131649192E-174</v>
      </c>
      <c r="BN21">
        <f t="shared" si="13"/>
        <v>0</v>
      </c>
      <c r="BO21">
        <f t="shared" si="14"/>
        <v>0</v>
      </c>
      <c r="BP21">
        <f t="shared" si="15"/>
        <v>3.1249898275137089E-3</v>
      </c>
      <c r="BQ21">
        <f t="shared" si="16"/>
        <v>0.16008245803310461</v>
      </c>
    </row>
    <row r="22" spans="1:69" x14ac:dyDescent="0.25">
      <c r="A22" s="1" t="s">
        <v>11</v>
      </c>
      <c r="B22">
        <f t="shared" ca="1" si="2"/>
        <v>12.177046388929043</v>
      </c>
      <c r="C22" t="s">
        <v>416</v>
      </c>
      <c r="D22">
        <f t="shared" si="17"/>
        <v>50</v>
      </c>
      <c r="E22">
        <f t="shared" si="18"/>
        <v>5075.26</v>
      </c>
      <c r="F22">
        <f t="shared" si="19"/>
        <v>5.41</v>
      </c>
      <c r="G22">
        <f t="shared" si="20"/>
        <v>16.05</v>
      </c>
      <c r="H22">
        <f t="shared" si="21"/>
        <v>0</v>
      </c>
      <c r="I22">
        <f t="shared" si="22"/>
        <v>0.03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>
        <f t="shared" si="5"/>
        <v>54</v>
      </c>
      <c r="Q22">
        <f t="shared" ca="1" si="25"/>
        <v>27.139267000000473</v>
      </c>
      <c r="R22">
        <f t="shared" ca="1" si="26"/>
        <v>13.469815000000001</v>
      </c>
      <c r="S22">
        <f t="shared" si="27"/>
        <v>46</v>
      </c>
      <c r="T22">
        <f t="shared" ca="1" si="28"/>
        <v>-21.068162999999913</v>
      </c>
      <c r="U22">
        <f t="shared" ca="1" si="29"/>
        <v>14.883107000000001</v>
      </c>
      <c r="V22">
        <f t="shared" si="30"/>
        <v>54</v>
      </c>
      <c r="W22">
        <f t="shared" ca="1" si="31"/>
        <v>22.989266999999927</v>
      </c>
      <c r="X22">
        <f t="shared" ca="1" si="32"/>
        <v>13.469815000000001</v>
      </c>
      <c r="Y22">
        <f>GetFollowingCarRow($B$45:$E$54,L22,$E$15,E22)</f>
        <v>46</v>
      </c>
      <c r="Z22">
        <f t="shared" ca="1" si="33"/>
        <v>-25.218163000000459</v>
      </c>
      <c r="AA22">
        <f t="shared" ca="1" si="34"/>
        <v>14.883107000000001</v>
      </c>
      <c r="AB22">
        <f t="shared" si="35"/>
        <v>0.38999999999999968</v>
      </c>
      <c r="AC22">
        <f t="shared" si="36"/>
        <v>4.1500000000005457</v>
      </c>
      <c r="AD22">
        <f t="shared" si="37"/>
        <v>482.3621445782502</v>
      </c>
      <c r="AE22">
        <f t="shared" si="38"/>
        <v>-2001.8029000000015</v>
      </c>
      <c r="AF22">
        <f t="shared" si="39"/>
        <v>4.168285019046146</v>
      </c>
      <c r="AG22">
        <f>GetSmallestNormalDistance($B$45:$E$54,AB22,AC22,AF22,$L$15,L22)</f>
        <v>469.36044285371429</v>
      </c>
      <c r="AH22">
        <f t="shared" si="6"/>
        <v>0</v>
      </c>
      <c r="AI22">
        <f>IF(G22&lt;=0,1,0)</f>
        <v>0</v>
      </c>
      <c r="AJ22">
        <f>IF(G22&lt;0,1,0)</f>
        <v>0</v>
      </c>
      <c r="AK22">
        <f>MAX(($B$3-G22)/(G22 + 1),0) / $B$3</f>
        <v>1.4289623301207012E-2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1.8749978027374863E-3</v>
      </c>
      <c r="AQ22">
        <f>IF(I22&gt;$B$5,1,0)</f>
        <v>0</v>
      </c>
      <c r="AR22">
        <f>Logistic(ABS(F22-O22)/($B$6/2))</f>
        <v>0.14643954535966966</v>
      </c>
      <c r="AS22">
        <f>IF(OR(F22&lt;M22,F22&gt;N22),1,0)</f>
        <v>0</v>
      </c>
      <c r="AT22">
        <f>ABS(K22)/$B$4</f>
        <v>0</v>
      </c>
      <c r="AU22">
        <f t="shared" ca="1" si="40"/>
        <v>9.7414856402241526E-3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0.10900702856578393</v>
      </c>
      <c r="AZ22">
        <f ca="1">MAX(1-(IF(Z22/(G22-AA22)&gt;0,Z22/(G22-AA22),Collision_Time_Buffer)/Collision_Time_Buffer),0)*IF($L$15&lt;&gt;L22,Lane_Change_Multiplier,1)</f>
        <v>0</v>
      </c>
      <c r="BA22">
        <f t="shared" ca="1" si="41"/>
        <v>0</v>
      </c>
      <c r="BB22">
        <f t="shared" ca="1" si="42"/>
        <v>0</v>
      </c>
      <c r="BC22">
        <f t="shared" si="43"/>
        <v>0</v>
      </c>
      <c r="BE22">
        <f t="shared" si="7"/>
        <v>0</v>
      </c>
      <c r="BF22">
        <f t="shared" si="44"/>
        <v>0</v>
      </c>
      <c r="BG22">
        <f t="shared" si="45"/>
        <v>0</v>
      </c>
      <c r="BH22">
        <f t="shared" si="8"/>
        <v>0.15046180401287379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6"/>
        <v>0</v>
      </c>
      <c r="BM22">
        <f t="shared" si="12"/>
        <v>4.1921097212671696E-116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0.15968086134402984</v>
      </c>
    </row>
    <row r="23" spans="1:69" x14ac:dyDescent="0.25">
      <c r="A23" s="1" t="s">
        <v>34</v>
      </c>
      <c r="B23">
        <f t="shared" ca="1" si="2"/>
        <v>29.466776532098745</v>
      </c>
      <c r="C23" t="s">
        <v>415</v>
      </c>
      <c r="D23">
        <f t="shared" si="17"/>
        <v>136</v>
      </c>
      <c r="E23">
        <f t="shared" si="18"/>
        <v>5102.33</v>
      </c>
      <c r="F23">
        <f t="shared" si="19"/>
        <v>7.12</v>
      </c>
      <c r="G23">
        <f t="shared" si="20"/>
        <v>15.2</v>
      </c>
      <c r="H23">
        <f t="shared" si="21"/>
        <v>-0.21</v>
      </c>
      <c r="I23">
        <f t="shared" si="22"/>
        <v>0.18</v>
      </c>
      <c r="J23">
        <f t="shared" si="23"/>
        <v>-0.7</v>
      </c>
      <c r="K23">
        <f t="shared" si="24"/>
        <v>0.73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47</v>
      </c>
      <c r="Q23">
        <f t="shared" ca="1" si="25"/>
        <v>99.981617000000369</v>
      </c>
      <c r="R23">
        <f t="shared" ca="1" si="26"/>
        <v>20.791135000000001</v>
      </c>
      <c r="S23">
        <f t="shared" si="27"/>
        <v>50</v>
      </c>
      <c r="T23">
        <f t="shared" ca="1" si="28"/>
        <v>-64.641976999999315</v>
      </c>
      <c r="U23">
        <f t="shared" ca="1" si="29"/>
        <v>19.415310000000002</v>
      </c>
      <c r="V23">
        <f t="shared" si="30"/>
        <v>47</v>
      </c>
      <c r="W23">
        <f t="shared" ca="1" si="31"/>
        <v>68.761617000000115</v>
      </c>
      <c r="X23">
        <f t="shared" ca="1" si="32"/>
        <v>20.791135000000001</v>
      </c>
      <c r="Y23">
        <f>GetFollowingCarRow($B$45:$E$54,L23,$E$15,E23)</f>
        <v>50</v>
      </c>
      <c r="Z23">
        <f t="shared" ca="1" si="33"/>
        <v>-95.86197699999957</v>
      </c>
      <c r="AA23">
        <f t="shared" ca="1" si="34"/>
        <v>19.415310000000002</v>
      </c>
      <c r="AB23">
        <f t="shared" si="35"/>
        <v>-1.3200000000000003</v>
      </c>
      <c r="AC23">
        <f t="shared" si="36"/>
        <v>31.220000000000255</v>
      </c>
      <c r="AD23">
        <f t="shared" si="37"/>
        <v>-208.60951953875548</v>
      </c>
      <c r="AE23">
        <f t="shared" si="38"/>
        <v>6512.7891999999993</v>
      </c>
      <c r="AF23">
        <f t="shared" si="39"/>
        <v>31.247892728950795</v>
      </c>
      <c r="AG23">
        <f>GetSmallestNormalDistance($B$45:$E$54,AB23,AC23,AF23,$L$15,L23)</f>
        <v>200.25777824187091</v>
      </c>
      <c r="AH23">
        <f t="shared" si="6"/>
        <v>0.69625767268668148</v>
      </c>
      <c r="AI23">
        <f>IF(G23&lt;=0,1,0)</f>
        <v>0</v>
      </c>
      <c r="AJ23">
        <f>IF(G23&lt;0,1,0)</f>
        <v>0</v>
      </c>
      <c r="AK23">
        <f>MAX(($B$3-G23)/(G23 + 1),0) / $B$3</f>
        <v>1.7512014056154802E-2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2.6249999999999999E-2</v>
      </c>
      <c r="AP23">
        <f>Logistic(I23/$B$5)</f>
        <v>1.1249525414650879E-2</v>
      </c>
      <c r="AQ23">
        <f>IF(I23&gt;$B$5,1,0)</f>
        <v>0</v>
      </c>
      <c r="AR23">
        <f>Logistic(ABS(F23-O23)/($B$6/2))</f>
        <v>0.61690930287706502</v>
      </c>
      <c r="AS23">
        <f>IF(OR(F23&lt;M23,F23&gt;N23),1,0)</f>
        <v>1</v>
      </c>
      <c r="AT23">
        <f>ABS(K23)/$B$4</f>
        <v>9.1249999999999998E-2</v>
      </c>
      <c r="AU23">
        <f t="shared" ca="1" si="40"/>
        <v>0</v>
      </c>
      <c r="AV23">
        <f ca="1">IF(AND(L23&lt;&gt;$L$15,$Q$15&gt;Safety_Distance),1,0)</f>
        <v>0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1"/>
        <v>0</v>
      </c>
      <c r="BB23">
        <f t="shared" ca="1" si="42"/>
        <v>0</v>
      </c>
      <c r="BC23">
        <f t="shared" si="43"/>
        <v>0</v>
      </c>
      <c r="BE23">
        <f t="shared" si="7"/>
        <v>0.69625767268668148</v>
      </c>
      <c r="BF23">
        <f t="shared" si="44"/>
        <v>0</v>
      </c>
      <c r="BG23">
        <f t="shared" si="45"/>
        <v>0</v>
      </c>
      <c r="BH23">
        <f t="shared" si="8"/>
        <v>0.18369346220364272</v>
      </c>
      <c r="BI23">
        <f t="shared" si="9"/>
        <v>0</v>
      </c>
      <c r="BJ23">
        <f t="shared" si="10"/>
        <v>0</v>
      </c>
      <c r="BK23">
        <f t="shared" si="11"/>
        <v>7.7578752263190598E-17</v>
      </c>
      <c r="BL23">
        <f t="shared" si="46"/>
        <v>0</v>
      </c>
      <c r="BM23">
        <f t="shared" si="12"/>
        <v>1.3561805402628943E-19</v>
      </c>
      <c r="BN23">
        <f t="shared" si="13"/>
        <v>0.21999999999999997</v>
      </c>
      <c r="BO23">
        <f t="shared" si="14"/>
        <v>9.1249999999999998E-2</v>
      </c>
      <c r="BP23">
        <f t="shared" si="15"/>
        <v>1.312424638981906E-2</v>
      </c>
      <c r="BQ23">
        <f t="shared" si="16"/>
        <v>0.19547778813162514</v>
      </c>
    </row>
    <row r="24" spans="1:69" x14ac:dyDescent="0.25">
      <c r="A24" s="1" t="s">
        <v>35</v>
      </c>
      <c r="B24">
        <f t="shared" ca="1" si="2"/>
        <v>38.569650196943243</v>
      </c>
      <c r="C24" t="s">
        <v>414</v>
      </c>
      <c r="D24">
        <f t="shared" si="17"/>
        <v>136</v>
      </c>
      <c r="E24">
        <f t="shared" si="18"/>
        <v>5097.6899999999996</v>
      </c>
      <c r="F24">
        <f t="shared" si="19"/>
        <v>7.72</v>
      </c>
      <c r="G24">
        <f t="shared" si="20"/>
        <v>10.59</v>
      </c>
      <c r="H24">
        <f t="shared" si="21"/>
        <v>-1.37</v>
      </c>
      <c r="I24">
        <f t="shared" si="22"/>
        <v>1.34</v>
      </c>
      <c r="J24">
        <f t="shared" si="23"/>
        <v>-0.84</v>
      </c>
      <c r="K24">
        <f t="shared" si="24"/>
        <v>1.3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47</v>
      </c>
      <c r="Q24">
        <f t="shared" ca="1" si="25"/>
        <v>99.981617000000369</v>
      </c>
      <c r="R24">
        <f t="shared" ca="1" si="26"/>
        <v>20.791135000000001</v>
      </c>
      <c r="S24">
        <f t="shared" si="27"/>
        <v>50</v>
      </c>
      <c r="T24">
        <f t="shared" ca="1" si="28"/>
        <v>-64.641976999999315</v>
      </c>
      <c r="U24">
        <f t="shared" ca="1" si="29"/>
        <v>19.415310000000002</v>
      </c>
      <c r="V24">
        <f t="shared" si="30"/>
        <v>47</v>
      </c>
      <c r="W24">
        <f t="shared" ca="1" si="31"/>
        <v>73.401617000000442</v>
      </c>
      <c r="X24">
        <f t="shared" ca="1" si="32"/>
        <v>20.791135000000001</v>
      </c>
      <c r="Y24">
        <f>GetFollowingCarRow($B$45:$E$54,L24,$E$15,E24)</f>
        <v>50</v>
      </c>
      <c r="Z24">
        <f t="shared" ca="1" si="33"/>
        <v>-91.221976999999242</v>
      </c>
      <c r="AA24">
        <f t="shared" ca="1" si="34"/>
        <v>19.415310000000002</v>
      </c>
      <c r="AB24">
        <f t="shared" si="35"/>
        <v>-1.92</v>
      </c>
      <c r="AC24">
        <f t="shared" si="36"/>
        <v>26.579999999999927</v>
      </c>
      <c r="AD24">
        <f t="shared" si="37"/>
        <v>-360.51042889390612</v>
      </c>
      <c r="AE24">
        <f t="shared" si="38"/>
        <v>9582.3671999999988</v>
      </c>
      <c r="AF24">
        <f t="shared" si="39"/>
        <v>26.649255149065539</v>
      </c>
      <c r="AG24">
        <f>GetSmallestNormalDistance($B$45:$E$54,AB24,AC24,AF24,$L$15,L24)</f>
        <v>348.77793774907514</v>
      </c>
      <c r="AH24">
        <f t="shared" si="6"/>
        <v>0.69625767268668148</v>
      </c>
      <c r="AI24">
        <f>IF(G24&lt;=0,1,0)</f>
        <v>0</v>
      </c>
      <c r="AJ24">
        <f>IF(G24&lt;0,1,0)</f>
        <v>0</v>
      </c>
      <c r="AK24">
        <f>MAX(($B$3-G24)/(G24 + 1),0) / $B$3</f>
        <v>4.3221959194892405E-2</v>
      </c>
      <c r="AL24">
        <f>IF(H24+ABS(K24)&lt;0,Logistic(SQRT(H24^2+K24^2)/$B$4),0)</f>
        <v>0.11749380769540342</v>
      </c>
      <c r="AM24">
        <f>IF(G24&gt;$B$3,1,0)</f>
        <v>0</v>
      </c>
      <c r="AN24">
        <f>IF(H24&gt;$B$4,1,0)</f>
        <v>0</v>
      </c>
      <c r="AO24">
        <f>ABS(H24)/$B$4</f>
        <v>0.17125000000000001</v>
      </c>
      <c r="AP24">
        <f>Logistic(I24/$B$5)</f>
        <v>8.3554738567273537E-2</v>
      </c>
      <c r="AQ24">
        <f>IF(I24&gt;$B$5,1,0)</f>
        <v>0</v>
      </c>
      <c r="AR24">
        <f>Logistic(ABS(F24-O24)/($B$6/2))</f>
        <v>0.51535927800740977</v>
      </c>
      <c r="AS24">
        <f>IF(OR(F24&lt;M24,F24&gt;N24),1,0)</f>
        <v>1</v>
      </c>
      <c r="AT24">
        <f>ABS(K24)/$B$4</f>
        <v>0.16250000000000001</v>
      </c>
      <c r="AU24">
        <f t="shared" ca="1" si="40"/>
        <v>0</v>
      </c>
      <c r="AV24">
        <f ca="1">IF(AND(L24&lt;&gt;$L$15,$Q$15&gt;Safety_Distance),1,0)</f>
        <v>0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0.26753873801600958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1"/>
        <v>0</v>
      </c>
      <c r="BB24">
        <f t="shared" ca="1" si="42"/>
        <v>0</v>
      </c>
      <c r="BC24">
        <f t="shared" si="43"/>
        <v>0</v>
      </c>
      <c r="BE24">
        <f t="shared" si="7"/>
        <v>0.69625767268668148</v>
      </c>
      <c r="BF24">
        <f t="shared" si="44"/>
        <v>0</v>
      </c>
      <c r="BG24">
        <f t="shared" si="45"/>
        <v>0</v>
      </c>
      <c r="BH24">
        <f t="shared" si="8"/>
        <v>0.42893023533014241</v>
      </c>
      <c r="BI24">
        <f t="shared" si="9"/>
        <v>0</v>
      </c>
      <c r="BJ24">
        <f t="shared" si="10"/>
        <v>0</v>
      </c>
      <c r="BK24">
        <f t="shared" si="11"/>
        <v>7.9116726578007095E-3</v>
      </c>
      <c r="BL24">
        <f t="shared" si="46"/>
        <v>0</v>
      </c>
      <c r="BM24">
        <f t="shared" si="12"/>
        <v>6.9421118213259447E-3</v>
      </c>
      <c r="BN24">
        <f t="shared" si="13"/>
        <v>7.0000000000000062E-2</v>
      </c>
      <c r="BO24">
        <f t="shared" si="14"/>
        <v>0.16250000000000001</v>
      </c>
      <c r="BP24">
        <f t="shared" si="15"/>
        <v>8.5416354620980725E-2</v>
      </c>
      <c r="BQ24">
        <f t="shared" si="16"/>
        <v>0.46360112521415364</v>
      </c>
    </row>
    <row r="25" spans="1:69" x14ac:dyDescent="0.25">
      <c r="A25" s="1" t="s">
        <v>36</v>
      </c>
      <c r="B25">
        <f t="shared" ca="1" si="2"/>
        <v>184.30482313602511</v>
      </c>
      <c r="C25" t="s">
        <v>413</v>
      </c>
      <c r="D25">
        <f t="shared" si="17"/>
        <v>136</v>
      </c>
      <c r="E25">
        <f t="shared" si="18"/>
        <v>5070.1499999999996</v>
      </c>
      <c r="F25">
        <f t="shared" si="19"/>
        <v>5.45</v>
      </c>
      <c r="G25">
        <f t="shared" si="20"/>
        <v>-16.82</v>
      </c>
      <c r="H25">
        <f t="shared" si="21"/>
        <v>-8.26</v>
      </c>
      <c r="I25">
        <f t="shared" si="22"/>
        <v>8.23</v>
      </c>
      <c r="J25">
        <f t="shared" si="23"/>
        <v>-0.03</v>
      </c>
      <c r="K25">
        <f t="shared" si="24"/>
        <v>2.93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47</v>
      </c>
      <c r="Q25">
        <f t="shared" ca="1" si="25"/>
        <v>99.981617000000369</v>
      </c>
      <c r="R25">
        <f t="shared" ca="1" si="26"/>
        <v>20.791135000000001</v>
      </c>
      <c r="S25">
        <f t="shared" si="27"/>
        <v>50</v>
      </c>
      <c r="T25">
        <f t="shared" ca="1" si="28"/>
        <v>-64.641976999999315</v>
      </c>
      <c r="U25">
        <f t="shared" ca="1" si="29"/>
        <v>19.415310000000002</v>
      </c>
      <c r="V25">
        <f t="shared" si="30"/>
        <v>47</v>
      </c>
      <c r="W25">
        <f t="shared" ca="1" si="31"/>
        <v>100.94161700000041</v>
      </c>
      <c r="X25">
        <f t="shared" ca="1" si="32"/>
        <v>20.791135000000001</v>
      </c>
      <c r="Y25">
        <f>GetFollowingCarRow($B$45:$E$54,L25,$E$15,E25)</f>
        <v>50</v>
      </c>
      <c r="Z25">
        <f t="shared" ca="1" si="33"/>
        <v>-63.681976999999279</v>
      </c>
      <c r="AA25">
        <f t="shared" ca="1" si="34"/>
        <v>19.415310000000002</v>
      </c>
      <c r="AB25">
        <f t="shared" si="35"/>
        <v>0.34999999999999964</v>
      </c>
      <c r="AC25">
        <f t="shared" si="36"/>
        <v>-0.96000000000003638</v>
      </c>
      <c r="AD25">
        <f t="shared" si="37"/>
        <v>-1843.0421874999281</v>
      </c>
      <c r="AE25">
        <f t="shared" si="38"/>
        <v>-1769.320499999998</v>
      </c>
      <c r="AF25">
        <f t="shared" si="39"/>
        <v>1.0218121158021516</v>
      </c>
      <c r="AG25">
        <f>GetSmallestNormalDistance($B$45:$E$54,AB25,AC25,AF25,$L$15,L25)</f>
        <v>1687.4498905568441</v>
      </c>
      <c r="AH25">
        <f t="shared" si="6"/>
        <v>0.69625767268668148</v>
      </c>
      <c r="AI25">
        <f>IF(G25&lt;=0,1,0)</f>
        <v>1</v>
      </c>
      <c r="AJ25">
        <f>IF(G25&lt;0,1,0)</f>
        <v>1</v>
      </c>
      <c r="AK25">
        <f>MAX(($B$3-G25)/(G25 + 1),0) / $B$3</f>
        <v>0</v>
      </c>
      <c r="AL25">
        <f>IF(H25+ABS(K25)&lt;0,Logistic(SQRT(H25^2+K25^2)/$B$4),0)</f>
        <v>0.49884485086621022</v>
      </c>
      <c r="AM25">
        <f>IF(G25&gt;$B$3,1,0)</f>
        <v>0</v>
      </c>
      <c r="AN25">
        <f>IF(H25&gt;$B$4,1,0)</f>
        <v>0</v>
      </c>
      <c r="AO25">
        <f>ABS(H25)/$B$4</f>
        <v>1.0325</v>
      </c>
      <c r="AP25">
        <f>Logistic(I25/$B$5)</f>
        <v>0.47334697100706336</v>
      </c>
      <c r="AQ25">
        <f>IF(I25&gt;$B$5,1,0)</f>
        <v>1</v>
      </c>
      <c r="AR25">
        <f>Logistic(ABS(F25-O25)/($B$6/2))</f>
        <v>0.81357055383635279</v>
      </c>
      <c r="AS25">
        <f>IF(OR(F25&lt;M25,F25&gt;N25),1,0)</f>
        <v>1</v>
      </c>
      <c r="AT25">
        <f>ABS(K25)/$B$4</f>
        <v>0.36625000000000002</v>
      </c>
      <c r="AU25">
        <f t="shared" ca="1" si="40"/>
        <v>0</v>
      </c>
      <c r="AV25">
        <f ca="1">IF(AND(L25&lt;&gt;$L$15,$Q$15&gt;Safety_Distance),1,0)</f>
        <v>0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0.82160501179650647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0.82425436128461638</v>
      </c>
      <c r="BA25">
        <f t="shared" ca="1" si="41"/>
        <v>0</v>
      </c>
      <c r="BB25">
        <f t="shared" ca="1" si="42"/>
        <v>0</v>
      </c>
      <c r="BC25">
        <f t="shared" si="43"/>
        <v>0</v>
      </c>
      <c r="BE25">
        <f t="shared" si="7"/>
        <v>0.69625767268668148</v>
      </c>
      <c r="BF25">
        <f t="shared" si="44"/>
        <v>1</v>
      </c>
      <c r="BG25">
        <f t="shared" si="45"/>
        <v>1</v>
      </c>
      <c r="BH25">
        <f t="shared" si="8"/>
        <v>-0.8343473952098005</v>
      </c>
      <c r="BI25">
        <f t="shared" si="9"/>
        <v>0</v>
      </c>
      <c r="BJ25">
        <f t="shared" si="10"/>
        <v>0</v>
      </c>
      <c r="BK25">
        <f t="shared" si="11"/>
        <v>1.0319776373382343</v>
      </c>
      <c r="BL25">
        <f t="shared" si="46"/>
        <v>1</v>
      </c>
      <c r="BM25">
        <f t="shared" si="12"/>
        <v>1.0283407048338762</v>
      </c>
      <c r="BN25">
        <f t="shared" si="13"/>
        <v>0.63749999999999996</v>
      </c>
      <c r="BO25">
        <f t="shared" si="14"/>
        <v>0.36625000000000002</v>
      </c>
      <c r="BP25">
        <f t="shared" si="15"/>
        <v>0.47480057165532774</v>
      </c>
      <c r="BQ25">
        <f t="shared" si="16"/>
        <v>-0.81129174472272159</v>
      </c>
    </row>
    <row r="26" spans="1:69" x14ac:dyDescent="0.25">
      <c r="A26" s="1" t="s">
        <v>79</v>
      </c>
      <c r="B26">
        <f t="shared" ca="1" si="2"/>
        <v>30.85310076794444</v>
      </c>
      <c r="C26" t="s">
        <v>412</v>
      </c>
      <c r="D26">
        <f t="shared" si="17"/>
        <v>136</v>
      </c>
      <c r="E26">
        <f t="shared" si="18"/>
        <v>5101.04</v>
      </c>
      <c r="F26">
        <f t="shared" si="19"/>
        <v>7.06</v>
      </c>
      <c r="G26">
        <f t="shared" si="20"/>
        <v>13.92</v>
      </c>
      <c r="H26">
        <f t="shared" si="21"/>
        <v>-0.54</v>
      </c>
      <c r="I26">
        <f t="shared" si="22"/>
        <v>0.5</v>
      </c>
      <c r="J26">
        <f t="shared" si="23"/>
        <v>-0.72</v>
      </c>
      <c r="K26">
        <f t="shared" si="24"/>
        <v>0.73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>
        <f t="shared" si="5"/>
        <v>47</v>
      </c>
      <c r="Q26">
        <f t="shared" ca="1" si="25"/>
        <v>99.981617000000369</v>
      </c>
      <c r="R26">
        <f t="shared" ca="1" si="26"/>
        <v>20.791135000000001</v>
      </c>
      <c r="S26">
        <f t="shared" si="27"/>
        <v>50</v>
      </c>
      <c r="T26">
        <f t="shared" ca="1" si="28"/>
        <v>-64.641976999999315</v>
      </c>
      <c r="U26">
        <f t="shared" ca="1" si="29"/>
        <v>19.415310000000002</v>
      </c>
      <c r="V26">
        <f t="shared" si="30"/>
        <v>47</v>
      </c>
      <c r="W26">
        <f t="shared" ca="1" si="31"/>
        <v>70.051617000000078</v>
      </c>
      <c r="X26">
        <f t="shared" ca="1" si="32"/>
        <v>20.791135000000001</v>
      </c>
      <c r="Y26">
        <f>GetFollowingCarRow($B$45:$E$54,L26,$E$15,E26)</f>
        <v>50</v>
      </c>
      <c r="Z26">
        <f t="shared" ca="1" si="33"/>
        <v>-94.571976999999606</v>
      </c>
      <c r="AA26">
        <f t="shared" ca="1" si="34"/>
        <v>19.415310000000002</v>
      </c>
      <c r="AB26">
        <f t="shared" si="35"/>
        <v>-1.2599999999999998</v>
      </c>
      <c r="AC26">
        <f t="shared" si="36"/>
        <v>29.930000000000291</v>
      </c>
      <c r="AD26">
        <f t="shared" si="37"/>
        <v>-207.68475108586489</v>
      </c>
      <c r="AE26">
        <f t="shared" si="38"/>
        <v>6216.0045999999966</v>
      </c>
      <c r="AF26">
        <f t="shared" si="39"/>
        <v>29.956510143873857</v>
      </c>
      <c r="AG26">
        <f>GetSmallestNormalDistance($B$45:$E$54,AB26,AC26,AF26,$L$15,L26)</f>
        <v>199.35149054541162</v>
      </c>
      <c r="AH26">
        <f t="shared" si="6"/>
        <v>0.69625767268668148</v>
      </c>
      <c r="AI26">
        <f>IF(G26&lt;=0,1,0)</f>
        <v>0</v>
      </c>
      <c r="AJ26">
        <f>IF(G26&lt;0,1,0)</f>
        <v>0</v>
      </c>
      <c r="AK26">
        <f>MAX(($B$3-G26)/(G26 + 1),0) / $B$3</f>
        <v>2.3057310999537589E-2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6.7500000000000004E-2</v>
      </c>
      <c r="AP26">
        <f>Logistic(I26/$B$5)</f>
        <v>3.1239831446031246E-2</v>
      </c>
      <c r="AQ26">
        <f>IF(I26&gt;$B$5,1,0)</f>
        <v>0</v>
      </c>
      <c r="AR26">
        <f>Logistic(ABS(F26-O26)/($B$6/2))</f>
        <v>0.62611477206390731</v>
      </c>
      <c r="AS26">
        <f>IF(OR(F26&lt;M26,F26&gt;N26),1,0)</f>
        <v>1</v>
      </c>
      <c r="AT26">
        <f>ABS(K26)/$B$4</f>
        <v>9.1249999999999998E-2</v>
      </c>
      <c r="AU26">
        <f t="shared" ca="1" si="40"/>
        <v>0</v>
      </c>
      <c r="AV26">
        <f ca="1">IF(AND(L26&lt;&gt;$L$15,$Q$15&gt;Safety_Distance),1,0)</f>
        <v>0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1"/>
        <v>0</v>
      </c>
      <c r="BB26">
        <f t="shared" ca="1" si="42"/>
        <v>0</v>
      </c>
      <c r="BC26">
        <f t="shared" si="43"/>
        <v>0</v>
      </c>
      <c r="BE26">
        <f t="shared" si="7"/>
        <v>0.69625767268668148</v>
      </c>
      <c r="BF26">
        <f t="shared" si="44"/>
        <v>0</v>
      </c>
      <c r="BG26">
        <f t="shared" si="45"/>
        <v>0</v>
      </c>
      <c r="BH26">
        <f t="shared" si="8"/>
        <v>0.23987178893456629</v>
      </c>
      <c r="BI26">
        <f t="shared" si="9"/>
        <v>0</v>
      </c>
      <c r="BJ26">
        <f t="shared" si="10"/>
        <v>0</v>
      </c>
      <c r="BK26">
        <f t="shared" si="11"/>
        <v>1.0006959852348659E-6</v>
      </c>
      <c r="BL26">
        <f t="shared" si="46"/>
        <v>0</v>
      </c>
      <c r="BM26">
        <f t="shared" si="12"/>
        <v>3.0590232050182579E-7</v>
      </c>
      <c r="BN26">
        <f t="shared" si="13"/>
        <v>0.2350000000000001</v>
      </c>
      <c r="BO26">
        <f t="shared" si="14"/>
        <v>9.1249999999999998E-2</v>
      </c>
      <c r="BP26">
        <f t="shared" si="15"/>
        <v>3.37371913827696E-2</v>
      </c>
      <c r="BQ26">
        <f t="shared" si="16"/>
        <v>0.2563639258175337</v>
      </c>
    </row>
    <row r="27" spans="1:69" x14ac:dyDescent="0.25">
      <c r="A27" s="1" t="s">
        <v>80</v>
      </c>
      <c r="B27">
        <f t="shared" ca="1" si="2"/>
        <v>42.332589832796003</v>
      </c>
      <c r="C27" t="s">
        <v>411</v>
      </c>
      <c r="D27">
        <f t="shared" si="17"/>
        <v>136</v>
      </c>
      <c r="E27">
        <f t="shared" si="18"/>
        <v>5096.41</v>
      </c>
      <c r="F27">
        <f t="shared" si="19"/>
        <v>7.61</v>
      </c>
      <c r="G27">
        <f t="shared" si="20"/>
        <v>9.3000000000000007</v>
      </c>
      <c r="H27">
        <f t="shared" si="21"/>
        <v>-1.69</v>
      </c>
      <c r="I27">
        <f t="shared" si="22"/>
        <v>1.66</v>
      </c>
      <c r="J27">
        <f t="shared" si="23"/>
        <v>-0.82</v>
      </c>
      <c r="K27">
        <f t="shared" si="24"/>
        <v>1.3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>
        <f t="shared" si="5"/>
        <v>47</v>
      </c>
      <c r="Q27">
        <f t="shared" ca="1" si="25"/>
        <v>99.981617000000369</v>
      </c>
      <c r="R27">
        <f t="shared" ca="1" si="26"/>
        <v>20.791135000000001</v>
      </c>
      <c r="S27">
        <f t="shared" si="27"/>
        <v>50</v>
      </c>
      <c r="T27">
        <f t="shared" ca="1" si="28"/>
        <v>-64.641976999999315</v>
      </c>
      <c r="U27">
        <f t="shared" ca="1" si="29"/>
        <v>19.415310000000002</v>
      </c>
      <c r="V27">
        <f t="shared" si="30"/>
        <v>47</v>
      </c>
      <c r="W27">
        <f t="shared" ca="1" si="31"/>
        <v>74.681617000000188</v>
      </c>
      <c r="X27">
        <f t="shared" ca="1" si="32"/>
        <v>20.791135000000001</v>
      </c>
      <c r="Y27">
        <f>GetFollowingCarRow($B$45:$E$54,L27,$E$15,E27)</f>
        <v>50</v>
      </c>
      <c r="Z27">
        <f t="shared" ca="1" si="33"/>
        <v>-89.941976999999497</v>
      </c>
      <c r="AA27">
        <f t="shared" ca="1" si="34"/>
        <v>19.415310000000002</v>
      </c>
      <c r="AB27">
        <f t="shared" si="35"/>
        <v>-1.8100000000000005</v>
      </c>
      <c r="AC27">
        <f t="shared" si="36"/>
        <v>25.300000000000182</v>
      </c>
      <c r="AD27">
        <f t="shared" si="37"/>
        <v>-356.99482608695399</v>
      </c>
      <c r="AE27">
        <f t="shared" si="38"/>
        <v>9031.9691000000003</v>
      </c>
      <c r="AF27">
        <f t="shared" si="39"/>
        <v>25.364662426297127</v>
      </c>
      <c r="AG27">
        <f>GetSmallestNormalDistance($B$45:$E$54,AB27,AC27,AF27,$L$15,L27)</f>
        <v>345.34978693184945</v>
      </c>
      <c r="AH27">
        <f t="shared" si="6"/>
        <v>0.69625767268668148</v>
      </c>
      <c r="AI27">
        <f>IF(G27&lt;=0,1,0)</f>
        <v>0</v>
      </c>
      <c r="AJ27">
        <f>IF(G27&lt;0,1,0)</f>
        <v>0</v>
      </c>
      <c r="AK27">
        <f>MAX(($B$3-G27)/(G27 + 1),0) / $B$3</f>
        <v>5.4537302233650241E-2</v>
      </c>
      <c r="AL27">
        <f>IF(H27+ABS(K27)&lt;0,Logistic(SQRT(H27^2+K27^2)/$B$4),0)</f>
        <v>0.13247665254386776</v>
      </c>
      <c r="AM27">
        <f>IF(G27&gt;$B$3,1,0)</f>
        <v>0</v>
      </c>
      <c r="AN27">
        <f>IF(H27&gt;$B$4,1,0)</f>
        <v>0</v>
      </c>
      <c r="AO27">
        <f>ABS(H27)/$B$4</f>
        <v>0.21124999999999999</v>
      </c>
      <c r="AP27">
        <f>Logistic(I27/$B$5)</f>
        <v>0.10337933868540022</v>
      </c>
      <c r="AQ27">
        <f>IF(I27&gt;$B$5,1,0)</f>
        <v>0</v>
      </c>
      <c r="AR27">
        <f>Logistic(ABS(F27-O27)/($B$6/2))</f>
        <v>0.53526823464325013</v>
      </c>
      <c r="AS27">
        <f>IF(OR(F27&lt;M27,F27&gt;N27),1,0)</f>
        <v>1</v>
      </c>
      <c r="AT27">
        <f>ABS(K27)/$B$4</f>
        <v>0.16250000000000001</v>
      </c>
      <c r="AU27">
        <f t="shared" ca="1" si="40"/>
        <v>0</v>
      </c>
      <c r="AV27">
        <f ca="1">IF(AND(L27&lt;&gt;$L$15,$Q$15&gt;Safety_Distance),1,0)</f>
        <v>0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0.36094912563234038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0.11083321222978348</v>
      </c>
      <c r="BA27">
        <f t="shared" ca="1" si="41"/>
        <v>0</v>
      </c>
      <c r="BB27">
        <f t="shared" ca="1" si="42"/>
        <v>0</v>
      </c>
      <c r="BC27">
        <f t="shared" si="43"/>
        <v>0</v>
      </c>
      <c r="BE27">
        <f t="shared" si="7"/>
        <v>0.69625767268668148</v>
      </c>
      <c r="BF27">
        <f t="shared" si="44"/>
        <v>0</v>
      </c>
      <c r="BG27">
        <f t="shared" si="45"/>
        <v>0</v>
      </c>
      <c r="BH27">
        <f t="shared" si="8"/>
        <v>0.52167681613169115</v>
      </c>
      <c r="BI27">
        <f t="shared" si="9"/>
        <v>0</v>
      </c>
      <c r="BJ27">
        <f t="shared" si="10"/>
        <v>0</v>
      </c>
      <c r="BK27">
        <f t="shared" si="11"/>
        <v>2.3903561589860029E-2</v>
      </c>
      <c r="BL27">
        <f t="shared" si="46"/>
        <v>0</v>
      </c>
      <c r="BM27">
        <f t="shared" si="12"/>
        <v>2.1943658047405411E-2</v>
      </c>
      <c r="BN27">
        <f t="shared" si="13"/>
        <v>9.749999999999992E-2</v>
      </c>
      <c r="BO27">
        <f t="shared" si="14"/>
        <v>0.16250000000000001</v>
      </c>
      <c r="BP27">
        <f t="shared" si="15"/>
        <v>0.10523393835900149</v>
      </c>
      <c r="BQ27">
        <f t="shared" si="16"/>
        <v>0.56548497875632842</v>
      </c>
    </row>
    <row r="28" spans="1:69" x14ac:dyDescent="0.25">
      <c r="A28" s="1" t="s">
        <v>81</v>
      </c>
      <c r="B28">
        <f t="shared" ca="1" si="2"/>
        <v>184.36569044190648</v>
      </c>
      <c r="C28" t="s">
        <v>410</v>
      </c>
      <c r="D28">
        <f t="shared" si="17"/>
        <v>136</v>
      </c>
      <c r="E28">
        <f t="shared" si="18"/>
        <v>5068.8599999999997</v>
      </c>
      <c r="F28">
        <f t="shared" si="19"/>
        <v>5.45</v>
      </c>
      <c r="G28">
        <f t="shared" si="20"/>
        <v>-18.100000000000001</v>
      </c>
      <c r="H28">
        <f t="shared" si="21"/>
        <v>-8.58</v>
      </c>
      <c r="I28">
        <f t="shared" si="22"/>
        <v>8.5500000000000007</v>
      </c>
      <c r="J28">
        <f t="shared" si="23"/>
        <v>-0.03</v>
      </c>
      <c r="K28">
        <f t="shared" si="24"/>
        <v>2.93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>
        <f t="shared" si="5"/>
        <v>47</v>
      </c>
      <c r="Q28">
        <f t="shared" ca="1" si="25"/>
        <v>99.981617000000369</v>
      </c>
      <c r="R28">
        <f t="shared" ca="1" si="26"/>
        <v>20.791135000000001</v>
      </c>
      <c r="S28">
        <f t="shared" si="27"/>
        <v>50</v>
      </c>
      <c r="T28">
        <f t="shared" ca="1" si="28"/>
        <v>-64.641976999999315</v>
      </c>
      <c r="U28">
        <f t="shared" ca="1" si="29"/>
        <v>19.415310000000002</v>
      </c>
      <c r="V28">
        <f t="shared" si="30"/>
        <v>47</v>
      </c>
      <c r="W28">
        <f t="shared" ca="1" si="31"/>
        <v>102.23161700000037</v>
      </c>
      <c r="X28">
        <f t="shared" ca="1" si="32"/>
        <v>20.791135000000001</v>
      </c>
      <c r="Y28">
        <f>GetFollowingCarRow($B$45:$E$54,L28,$E$15,E28)</f>
        <v>50</v>
      </c>
      <c r="Z28">
        <f t="shared" ca="1" si="33"/>
        <v>-62.391976999999315</v>
      </c>
      <c r="AA28">
        <f t="shared" ca="1" si="34"/>
        <v>19.415310000000002</v>
      </c>
      <c r="AB28">
        <f t="shared" si="35"/>
        <v>0.34999999999999964</v>
      </c>
      <c r="AC28">
        <f t="shared" si="36"/>
        <v>-2.25</v>
      </c>
      <c r="AD28">
        <f t="shared" si="37"/>
        <v>-783.03933333333248</v>
      </c>
      <c r="AE28">
        <f t="shared" si="38"/>
        <v>-1761.838499999998</v>
      </c>
      <c r="AF28">
        <f t="shared" si="39"/>
        <v>2.2770595073471398</v>
      </c>
      <c r="AG28">
        <f>GetSmallestNormalDistance($B$45:$E$54,AB28,AC28,AF28,$L$15,L28)</f>
        <v>753.41852141524055</v>
      </c>
      <c r="AH28">
        <f t="shared" si="6"/>
        <v>0.69625767268668148</v>
      </c>
      <c r="AI28">
        <f>IF(G28&lt;=0,1,0)</f>
        <v>1</v>
      </c>
      <c r="AJ28">
        <f>IF(G28&lt;0,1,0)</f>
        <v>1</v>
      </c>
      <c r="AK28">
        <f>MAX(($B$3-G28)/(G28 + 1),0) / $B$3</f>
        <v>0</v>
      </c>
      <c r="AL28">
        <f>IF(H28+ABS(K28)&lt;0,Logistic(SQRT(H28^2+K28^2)/$B$4),0)</f>
        <v>0.51289907158463777</v>
      </c>
      <c r="AM28">
        <f>IF(G28&gt;$B$3,1,0)</f>
        <v>0</v>
      </c>
      <c r="AN28">
        <f>IF(H28&gt;$B$4,1,0)</f>
        <v>0</v>
      </c>
      <c r="AO28">
        <f>ABS(H28)/$B$4</f>
        <v>1.0725</v>
      </c>
      <c r="AP28">
        <f>Logistic(I28/$B$5)</f>
        <v>0.4887182554393622</v>
      </c>
      <c r="AQ28">
        <f>IF(I28&gt;$B$5,1,0)</f>
        <v>1</v>
      </c>
      <c r="AR28">
        <f>Logistic(ABS(F28-O28)/($B$6/2))</f>
        <v>0.81357055383635279</v>
      </c>
      <c r="AS28">
        <f>IF(OR(F28&lt;M28,F28&gt;N28),1,0)</f>
        <v>1</v>
      </c>
      <c r="AT28">
        <f>ABS(K28)/$B$4</f>
        <v>0.36625000000000002</v>
      </c>
      <c r="AU28">
        <f t="shared" ca="1" si="40"/>
        <v>0</v>
      </c>
      <c r="AV28">
        <f ca="1">IF(AND(L28&lt;&gt;$L$15,$Q$15&gt;Safety_Distance),1,0)</f>
        <v>0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0.82769174238464427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0.8336892937843261</v>
      </c>
      <c r="BA28">
        <f t="shared" ca="1" si="41"/>
        <v>0</v>
      </c>
      <c r="BB28">
        <f t="shared" ca="1" si="42"/>
        <v>0</v>
      </c>
      <c r="BC28">
        <f t="shared" si="43"/>
        <v>0</v>
      </c>
      <c r="BE28">
        <f t="shared" si="7"/>
        <v>0.69625767268668148</v>
      </c>
      <c r="BF28">
        <f t="shared" si="44"/>
        <v>1</v>
      </c>
      <c r="BG28">
        <f t="shared" si="45"/>
        <v>1</v>
      </c>
      <c r="BH28">
        <f t="shared" si="8"/>
        <v>-0.81765718981554991</v>
      </c>
      <c r="BI28">
        <f t="shared" si="9"/>
        <v>0</v>
      </c>
      <c r="BJ28">
        <f t="shared" si="10"/>
        <v>0</v>
      </c>
      <c r="BK28">
        <f t="shared" si="11"/>
        <v>1.0699362503631689</v>
      </c>
      <c r="BL28">
        <f t="shared" si="46"/>
        <v>1</v>
      </c>
      <c r="BM28">
        <f t="shared" si="12"/>
        <v>1.0664415856096265</v>
      </c>
      <c r="BN28">
        <f t="shared" si="13"/>
        <v>0.63749999999999996</v>
      </c>
      <c r="BO28">
        <f t="shared" si="14"/>
        <v>0.36625000000000002</v>
      </c>
      <c r="BP28">
        <f t="shared" si="15"/>
        <v>0.49014411181486212</v>
      </c>
      <c r="BQ28">
        <f t="shared" si="16"/>
        <v>-0.79548253120740653</v>
      </c>
    </row>
    <row r="29" spans="1:69" x14ac:dyDescent="0.25">
      <c r="A29" s="1" t="s">
        <v>22</v>
      </c>
      <c r="B29">
        <f t="shared" ca="1" si="2"/>
        <v>30.85310076794444</v>
      </c>
      <c r="C29" t="s">
        <v>409</v>
      </c>
      <c r="D29">
        <f t="shared" si="17"/>
        <v>136</v>
      </c>
      <c r="E29">
        <f t="shared" si="18"/>
        <v>5101.05</v>
      </c>
      <c r="F29">
        <f t="shared" si="19"/>
        <v>7.06</v>
      </c>
      <c r="G29">
        <f t="shared" si="20"/>
        <v>13.92</v>
      </c>
      <c r="H29">
        <f t="shared" si="21"/>
        <v>-0.54</v>
      </c>
      <c r="I29">
        <f t="shared" si="22"/>
        <v>0.5</v>
      </c>
      <c r="J29">
        <f t="shared" si="23"/>
        <v>-0.72</v>
      </c>
      <c r="K29">
        <f t="shared" si="24"/>
        <v>0.73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>
        <f t="shared" si="5"/>
        <v>47</v>
      </c>
      <c r="Q29">
        <f t="shared" ca="1" si="25"/>
        <v>99.981617000000369</v>
      </c>
      <c r="R29">
        <f t="shared" ca="1" si="26"/>
        <v>20.791135000000001</v>
      </c>
      <c r="S29">
        <f t="shared" si="27"/>
        <v>50</v>
      </c>
      <c r="T29">
        <f t="shared" ca="1" si="28"/>
        <v>-64.641976999999315</v>
      </c>
      <c r="U29">
        <f t="shared" ca="1" si="29"/>
        <v>19.415310000000002</v>
      </c>
      <c r="V29">
        <f t="shared" si="30"/>
        <v>47</v>
      </c>
      <c r="W29">
        <f t="shared" ca="1" si="31"/>
        <v>70.04161699999986</v>
      </c>
      <c r="X29">
        <f t="shared" ca="1" si="32"/>
        <v>20.791135000000001</v>
      </c>
      <c r="Y29">
        <f>GetFollowingCarRow($B$45:$E$54,L29,$E$15,E29)</f>
        <v>50</v>
      </c>
      <c r="Z29">
        <f t="shared" ca="1" si="33"/>
        <v>-94.581976999999824</v>
      </c>
      <c r="AA29">
        <f t="shared" ca="1" si="34"/>
        <v>19.415310000000002</v>
      </c>
      <c r="AB29">
        <f t="shared" si="35"/>
        <v>-1.2599999999999998</v>
      </c>
      <c r="AC29">
        <f t="shared" si="36"/>
        <v>29.940000000000509</v>
      </c>
      <c r="AD29">
        <f t="shared" si="37"/>
        <v>-207.6134468937839</v>
      </c>
      <c r="AE29">
        <f t="shared" si="38"/>
        <v>6215.9465999999957</v>
      </c>
      <c r="AF29">
        <f t="shared" si="39"/>
        <v>29.966501297282445</v>
      </c>
      <c r="AG29">
        <f>GetSmallestNormalDistance($B$45:$E$54,AB29,AC29,AF29,$L$15,L29)</f>
        <v>199.28161045819363</v>
      </c>
      <c r="AH29">
        <f t="shared" si="6"/>
        <v>0.69625767268668148</v>
      </c>
      <c r="AI29">
        <f>IF(G29&lt;=0,1,0)</f>
        <v>0</v>
      </c>
      <c r="AJ29">
        <f>IF(G29&lt;0,1,0)</f>
        <v>0</v>
      </c>
      <c r="AK29">
        <f>MAX(($B$3-G29)/(G29 + 1),0) / $B$3</f>
        <v>2.3057310999537589E-2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6.7500000000000004E-2</v>
      </c>
      <c r="AP29">
        <f>Logistic(I29/$B$5)</f>
        <v>3.1239831446031246E-2</v>
      </c>
      <c r="AQ29">
        <f>IF(I29&gt;$B$5,1,0)</f>
        <v>0</v>
      </c>
      <c r="AR29">
        <f>Logistic(ABS(F29-O29)/($B$6/2))</f>
        <v>0.62611477206390731</v>
      </c>
      <c r="AS29">
        <f>IF(OR(F29&lt;M29,F29&gt;N29),1,0)</f>
        <v>1</v>
      </c>
      <c r="AT29">
        <f>ABS(K29)/$B$4</f>
        <v>9.1249999999999998E-2</v>
      </c>
      <c r="AU29">
        <f t="shared" ca="1" si="40"/>
        <v>0</v>
      </c>
      <c r="AV29">
        <f ca="1">IF(AND(L29&lt;&gt;$L$15,$Q$15&gt;Safety_Distance),1,0)</f>
        <v>0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1"/>
        <v>0</v>
      </c>
      <c r="BB29">
        <f t="shared" ca="1" si="42"/>
        <v>0</v>
      </c>
      <c r="BC29">
        <f t="shared" si="43"/>
        <v>0</v>
      </c>
      <c r="BE29">
        <f t="shared" si="7"/>
        <v>0.69625767268668148</v>
      </c>
      <c r="BF29">
        <f t="shared" si="44"/>
        <v>0</v>
      </c>
      <c r="BG29">
        <f t="shared" si="45"/>
        <v>0</v>
      </c>
      <c r="BH29">
        <f t="shared" si="8"/>
        <v>0.23987178893456629</v>
      </c>
      <c r="BI29">
        <f t="shared" si="9"/>
        <v>0</v>
      </c>
      <c r="BJ29">
        <f t="shared" si="10"/>
        <v>0</v>
      </c>
      <c r="BK29">
        <f t="shared" si="11"/>
        <v>1.0006959852348659E-6</v>
      </c>
      <c r="BL29">
        <f t="shared" si="46"/>
        <v>0</v>
      </c>
      <c r="BM29">
        <f t="shared" si="12"/>
        <v>3.0590232050182579E-7</v>
      </c>
      <c r="BN29">
        <f t="shared" si="13"/>
        <v>0.2350000000000001</v>
      </c>
      <c r="BO29">
        <f t="shared" si="14"/>
        <v>9.1249999999999998E-2</v>
      </c>
      <c r="BP29">
        <f t="shared" si="15"/>
        <v>3.37371913827696E-2</v>
      </c>
      <c r="BQ29">
        <f t="shared" si="16"/>
        <v>0.2563639258175337</v>
      </c>
    </row>
    <row r="30" spans="1:69" x14ac:dyDescent="0.25">
      <c r="A30" s="1" t="s">
        <v>21</v>
      </c>
      <c r="B30">
        <f t="shared" ca="1" si="2"/>
        <v>42.301614452767602</v>
      </c>
      <c r="C30" t="s">
        <v>408</v>
      </c>
      <c r="D30">
        <f t="shared" si="17"/>
        <v>136</v>
      </c>
      <c r="E30">
        <f t="shared" si="18"/>
        <v>5096.41</v>
      </c>
      <c r="F30">
        <f t="shared" si="19"/>
        <v>7.61</v>
      </c>
      <c r="G30">
        <f t="shared" si="20"/>
        <v>9.31</v>
      </c>
      <c r="H30">
        <f t="shared" si="21"/>
        <v>-1.69</v>
      </c>
      <c r="I30">
        <f t="shared" si="22"/>
        <v>1.66</v>
      </c>
      <c r="J30">
        <f t="shared" si="23"/>
        <v>-0.82</v>
      </c>
      <c r="K30">
        <f t="shared" si="24"/>
        <v>1.3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>
        <f t="shared" si="5"/>
        <v>47</v>
      </c>
      <c r="Q30">
        <f t="shared" ca="1" si="25"/>
        <v>99.981617000000369</v>
      </c>
      <c r="R30">
        <f t="shared" ca="1" si="26"/>
        <v>20.791135000000001</v>
      </c>
      <c r="S30">
        <f t="shared" si="27"/>
        <v>50</v>
      </c>
      <c r="T30">
        <f t="shared" ca="1" si="28"/>
        <v>-64.641976999999315</v>
      </c>
      <c r="U30">
        <f t="shared" ca="1" si="29"/>
        <v>19.415310000000002</v>
      </c>
      <c r="V30">
        <f t="shared" si="30"/>
        <v>47</v>
      </c>
      <c r="W30">
        <f t="shared" ca="1" si="31"/>
        <v>74.681617000000188</v>
      </c>
      <c r="X30">
        <f t="shared" ca="1" si="32"/>
        <v>20.791135000000001</v>
      </c>
      <c r="Y30">
        <f>GetFollowingCarRow($B$45:$E$54,L30,$E$15,E30)</f>
        <v>50</v>
      </c>
      <c r="Z30">
        <f t="shared" ca="1" si="33"/>
        <v>-89.941976999999497</v>
      </c>
      <c r="AA30">
        <f t="shared" ca="1" si="34"/>
        <v>19.415310000000002</v>
      </c>
      <c r="AB30">
        <f t="shared" si="35"/>
        <v>-1.8100000000000005</v>
      </c>
      <c r="AC30">
        <f t="shared" si="36"/>
        <v>25.300000000000182</v>
      </c>
      <c r="AD30">
        <f t="shared" si="37"/>
        <v>-356.99482608695399</v>
      </c>
      <c r="AE30">
        <f t="shared" si="38"/>
        <v>9031.9691000000003</v>
      </c>
      <c r="AF30">
        <f t="shared" si="39"/>
        <v>25.364662426297127</v>
      </c>
      <c r="AG30">
        <f>GetSmallestNormalDistance($B$45:$E$54,AB30,AC30,AF30,$L$15,L30)</f>
        <v>345.34978693184945</v>
      </c>
      <c r="AH30">
        <f t="shared" si="6"/>
        <v>0.69625767268668148</v>
      </c>
      <c r="AI30">
        <f>IF(G30&lt;=0,1,0)</f>
        <v>0</v>
      </c>
      <c r="AJ30">
        <f>IF(G30&lt;0,1,0)</f>
        <v>0</v>
      </c>
      <c r="AK30">
        <f>MAX(($B$3-G30)/(G30 + 1),0) / $B$3</f>
        <v>5.4438696360057805E-2</v>
      </c>
      <c r="AL30">
        <f>IF(H30+ABS(K30)&lt;0,Logistic(SQRT(H30^2+K30^2)/$B$4),0)</f>
        <v>0.13247665254386776</v>
      </c>
      <c r="AM30">
        <f>IF(G30&gt;$B$3,1,0)</f>
        <v>0</v>
      </c>
      <c r="AN30">
        <f>IF(H30&gt;$B$4,1,0)</f>
        <v>0</v>
      </c>
      <c r="AO30">
        <f>ABS(H30)/$B$4</f>
        <v>0.21124999999999999</v>
      </c>
      <c r="AP30">
        <f>Logistic(I30/$B$5)</f>
        <v>0.10337933868540022</v>
      </c>
      <c r="AQ30">
        <f>IF(I30&gt;$B$5,1,0)</f>
        <v>0</v>
      </c>
      <c r="AR30">
        <f>Logistic(ABS(F30-O30)/($B$6/2))</f>
        <v>0.53526823464325013</v>
      </c>
      <c r="AS30">
        <f>IF(OR(F30&lt;M30,F30&gt;N30),1,0)</f>
        <v>1</v>
      </c>
      <c r="AT30">
        <f>ABS(K30)/$B$4</f>
        <v>0.16250000000000001</v>
      </c>
      <c r="AU30">
        <f t="shared" ca="1" si="40"/>
        <v>0</v>
      </c>
      <c r="AV30">
        <f ca="1">IF(AND(L30&lt;&gt;$L$15,$Q$15&gt;Safety_Distance),1,0)</f>
        <v>0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0.36031673446931056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0.1099533116747583</v>
      </c>
      <c r="BA30">
        <f t="shared" ca="1" si="41"/>
        <v>0</v>
      </c>
      <c r="BB30">
        <f t="shared" ca="1" si="42"/>
        <v>0</v>
      </c>
      <c r="BC30">
        <f t="shared" si="43"/>
        <v>0</v>
      </c>
      <c r="BE30">
        <f t="shared" si="7"/>
        <v>0.69625767268668148</v>
      </c>
      <c r="BF30">
        <f t="shared" si="44"/>
        <v>0</v>
      </c>
      <c r="BG30">
        <f t="shared" si="45"/>
        <v>0</v>
      </c>
      <c r="BH30">
        <f t="shared" si="8"/>
        <v>0.52091491440011894</v>
      </c>
      <c r="BI30">
        <f t="shared" si="9"/>
        <v>0</v>
      </c>
      <c r="BJ30">
        <f t="shared" si="10"/>
        <v>0</v>
      </c>
      <c r="BK30">
        <f t="shared" si="11"/>
        <v>2.3903561589860029E-2</v>
      </c>
      <c r="BL30">
        <f t="shared" si="46"/>
        <v>0</v>
      </c>
      <c r="BM30">
        <f t="shared" si="12"/>
        <v>2.1943658047405411E-2</v>
      </c>
      <c r="BN30">
        <f t="shared" si="13"/>
        <v>9.749999999999992E-2</v>
      </c>
      <c r="BO30">
        <f t="shared" si="14"/>
        <v>0.16250000000000001</v>
      </c>
      <c r="BP30">
        <f t="shared" si="15"/>
        <v>0.10523393835900149</v>
      </c>
      <c r="BQ30">
        <f t="shared" si="16"/>
        <v>0.56465084194725412</v>
      </c>
    </row>
    <row r="31" spans="1:69" x14ac:dyDescent="0.25">
      <c r="A31" s="1" t="s">
        <v>20</v>
      </c>
      <c r="B31">
        <f t="shared" ca="1" si="2"/>
        <v>184.36569044190648</v>
      </c>
      <c r="C31" t="s">
        <v>407</v>
      </c>
      <c r="D31">
        <f t="shared" si="17"/>
        <v>136</v>
      </c>
      <c r="E31">
        <f t="shared" si="18"/>
        <v>5068.87</v>
      </c>
      <c r="F31">
        <f t="shared" si="19"/>
        <v>5.45</v>
      </c>
      <c r="G31">
        <f t="shared" si="20"/>
        <v>-18.100000000000001</v>
      </c>
      <c r="H31">
        <f t="shared" si="21"/>
        <v>-8.58</v>
      </c>
      <c r="I31">
        <f t="shared" si="22"/>
        <v>8.5500000000000007</v>
      </c>
      <c r="J31">
        <f t="shared" si="23"/>
        <v>-0.03</v>
      </c>
      <c r="K31">
        <f t="shared" si="24"/>
        <v>2.93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>
        <f t="shared" si="5"/>
        <v>47</v>
      </c>
      <c r="Q31">
        <f t="shared" ca="1" si="25"/>
        <v>99.981617000000369</v>
      </c>
      <c r="R31">
        <f t="shared" ca="1" si="26"/>
        <v>20.791135000000001</v>
      </c>
      <c r="S31">
        <f t="shared" si="27"/>
        <v>50</v>
      </c>
      <c r="T31">
        <f t="shared" ca="1" si="28"/>
        <v>-64.641976999999315</v>
      </c>
      <c r="U31">
        <f t="shared" ca="1" si="29"/>
        <v>19.415310000000002</v>
      </c>
      <c r="V31">
        <f t="shared" si="30"/>
        <v>47</v>
      </c>
      <c r="W31">
        <f t="shared" ca="1" si="31"/>
        <v>102.22161700000015</v>
      </c>
      <c r="X31">
        <f t="shared" ca="1" si="32"/>
        <v>20.791135000000001</v>
      </c>
      <c r="Y31">
        <f>GetFollowingCarRow($B$45:$E$54,L31,$E$15,E31)</f>
        <v>50</v>
      </c>
      <c r="Z31">
        <f t="shared" ca="1" si="33"/>
        <v>-62.401976999999533</v>
      </c>
      <c r="AA31">
        <f t="shared" ca="1" si="34"/>
        <v>19.415310000000002</v>
      </c>
      <c r="AB31">
        <f t="shared" si="35"/>
        <v>0.34999999999999964</v>
      </c>
      <c r="AC31">
        <f t="shared" si="36"/>
        <v>-2.2399999999997817</v>
      </c>
      <c r="AD31">
        <f t="shared" si="37"/>
        <v>-786.56093750007642</v>
      </c>
      <c r="AE31">
        <f t="shared" si="38"/>
        <v>-1761.8964999999996</v>
      </c>
      <c r="AF31">
        <f t="shared" si="39"/>
        <v>2.2671788636980148</v>
      </c>
      <c r="AG31">
        <f>GetSmallestNormalDistance($B$45:$E$54,AB31,AC31,AF31,$L$15,L31)</f>
        <v>756.73168336687593</v>
      </c>
      <c r="AH31">
        <f t="shared" si="6"/>
        <v>0.69625767268668148</v>
      </c>
      <c r="AI31">
        <f>IF(G31&lt;=0,1,0)</f>
        <v>1</v>
      </c>
      <c r="AJ31">
        <f>IF(G31&lt;0,1,0)</f>
        <v>1</v>
      </c>
      <c r="AK31">
        <f>MAX(($B$3-G31)/(G31 + 1),0) / $B$3</f>
        <v>0</v>
      </c>
      <c r="AL31">
        <f>IF(H31+ABS(K31)&lt;0,Logistic(SQRT(H31^2+K31^2)/$B$4),0)</f>
        <v>0.51289907158463777</v>
      </c>
      <c r="AM31">
        <f>IF(G31&gt;$B$3,1,0)</f>
        <v>0</v>
      </c>
      <c r="AN31">
        <f>IF(H31&gt;$B$4,1,0)</f>
        <v>0</v>
      </c>
      <c r="AO31">
        <f>ABS(H31)/$B$4</f>
        <v>1.0725</v>
      </c>
      <c r="AP31">
        <f>Logistic(I31/$B$5)</f>
        <v>0.4887182554393622</v>
      </c>
      <c r="AQ31">
        <f>IF(I31&gt;$B$5,1,0)</f>
        <v>1</v>
      </c>
      <c r="AR31">
        <f>Logistic(ABS(F31-O31)/($B$6/2))</f>
        <v>0.81357055383635279</v>
      </c>
      <c r="AS31">
        <f>IF(OR(F31&lt;M31,F31&gt;N31),1,0)</f>
        <v>1</v>
      </c>
      <c r="AT31">
        <f>ABS(K31)/$B$4</f>
        <v>0.36625000000000002</v>
      </c>
      <c r="AU31">
        <f t="shared" ca="1" si="40"/>
        <v>0</v>
      </c>
      <c r="AV31">
        <f ca="1">IF(AND(L31&lt;&gt;$L$15,$Q$15&gt;Safety_Distance),1,0)</f>
        <v>0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0.82769174238464427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0.83366263800032692</v>
      </c>
      <c r="BA31">
        <f t="shared" ca="1" si="41"/>
        <v>0</v>
      </c>
      <c r="BB31">
        <f t="shared" ca="1" si="42"/>
        <v>0</v>
      </c>
      <c r="BC31">
        <f t="shared" si="43"/>
        <v>0</v>
      </c>
      <c r="BE31">
        <f t="shared" si="7"/>
        <v>0.69625767268668148</v>
      </c>
      <c r="BF31">
        <f t="shared" si="44"/>
        <v>1</v>
      </c>
      <c r="BG31">
        <f t="shared" si="45"/>
        <v>1</v>
      </c>
      <c r="BH31">
        <f t="shared" si="8"/>
        <v>-0.81765718981554991</v>
      </c>
      <c r="BI31">
        <f t="shared" si="9"/>
        <v>0</v>
      </c>
      <c r="BJ31">
        <f t="shared" si="10"/>
        <v>0</v>
      </c>
      <c r="BK31">
        <f t="shared" si="11"/>
        <v>1.0699362503631689</v>
      </c>
      <c r="BL31">
        <f t="shared" si="46"/>
        <v>1</v>
      </c>
      <c r="BM31">
        <f t="shared" si="12"/>
        <v>1.0664415856096265</v>
      </c>
      <c r="BN31">
        <f t="shared" si="13"/>
        <v>0.63749999999999996</v>
      </c>
      <c r="BO31">
        <f t="shared" si="14"/>
        <v>0.36625000000000002</v>
      </c>
      <c r="BP31">
        <f t="shared" si="15"/>
        <v>0.49014411181486212</v>
      </c>
      <c r="BQ31">
        <f t="shared" si="16"/>
        <v>-0.79548253120740653</v>
      </c>
    </row>
    <row r="32" spans="1:69" x14ac:dyDescent="0.25">
      <c r="A32" s="1" t="s">
        <v>37</v>
      </c>
      <c r="B32">
        <f t="shared" ca="1" si="2"/>
        <v>13.156986429323565</v>
      </c>
      <c r="C32" t="s">
        <v>406</v>
      </c>
      <c r="D32">
        <f t="shared" si="17"/>
        <v>100</v>
      </c>
      <c r="E32">
        <f t="shared" si="18"/>
        <v>5091.6499999999996</v>
      </c>
      <c r="F32">
        <f t="shared" si="19"/>
        <v>2.99</v>
      </c>
      <c r="G32">
        <f t="shared" si="20"/>
        <v>16.079999999999998</v>
      </c>
      <c r="H32">
        <f t="shared" si="21"/>
        <v>0.01</v>
      </c>
      <c r="I32">
        <f t="shared" si="22"/>
        <v>0.05</v>
      </c>
      <c r="J32">
        <f t="shared" si="23"/>
        <v>3.11</v>
      </c>
      <c r="K32">
        <f t="shared" si="24"/>
        <v>0.56000000000000005</v>
      </c>
      <c r="L32">
        <f t="shared" si="3"/>
        <v>1</v>
      </c>
      <c r="M32">
        <f t="shared" si="0"/>
        <v>0</v>
      </c>
      <c r="N32">
        <f t="shared" si="1"/>
        <v>4</v>
      </c>
      <c r="O32">
        <f t="shared" si="4"/>
        <v>2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>
        <f t="shared" si="27"/>
        <v>45</v>
      </c>
      <c r="T32">
        <f t="shared" ca="1" si="28"/>
        <v>-5.342186999999285</v>
      </c>
      <c r="U32">
        <f t="shared" ca="1" si="29"/>
        <v>19.090017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>
        <f>GetFollowingCarRow($B$45:$E$54,L32,$E$15,E32)</f>
        <v>45</v>
      </c>
      <c r="Z32">
        <f t="shared" ca="1" si="33"/>
        <v>-25.882186999999249</v>
      </c>
      <c r="AA32">
        <f t="shared" ca="1" si="34"/>
        <v>19.090017</v>
      </c>
      <c r="AB32">
        <f t="shared" si="35"/>
        <v>2.8099999999999996</v>
      </c>
      <c r="AC32">
        <f t="shared" si="36"/>
        <v>20.539999999999964</v>
      </c>
      <c r="AD32">
        <f t="shared" si="37"/>
        <v>699.55944985394456</v>
      </c>
      <c r="AE32">
        <f t="shared" si="38"/>
        <v>-14368.951099999997</v>
      </c>
      <c r="AF32">
        <f t="shared" si="39"/>
        <v>20.73132171377403</v>
      </c>
      <c r="AG32">
        <f>GetSmallestNormalDistance($B$45:$E$54,AB32,AC32,AF32,$L$15,L32)</f>
        <v>676.91493018393282</v>
      </c>
      <c r="AH32">
        <f t="shared" si="6"/>
        <v>0.46211715726000974</v>
      </c>
      <c r="AI32">
        <f>IF(G32&lt;=0,1,0)</f>
        <v>0</v>
      </c>
      <c r="AJ32">
        <f>IF(G32&lt;0,1,0)</f>
        <v>0</v>
      </c>
      <c r="AK32">
        <f>MAX(($B$3-G32)/(G32 + 1),0) / $B$3</f>
        <v>1.4181751562199951E-2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1.25E-3</v>
      </c>
      <c r="AP32">
        <f>Logistic(I32/$B$5)</f>
        <v>3.1249898275137089E-3</v>
      </c>
      <c r="AQ32">
        <f>IF(I32&gt;$B$5,1,0)</f>
        <v>0</v>
      </c>
      <c r="AR32">
        <f>Logistic(ABS(F32-O32)/($B$6/2))</f>
        <v>0.2425671903821357</v>
      </c>
      <c r="AS32">
        <f>IF(OR(F32&lt;M32,F32&gt;N32),1,0)</f>
        <v>0</v>
      </c>
      <c r="AT32">
        <f>ABS(K32)/$B$4</f>
        <v>7.0000000000000007E-2</v>
      </c>
      <c r="AU32">
        <f t="shared" ca="1" si="40"/>
        <v>0</v>
      </c>
      <c r="AV32">
        <f ca="1">IF(AND(L32&lt;&gt;$L$15,$Q$15&gt;Safety_Distance),1,0)</f>
        <v>0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0.82251970669935481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0.14013153414086243</v>
      </c>
      <c r="BA32">
        <f t="shared" ca="1" si="41"/>
        <v>0</v>
      </c>
      <c r="BB32">
        <f t="shared" ca="1" si="42"/>
        <v>0</v>
      </c>
      <c r="BC32">
        <f t="shared" si="43"/>
        <v>0</v>
      </c>
      <c r="BE32">
        <f t="shared" si="7"/>
        <v>0.46211715726000974</v>
      </c>
      <c r="BF32">
        <f t="shared" si="44"/>
        <v>0</v>
      </c>
      <c r="BG32">
        <f t="shared" si="45"/>
        <v>0</v>
      </c>
      <c r="BH32">
        <f t="shared" si="8"/>
        <v>0.14934300317387963</v>
      </c>
      <c r="BI32">
        <f t="shared" si="9"/>
        <v>0</v>
      </c>
      <c r="BJ32">
        <f t="shared" si="10"/>
        <v>0</v>
      </c>
      <c r="BK32">
        <f t="shared" si="11"/>
        <v>0</v>
      </c>
      <c r="BL32">
        <f t="shared" si="46"/>
        <v>0</v>
      </c>
      <c r="BM32">
        <f t="shared" si="12"/>
        <v>8.8547718835134325E-70</v>
      </c>
      <c r="BN32">
        <f t="shared" si="13"/>
        <v>0</v>
      </c>
      <c r="BO32">
        <f t="shared" si="14"/>
        <v>7.0000000000000007E-2</v>
      </c>
      <c r="BP32">
        <f t="shared" si="15"/>
        <v>6.2499991861977931E-4</v>
      </c>
      <c r="BQ32">
        <f t="shared" si="16"/>
        <v>0.15847875297881317</v>
      </c>
    </row>
    <row r="33" spans="1:69" x14ac:dyDescent="0.25">
      <c r="A33" s="1" t="s">
        <v>38</v>
      </c>
      <c r="B33">
        <f t="shared" ca="1" si="2"/>
        <v>15.065918309525062</v>
      </c>
      <c r="C33" t="s">
        <v>405</v>
      </c>
      <c r="D33">
        <f t="shared" si="17"/>
        <v>93</v>
      </c>
      <c r="E33">
        <f t="shared" si="18"/>
        <v>5088.53</v>
      </c>
      <c r="F33">
        <f t="shared" si="19"/>
        <v>2.93</v>
      </c>
      <c r="G33">
        <f t="shared" si="20"/>
        <v>14.57</v>
      </c>
      <c r="H33">
        <f t="shared" si="21"/>
        <v>-0.65</v>
      </c>
      <c r="I33">
        <f t="shared" si="22"/>
        <v>0.62</v>
      </c>
      <c r="J33">
        <f t="shared" si="23"/>
        <v>3.35</v>
      </c>
      <c r="K33">
        <f t="shared" si="24"/>
        <v>0.99</v>
      </c>
      <c r="L33">
        <f t="shared" si="3"/>
        <v>1</v>
      </c>
      <c r="M33">
        <f t="shared" si="0"/>
        <v>0</v>
      </c>
      <c r="N33">
        <f t="shared" si="1"/>
        <v>4</v>
      </c>
      <c r="O33">
        <f t="shared" si="4"/>
        <v>2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>
        <f t="shared" si="27"/>
        <v>45</v>
      </c>
      <c r="T33">
        <f t="shared" ca="1" si="28"/>
        <v>-5.342186999999285</v>
      </c>
      <c r="U33">
        <f t="shared" ca="1" si="29"/>
        <v>19.090017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>
        <f>GetFollowingCarRow($B$45:$E$54,L33,$E$15,E33)</f>
        <v>45</v>
      </c>
      <c r="Z33">
        <f t="shared" ca="1" si="33"/>
        <v>-22.762186999999358</v>
      </c>
      <c r="AA33">
        <f t="shared" ca="1" si="34"/>
        <v>19.090017</v>
      </c>
      <c r="AB33">
        <f t="shared" si="35"/>
        <v>2.8699999999999997</v>
      </c>
      <c r="AC33">
        <f t="shared" si="36"/>
        <v>17.420000000000073</v>
      </c>
      <c r="AD33">
        <f t="shared" si="37"/>
        <v>841.2813834672753</v>
      </c>
      <c r="AE33">
        <f t="shared" si="38"/>
        <v>-14655.121699999998</v>
      </c>
      <c r="AF33">
        <f t="shared" si="39"/>
        <v>17.654837863883159</v>
      </c>
      <c r="AG33">
        <f>GetSmallestNormalDistance($B$45:$E$54,AB33,AC33,AF33,$L$15,L33)</f>
        <v>810.48870347613274</v>
      </c>
      <c r="AH33">
        <f t="shared" si="6"/>
        <v>0.40532130868946298</v>
      </c>
      <c r="AI33">
        <f>IF(G33&lt;=0,1,0)</f>
        <v>0</v>
      </c>
      <c r="AJ33">
        <f>IF(G33&lt;0,1,0)</f>
        <v>0</v>
      </c>
      <c r="AK33">
        <f>MAX(($B$3-G33)/(G33 + 1),0) / $B$3</f>
        <v>2.0127398868144047E-2</v>
      </c>
      <c r="AL33">
        <f>IF(H33+ABS(K33)&lt;0,Logistic(SQRT(H33^2+K33^2)/$B$4),0)</f>
        <v>0</v>
      </c>
      <c r="AM33">
        <f>IF(G33&gt;$B$3,1,0)</f>
        <v>0</v>
      </c>
      <c r="AN33">
        <f>IF(H33&gt;$B$4,1,0)</f>
        <v>0</v>
      </c>
      <c r="AO33">
        <f>ABS(H33)/$B$4</f>
        <v>8.1250000000000003E-2</v>
      </c>
      <c r="AP33">
        <f>Logistic(I33/$B$5)</f>
        <v>3.8730616459863913E-2</v>
      </c>
      <c r="AQ33">
        <f>IF(I33&gt;$B$5,1,0)</f>
        <v>0</v>
      </c>
      <c r="AR33">
        <f>Logistic(ABS(F33-O33)/($B$6/2))</f>
        <v>0.22839928555379033</v>
      </c>
      <c r="AS33">
        <f>IF(OR(F33&lt;M33,F33&gt;N33),1,0)</f>
        <v>0</v>
      </c>
      <c r="AT33">
        <f>ABS(K33)/$B$4</f>
        <v>0.12375</v>
      </c>
      <c r="AU33">
        <f t="shared" ca="1" si="40"/>
        <v>0</v>
      </c>
      <c r="AV33">
        <f ca="1">IF(AND(L33&lt;&gt;$L$15,$Q$15&gt;Safety_Distance),1,0)</f>
        <v>0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0.88181046664206608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0.49641368605473468</v>
      </c>
      <c r="BA33">
        <f t="shared" ca="1" si="41"/>
        <v>0</v>
      </c>
      <c r="BB33">
        <f t="shared" ca="1" si="42"/>
        <v>0</v>
      </c>
      <c r="BC33">
        <f t="shared" si="43"/>
        <v>0</v>
      </c>
      <c r="BE33">
        <f t="shared" si="7"/>
        <v>0.40532130868946298</v>
      </c>
      <c r="BF33">
        <f t="shared" si="44"/>
        <v>0</v>
      </c>
      <c r="BG33">
        <f t="shared" si="45"/>
        <v>0</v>
      </c>
      <c r="BH33">
        <f t="shared" si="8"/>
        <v>0.21036355269568313</v>
      </c>
      <c r="BI33">
        <f t="shared" si="9"/>
        <v>0</v>
      </c>
      <c r="BJ33">
        <f t="shared" si="10"/>
        <v>0</v>
      </c>
      <c r="BK33">
        <f t="shared" si="11"/>
        <v>1.2278113047340515E-5</v>
      </c>
      <c r="BL33">
        <f t="shared" si="46"/>
        <v>0</v>
      </c>
      <c r="BM33">
        <f t="shared" si="12"/>
        <v>6.7685355676739947E-6</v>
      </c>
      <c r="BN33">
        <f t="shared" si="13"/>
        <v>0</v>
      </c>
      <c r="BO33">
        <f t="shared" si="14"/>
        <v>0.12375</v>
      </c>
      <c r="BP33">
        <f t="shared" si="15"/>
        <v>4.0602665704295521E-2</v>
      </c>
      <c r="BQ33">
        <f t="shared" si="16"/>
        <v>0.2243278315271684</v>
      </c>
    </row>
    <row r="34" spans="1:69" x14ac:dyDescent="0.25">
      <c r="A34" s="1" t="s">
        <v>39</v>
      </c>
      <c r="B34">
        <f t="shared" ca="1" si="2"/>
        <v>48.450340276757828</v>
      </c>
      <c r="C34" t="s">
        <v>404</v>
      </c>
      <c r="D34">
        <f t="shared" si="17"/>
        <v>100</v>
      </c>
      <c r="E34">
        <f t="shared" si="18"/>
        <v>5084.0600000000004</v>
      </c>
      <c r="F34">
        <f t="shared" si="19"/>
        <v>2.99</v>
      </c>
      <c r="G34">
        <f t="shared" si="20"/>
        <v>4.32</v>
      </c>
      <c r="H34">
        <f t="shared" si="21"/>
        <v>-4.62</v>
      </c>
      <c r="I34">
        <f t="shared" si="22"/>
        <v>4.59</v>
      </c>
      <c r="J34">
        <f t="shared" si="23"/>
        <v>1.3</v>
      </c>
      <c r="K34">
        <f t="shared" si="24"/>
        <v>2.2200000000000002</v>
      </c>
      <c r="L34">
        <f t="shared" si="3"/>
        <v>1</v>
      </c>
      <c r="M34">
        <f t="shared" si="0"/>
        <v>0</v>
      </c>
      <c r="N34">
        <f t="shared" si="1"/>
        <v>4</v>
      </c>
      <c r="O34">
        <f t="shared" si="4"/>
        <v>2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>
        <f t="shared" si="27"/>
        <v>45</v>
      </c>
      <c r="T34">
        <f t="shared" ca="1" si="28"/>
        <v>-5.342186999999285</v>
      </c>
      <c r="U34">
        <f t="shared" ca="1" si="29"/>
        <v>19.090017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>
        <f>GetFollowingCarRow($B$45:$E$54,L34,$E$15,E34)</f>
        <v>45</v>
      </c>
      <c r="Z34">
        <f t="shared" ca="1" si="33"/>
        <v>-18.292187000000013</v>
      </c>
      <c r="AA34">
        <f t="shared" ca="1" si="34"/>
        <v>19.090017</v>
      </c>
      <c r="AB34">
        <f t="shared" si="35"/>
        <v>2.8099999999999996</v>
      </c>
      <c r="AC34">
        <f t="shared" si="36"/>
        <v>12.950000000000728</v>
      </c>
      <c r="AD34">
        <f t="shared" si="37"/>
        <v>1106.1721312740692</v>
      </c>
      <c r="AE34">
        <f t="shared" si="38"/>
        <v>-14324.929100000001</v>
      </c>
      <c r="AF34">
        <f t="shared" si="39"/>
        <v>13.251362194130039</v>
      </c>
      <c r="AG34">
        <f>GetSmallestNormalDistance($B$45:$E$54,AB34,AC34,AF34,$L$15,L34)</f>
        <v>1055.1581364453036</v>
      </c>
      <c r="AH34">
        <f t="shared" si="6"/>
        <v>0.46211715726000974</v>
      </c>
      <c r="AI34">
        <f>IF(G34&lt;=0,1,0)</f>
        <v>0</v>
      </c>
      <c r="AJ34">
        <f>IF(G34&lt;0,1,0)</f>
        <v>0</v>
      </c>
      <c r="AK34">
        <f>MAX(($B$3-G34)/(G34 + 1),0) / $B$3</f>
        <v>0.14970272051476474</v>
      </c>
      <c r="AL34">
        <f>IF(H34+ABS(K34)&lt;0,Logistic(SQRT(H34^2+K34^2)/$B$4),0)</f>
        <v>0.30982900618157194</v>
      </c>
      <c r="AM34">
        <f>IF(G34&gt;$B$3,1,0)</f>
        <v>0</v>
      </c>
      <c r="AN34">
        <f>IF(H34&gt;$B$4,1,0)</f>
        <v>0</v>
      </c>
      <c r="AO34">
        <f>ABS(H34)/$B$4</f>
        <v>0.57750000000000001</v>
      </c>
      <c r="AP34">
        <f>Logistic(I34/$B$5)</f>
        <v>0.27925603406833571</v>
      </c>
      <c r="AQ34">
        <f>IF(I34&gt;$B$5,1,0)</f>
        <v>0</v>
      </c>
      <c r="AR34">
        <f>Logistic(ABS(F34-O34)/($B$6/2))</f>
        <v>0.2425671903821357</v>
      </c>
      <c r="AS34">
        <f>IF(OR(F34&lt;M34,F34&gt;N34),1,0)</f>
        <v>0</v>
      </c>
      <c r="AT34">
        <f>ABS(K34)/$B$4</f>
        <v>0.27750000000000002</v>
      </c>
      <c r="AU34">
        <f t="shared" ca="1" si="40"/>
        <v>0</v>
      </c>
      <c r="AV34">
        <f ca="1">IF(AND(L34&lt;&gt;$L$15,$Q$15&gt;Safety_Distance),1,0)</f>
        <v>0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0.96383086762866088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0.87615324342551526</v>
      </c>
      <c r="BA34">
        <f t="shared" ca="1" si="41"/>
        <v>0</v>
      </c>
      <c r="BB34">
        <f t="shared" ca="1" si="42"/>
        <v>0</v>
      </c>
      <c r="BC34">
        <f t="shared" si="43"/>
        <v>0</v>
      </c>
      <c r="BE34">
        <f t="shared" si="7"/>
        <v>0.46211715726000974</v>
      </c>
      <c r="BF34">
        <f t="shared" si="44"/>
        <v>0</v>
      </c>
      <c r="BG34">
        <f t="shared" si="45"/>
        <v>0</v>
      </c>
      <c r="BH34">
        <f t="shared" si="8"/>
        <v>0.91989532507169114</v>
      </c>
      <c r="BI34">
        <f t="shared" si="9"/>
        <v>0</v>
      </c>
      <c r="BJ34">
        <f t="shared" si="10"/>
        <v>0</v>
      </c>
      <c r="BK34">
        <f t="shared" si="11"/>
        <v>0.48113771908108494</v>
      </c>
      <c r="BL34">
        <f t="shared" si="46"/>
        <v>1</v>
      </c>
      <c r="BM34">
        <f t="shared" si="12"/>
        <v>0.47572306514275636</v>
      </c>
      <c r="BN34">
        <f t="shared" si="13"/>
        <v>0</v>
      </c>
      <c r="BO34">
        <f t="shared" si="14"/>
        <v>0.27750000000000002</v>
      </c>
      <c r="BP34">
        <f t="shared" si="15"/>
        <v>0.28098390744667717</v>
      </c>
      <c r="BQ34">
        <f t="shared" si="16"/>
        <v>0.96078485319163043</v>
      </c>
    </row>
    <row r="35" spans="1:69" x14ac:dyDescent="0.25">
      <c r="A35" s="1" t="s">
        <v>82</v>
      </c>
      <c r="B35">
        <f t="shared" ca="1" si="2"/>
        <v>14.383727303872284</v>
      </c>
      <c r="C35" t="s">
        <v>403</v>
      </c>
      <c r="D35">
        <f t="shared" si="17"/>
        <v>102</v>
      </c>
      <c r="E35">
        <f t="shared" si="18"/>
        <v>5091.7299999999996</v>
      </c>
      <c r="F35">
        <f t="shared" si="19"/>
        <v>2.98</v>
      </c>
      <c r="G35">
        <f t="shared" si="20"/>
        <v>15.24</v>
      </c>
      <c r="H35">
        <f t="shared" si="21"/>
        <v>-0.31</v>
      </c>
      <c r="I35">
        <f t="shared" si="22"/>
        <v>0.28000000000000003</v>
      </c>
      <c r="J35">
        <f t="shared" si="23"/>
        <v>2.95</v>
      </c>
      <c r="K35">
        <f t="shared" si="24"/>
        <v>0.56000000000000005</v>
      </c>
      <c r="L35">
        <f t="shared" si="3"/>
        <v>1</v>
      </c>
      <c r="M35">
        <f t="shared" si="0"/>
        <v>0</v>
      </c>
      <c r="N35">
        <f t="shared" si="1"/>
        <v>4</v>
      </c>
      <c r="O35">
        <f t="shared" si="4"/>
        <v>2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>
        <f t="shared" si="27"/>
        <v>45</v>
      </c>
      <c r="T35">
        <f t="shared" ca="1" si="28"/>
        <v>-5.342186999999285</v>
      </c>
      <c r="U35">
        <f t="shared" ca="1" si="29"/>
        <v>19.090017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>
        <f>GetFollowingCarRow($B$45:$E$54,L35,$E$15,E35)</f>
        <v>45</v>
      </c>
      <c r="Z35">
        <f t="shared" ca="1" si="33"/>
        <v>-25.962186999999176</v>
      </c>
      <c r="AA35">
        <f t="shared" ca="1" si="34"/>
        <v>19.090017</v>
      </c>
      <c r="AB35">
        <f t="shared" si="35"/>
        <v>2.82</v>
      </c>
      <c r="AC35">
        <f t="shared" si="36"/>
        <v>20.619999999999891</v>
      </c>
      <c r="AD35">
        <f t="shared" si="37"/>
        <v>699.32716779825773</v>
      </c>
      <c r="AE35">
        <f t="shared" si="38"/>
        <v>-14420.126199999999</v>
      </c>
      <c r="AF35">
        <f t="shared" si="39"/>
        <v>20.811938881324718</v>
      </c>
      <c r="AG35">
        <f>GetSmallestNormalDistance($B$45:$E$54,AB35,AC35,AF35,$L$15,L35)</f>
        <v>676.69468135510726</v>
      </c>
      <c r="AH35">
        <f t="shared" si="6"/>
        <v>0.477700012168498</v>
      </c>
      <c r="AI35">
        <f>IF(G35&lt;=0,1,0)</f>
        <v>0</v>
      </c>
      <c r="AJ35">
        <f>IF(G35&lt;0,1,0)</f>
        <v>0</v>
      </c>
      <c r="AK35">
        <f>MAX(($B$3-G35)/(G35 + 1),0) / $B$3</f>
        <v>1.7352808717493947E-2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3.875E-2</v>
      </c>
      <c r="AP35">
        <f>Logistic(I35/$B$5)</f>
        <v>1.7498213760480698E-2</v>
      </c>
      <c r="AQ35">
        <f>IF(I35&gt;$B$5,1,0)</f>
        <v>0</v>
      </c>
      <c r="AR35">
        <f>Logistic(ABS(F35-O35)/($B$6/2))</f>
        <v>0.24021286468618022</v>
      </c>
      <c r="AS35">
        <f>IF(OR(F35&lt;M35,F35&gt;N35),1,0)</f>
        <v>0</v>
      </c>
      <c r="AT35">
        <f>ABS(K35)/$B$4</f>
        <v>7.0000000000000007E-2</v>
      </c>
      <c r="AU35">
        <f t="shared" ca="1" si="40"/>
        <v>0</v>
      </c>
      <c r="AV35">
        <f ca="1">IF(AND(L35&lt;&gt;$L$15,$Q$15&gt;Safety_Distance),1,0)</f>
        <v>0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0.86124250879933029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0.32566045812267375</v>
      </c>
      <c r="BA35">
        <f t="shared" ca="1" si="41"/>
        <v>0</v>
      </c>
      <c r="BB35">
        <f t="shared" ca="1" si="42"/>
        <v>0</v>
      </c>
      <c r="BC35">
        <f t="shared" si="43"/>
        <v>0</v>
      </c>
      <c r="BE35">
        <f t="shared" si="7"/>
        <v>0.477700012168498</v>
      </c>
      <c r="BF35">
        <f t="shared" si="44"/>
        <v>0</v>
      </c>
      <c r="BG35">
        <f t="shared" si="45"/>
        <v>0</v>
      </c>
      <c r="BH35">
        <f t="shared" si="8"/>
        <v>0.18206078661572508</v>
      </c>
      <c r="BI35">
        <f t="shared" si="9"/>
        <v>0</v>
      </c>
      <c r="BJ35">
        <f t="shared" si="10"/>
        <v>0</v>
      </c>
      <c r="BK35">
        <f t="shared" si="11"/>
        <v>1.6853687962457718E-11</v>
      </c>
      <c r="BL35">
        <f t="shared" si="46"/>
        <v>0</v>
      </c>
      <c r="BM35">
        <f t="shared" si="12"/>
        <v>1.0614039835354194E-12</v>
      </c>
      <c r="BN35">
        <f t="shared" si="13"/>
        <v>0</v>
      </c>
      <c r="BO35">
        <f t="shared" si="14"/>
        <v>7.0000000000000007E-2</v>
      </c>
      <c r="BP35">
        <f t="shared" si="15"/>
        <v>1.9372575966196733E-2</v>
      </c>
      <c r="BQ35">
        <f t="shared" si="16"/>
        <v>0.19371507578074137</v>
      </c>
    </row>
    <row r="36" spans="1:69" x14ac:dyDescent="0.25">
      <c r="A36" s="1" t="s">
        <v>83</v>
      </c>
      <c r="B36">
        <f t="shared" ca="1" si="2"/>
        <v>16.123805417661046</v>
      </c>
      <c r="C36" t="s">
        <v>402</v>
      </c>
      <c r="D36">
        <f t="shared" si="17"/>
        <v>94</v>
      </c>
      <c r="E36">
        <f t="shared" si="18"/>
        <v>5088.3900000000003</v>
      </c>
      <c r="F36">
        <f t="shared" si="19"/>
        <v>2.97</v>
      </c>
      <c r="G36">
        <f t="shared" si="20"/>
        <v>13.81</v>
      </c>
      <c r="H36">
        <f t="shared" si="21"/>
        <v>-0.98</v>
      </c>
      <c r="I36">
        <f t="shared" si="22"/>
        <v>0.94</v>
      </c>
      <c r="J36">
        <f t="shared" si="23"/>
        <v>3.17</v>
      </c>
      <c r="K36">
        <f t="shared" si="24"/>
        <v>0.99</v>
      </c>
      <c r="L36">
        <f t="shared" si="3"/>
        <v>1</v>
      </c>
      <c r="M36">
        <f t="shared" si="0"/>
        <v>0</v>
      </c>
      <c r="N36">
        <f t="shared" si="1"/>
        <v>4</v>
      </c>
      <c r="O36">
        <f t="shared" si="4"/>
        <v>2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>
        <f t="shared" si="27"/>
        <v>45</v>
      </c>
      <c r="T36">
        <f t="shared" ca="1" si="28"/>
        <v>-5.342186999999285</v>
      </c>
      <c r="U36">
        <f t="shared" ca="1" si="29"/>
        <v>19.090017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>
        <f>GetFollowingCarRow($B$45:$E$54,L36,$E$15,E36)</f>
        <v>45</v>
      </c>
      <c r="Z36">
        <f t="shared" ca="1" si="33"/>
        <v>-22.62218699999994</v>
      </c>
      <c r="AA36">
        <f t="shared" ca="1" si="34"/>
        <v>19.090017</v>
      </c>
      <c r="AB36">
        <f t="shared" si="35"/>
        <v>2.8299999999999996</v>
      </c>
      <c r="AC36">
        <f t="shared" si="36"/>
        <v>17.280000000000655</v>
      </c>
      <c r="AD36">
        <f t="shared" si="37"/>
        <v>836.31164930552393</v>
      </c>
      <c r="AE36">
        <f t="shared" si="38"/>
        <v>-14451.465300000002</v>
      </c>
      <c r="AF36">
        <f t="shared" si="39"/>
        <v>17.510205595595462</v>
      </c>
      <c r="AG36">
        <f>GetSmallestNormalDistance($B$45:$E$54,AB36,AC36,AF36,$L$15,L36)</f>
        <v>805.83342162294923</v>
      </c>
      <c r="AH36">
        <f t="shared" si="6"/>
        <v>0.41364444218713514</v>
      </c>
      <c r="AI36">
        <f>IF(G36&lt;=0,1,0)</f>
        <v>0</v>
      </c>
      <c r="AJ36">
        <f>IF(G36&lt;0,1,0)</f>
        <v>0</v>
      </c>
      <c r="AK36">
        <f>MAX(($B$3-G36)/(G36 + 1),0) / $B$3</f>
        <v>2.3578586697604143E-2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0.1225</v>
      </c>
      <c r="AP36">
        <f>Logistic(I36/$B$5)</f>
        <v>5.8682500091571284E-2</v>
      </c>
      <c r="AQ36">
        <f>IF(I36&gt;$B$5,1,0)</f>
        <v>0</v>
      </c>
      <c r="AR36">
        <f>Logistic(ABS(F36-O36)/($B$6/2))</f>
        <v>0.23785570960038072</v>
      </c>
      <c r="AS36">
        <f>IF(OR(F36&lt;M36,F36&gt;N36),1,0)</f>
        <v>0</v>
      </c>
      <c r="AT36">
        <f>ABS(K36)/$B$4</f>
        <v>0.12375</v>
      </c>
      <c r="AU36">
        <f t="shared" ca="1" si="40"/>
        <v>0</v>
      </c>
      <c r="AV36">
        <f ca="1">IF(AND(L36&lt;&gt;$L$15,$Q$15&gt;Safety_Distance),1,0)</f>
        <v>0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0.89882254166986042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0.57155086811273637</v>
      </c>
      <c r="BA36">
        <f t="shared" ca="1" si="41"/>
        <v>0</v>
      </c>
      <c r="BB36">
        <f t="shared" ca="1" si="42"/>
        <v>0</v>
      </c>
      <c r="BC36">
        <f t="shared" si="43"/>
        <v>0</v>
      </c>
      <c r="BE36">
        <f t="shared" si="7"/>
        <v>0.41364444218713514</v>
      </c>
      <c r="BF36">
        <f t="shared" si="44"/>
        <v>0</v>
      </c>
      <c r="BG36">
        <f t="shared" si="45"/>
        <v>0</v>
      </c>
      <c r="BH36">
        <f t="shared" si="8"/>
        <v>0.2450773349185669</v>
      </c>
      <c r="BI36">
        <f t="shared" si="9"/>
        <v>0</v>
      </c>
      <c r="BJ36">
        <f t="shared" si="10"/>
        <v>0</v>
      </c>
      <c r="BK36">
        <f t="shared" si="11"/>
        <v>7.7452137028712997E-4</v>
      </c>
      <c r="BL36">
        <f t="shared" si="46"/>
        <v>0</v>
      </c>
      <c r="BM36">
        <f t="shared" si="12"/>
        <v>5.4723168039542177E-4</v>
      </c>
      <c r="BN36">
        <f t="shared" si="13"/>
        <v>0</v>
      </c>
      <c r="BO36">
        <f t="shared" si="14"/>
        <v>0.12375</v>
      </c>
      <c r="BP36">
        <f t="shared" si="15"/>
        <v>6.1173520364161939E-2</v>
      </c>
      <c r="BQ36">
        <f t="shared" si="16"/>
        <v>0.26202723546334233</v>
      </c>
    </row>
    <row r="37" spans="1:69" x14ac:dyDescent="0.25">
      <c r="A37" s="1" t="s">
        <v>84</v>
      </c>
      <c r="B37">
        <f t="shared" ca="1" si="2"/>
        <v>111.90275014080376</v>
      </c>
      <c r="C37" t="s">
        <v>401</v>
      </c>
      <c r="D37">
        <f t="shared" si="17"/>
        <v>111</v>
      </c>
      <c r="E37">
        <f t="shared" si="18"/>
        <v>5084.05</v>
      </c>
      <c r="F37">
        <f t="shared" si="19"/>
        <v>3</v>
      </c>
      <c r="G37">
        <f t="shared" si="20"/>
        <v>1.33</v>
      </c>
      <c r="H37">
        <f t="shared" si="21"/>
        <v>-4.9400000000000004</v>
      </c>
      <c r="I37">
        <f t="shared" si="22"/>
        <v>4.91</v>
      </c>
      <c r="J37">
        <f t="shared" si="23"/>
        <v>0.4</v>
      </c>
      <c r="K37">
        <f t="shared" si="24"/>
        <v>2.2200000000000002</v>
      </c>
      <c r="L37">
        <f t="shared" si="3"/>
        <v>1</v>
      </c>
      <c r="M37">
        <f t="shared" si="0"/>
        <v>0</v>
      </c>
      <c r="N37">
        <f t="shared" si="1"/>
        <v>4</v>
      </c>
      <c r="O37">
        <f t="shared" si="4"/>
        <v>2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>
        <f t="shared" si="27"/>
        <v>45</v>
      </c>
      <c r="T37">
        <f t="shared" ca="1" si="28"/>
        <v>-5.342186999999285</v>
      </c>
      <c r="U37">
        <f t="shared" ca="1" si="29"/>
        <v>19.090017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>
        <f>GetFollowingCarRow($B$45:$E$54,L37,$E$15,E37)</f>
        <v>45</v>
      </c>
      <c r="Z37">
        <f t="shared" ca="1" si="33"/>
        <v>-18.282186999999794</v>
      </c>
      <c r="AA37">
        <f t="shared" ca="1" si="34"/>
        <v>19.090017</v>
      </c>
      <c r="AB37">
        <f t="shared" si="35"/>
        <v>2.8</v>
      </c>
      <c r="AC37">
        <f t="shared" si="36"/>
        <v>12.940000000000509</v>
      </c>
      <c r="AD37">
        <f t="shared" si="37"/>
        <v>1103.1035548685811</v>
      </c>
      <c r="AE37">
        <f t="shared" si="38"/>
        <v>-14274.160000000002</v>
      </c>
      <c r="AF37">
        <f t="shared" si="39"/>
        <v>13.239471288537665</v>
      </c>
      <c r="AG37">
        <f>GetSmallestNormalDistance($B$45:$E$54,AB37,AC37,AF37,$L$15,L37)</f>
        <v>1052.3657683175438</v>
      </c>
      <c r="AH37">
        <f t="shared" si="6"/>
        <v>0.54412709885356747</v>
      </c>
      <c r="AI37">
        <f>IF(G37&lt;=0,1,0)</f>
        <v>0</v>
      </c>
      <c r="AJ37">
        <f>IF(G37&lt;0,1,0)</f>
        <v>0</v>
      </c>
      <c r="AK37">
        <f>MAX(($B$3-G37)/(G37 + 1),0) / $B$3</f>
        <v>0.40228466949553626</v>
      </c>
      <c r="AL37">
        <f>IF(H37+ABS(K37)&lt;0,Logistic(SQRT(H37^2+K37^2)/$B$4),0)</f>
        <v>0.32613215482598551</v>
      </c>
      <c r="AM37">
        <f>IF(G37&gt;$B$3,1,0)</f>
        <v>0</v>
      </c>
      <c r="AN37">
        <f>IF(H37&gt;$B$4,1,0)</f>
        <v>0</v>
      </c>
      <c r="AO37">
        <f>ABS(H37)/$B$4</f>
        <v>0.61750000000000005</v>
      </c>
      <c r="AP37">
        <f>Logistic(I37/$B$5)</f>
        <v>0.2975915049352641</v>
      </c>
      <c r="AQ37">
        <f>IF(I37&gt;$B$5,1,0)</f>
        <v>0</v>
      </c>
      <c r="AR37">
        <f>Logistic(ABS(F37-O37)/($B$6/2))</f>
        <v>0.24491866240370913</v>
      </c>
      <c r="AS37">
        <f>IF(OR(F37&lt;M37,F37&gt;N37),1,0)</f>
        <v>0</v>
      </c>
      <c r="AT37">
        <f>ABS(K37)/$B$4</f>
        <v>0.27750000000000002</v>
      </c>
      <c r="AU37">
        <f t="shared" ca="1" si="40"/>
        <v>0</v>
      </c>
      <c r="AV37">
        <f ca="1">IF(AND(L37&lt;&gt;$L$15,$Q$15&gt;Safety_Distance),1,0)</f>
        <v>0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0.96992014703589935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0.8970598564179314</v>
      </c>
      <c r="BA37">
        <f t="shared" ca="1" si="41"/>
        <v>0</v>
      </c>
      <c r="BB37">
        <f t="shared" ca="1" si="42"/>
        <v>0</v>
      </c>
      <c r="BC37">
        <f t="shared" si="43"/>
        <v>0</v>
      </c>
      <c r="BE37">
        <f t="shared" si="7"/>
        <v>0.54412709885356747</v>
      </c>
      <c r="BF37">
        <f t="shared" si="44"/>
        <v>0</v>
      </c>
      <c r="BG37">
        <f t="shared" si="45"/>
        <v>0</v>
      </c>
      <c r="BH37">
        <f t="shared" si="8"/>
        <v>0.99960771803032511</v>
      </c>
      <c r="BI37">
        <f t="shared" si="9"/>
        <v>0</v>
      </c>
      <c r="BJ37">
        <f t="shared" si="10"/>
        <v>0</v>
      </c>
      <c r="BK37">
        <f t="shared" si="11"/>
        <v>0.53824943180050788</v>
      </c>
      <c r="BL37">
        <f t="shared" si="46"/>
        <v>1</v>
      </c>
      <c r="BM37">
        <f t="shared" si="12"/>
        <v>0.53294987508008695</v>
      </c>
      <c r="BN37">
        <f t="shared" si="13"/>
        <v>0</v>
      </c>
      <c r="BO37">
        <f t="shared" si="14"/>
        <v>0.27750000000000002</v>
      </c>
      <c r="BP37">
        <f t="shared" si="15"/>
        <v>0.29929949858081756</v>
      </c>
      <c r="BQ37">
        <f t="shared" si="16"/>
        <v>0.99999935996332501</v>
      </c>
    </row>
    <row r="38" spans="1:69" x14ac:dyDescent="0.25">
      <c r="A38" s="1" t="s">
        <v>19</v>
      </c>
      <c r="B38">
        <f t="shared" ca="1" si="2"/>
        <v>14.383727303872284</v>
      </c>
      <c r="C38" t="s">
        <v>400</v>
      </c>
      <c r="D38">
        <f t="shared" si="17"/>
        <v>102</v>
      </c>
      <c r="E38">
        <f t="shared" si="18"/>
        <v>5091.74</v>
      </c>
      <c r="F38">
        <f t="shared" si="19"/>
        <v>2.98</v>
      </c>
      <c r="G38">
        <f t="shared" si="20"/>
        <v>15.24</v>
      </c>
      <c r="H38">
        <f t="shared" si="21"/>
        <v>-0.31</v>
      </c>
      <c r="I38">
        <f t="shared" si="22"/>
        <v>0.28000000000000003</v>
      </c>
      <c r="J38">
        <f t="shared" si="23"/>
        <v>2.95</v>
      </c>
      <c r="K38">
        <f t="shared" si="24"/>
        <v>0.56000000000000005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>
        <f t="shared" si="27"/>
        <v>45</v>
      </c>
      <c r="T38">
        <f t="shared" ca="1" si="28"/>
        <v>-5.342186999999285</v>
      </c>
      <c r="U38">
        <f t="shared" ca="1" si="29"/>
        <v>19.090017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>
        <f>GetFollowingCarRow($B$45:$E$54,L38,$E$15,E38)</f>
        <v>45</v>
      </c>
      <c r="Z38">
        <f t="shared" ca="1" si="33"/>
        <v>-25.972186999999394</v>
      </c>
      <c r="AA38">
        <f t="shared" ca="1" si="34"/>
        <v>19.090017</v>
      </c>
      <c r="AB38">
        <f t="shared" si="35"/>
        <v>2.82</v>
      </c>
      <c r="AC38">
        <f t="shared" si="36"/>
        <v>20.630000000000109</v>
      </c>
      <c r="AD38">
        <f t="shared" si="37"/>
        <v>698.99099369849364</v>
      </c>
      <c r="AE38">
        <f t="shared" si="38"/>
        <v>-14420.1842</v>
      </c>
      <c r="AF38">
        <f t="shared" si="39"/>
        <v>20.821846700040908</v>
      </c>
      <c r="AG38">
        <f>GetSmallestNormalDistance($B$45:$E$54,AB38,AC38,AF38,$L$15,L38)</f>
        <v>676.37591532514409</v>
      </c>
      <c r="AH38">
        <f>Logistic((D38-$B$2)/$B$2)</f>
        <v>0.477700012168498</v>
      </c>
      <c r="AI38">
        <f>IF(G38&lt;=0,1,0)</f>
        <v>0</v>
      </c>
      <c r="AJ38">
        <f>IF(G38&lt;0,1,0)</f>
        <v>0</v>
      </c>
      <c r="AK38">
        <f>MAX(($B$3-G38)/(G38 + 1),0) / $B$3</f>
        <v>1.7352808717493947E-2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3.875E-2</v>
      </c>
      <c r="AP38">
        <f>Logistic(I38/$B$5)</f>
        <v>1.7498213760480698E-2</v>
      </c>
      <c r="AQ38">
        <f>IF(I38&gt;$B$5,1,0)</f>
        <v>0</v>
      </c>
      <c r="AR38">
        <f>Logistic(ABS(F38-O38)/($B$6/2))</f>
        <v>0.24021286468618022</v>
      </c>
      <c r="AS38">
        <f>IF(OR(F38&lt;M38,F38&gt;N38),1,0)</f>
        <v>0</v>
      </c>
      <c r="AT38">
        <f>ABS(K38)/$B$4</f>
        <v>7.0000000000000007E-2</v>
      </c>
      <c r="AU38">
        <f t="shared" ca="1" si="40"/>
        <v>0</v>
      </c>
      <c r="AV38">
        <f ca="1">IF(AND(L38&lt;&gt;$L$15,$Q$15&gt;Safety_Distance),1,0)</f>
        <v>0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0.86124250879933029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0.32540071900982781</v>
      </c>
      <c r="BA38">
        <f t="shared" ca="1" si="41"/>
        <v>0</v>
      </c>
      <c r="BB38">
        <f t="shared" ca="1" si="42"/>
        <v>0</v>
      </c>
      <c r="BC38">
        <f t="shared" si="43"/>
        <v>0</v>
      </c>
      <c r="BE38">
        <f>Logistic((D38-$B$2)/$B$2)</f>
        <v>0.477700012168498</v>
      </c>
      <c r="BF38">
        <f t="shared" si="44"/>
        <v>0</v>
      </c>
      <c r="BG38">
        <f t="shared" si="45"/>
        <v>0</v>
      </c>
      <c r="BH38">
        <f>Logistic(($B$3-G38)/(G38+1))</f>
        <v>0.18206078661572508</v>
      </c>
      <c r="BI38">
        <f>IF(G38&gt;$B$3,1,0)</f>
        <v>0</v>
      </c>
      <c r="BJ38">
        <f>IF(H38&gt;$B$5,1,0)</f>
        <v>0</v>
      </c>
      <c r="BK38">
        <f>EXP(-($B$4-ABS(H38))/MAX(ABS(H38),0.000000001))</f>
        <v>1.6853687962457718E-11</v>
      </c>
      <c r="BL38">
        <f t="shared" si="46"/>
        <v>0</v>
      </c>
      <c r="BM38">
        <f>EXP(-($B$5-I38)/MAX(I38,0.000000001))</f>
        <v>1.0614039835354194E-12</v>
      </c>
      <c r="BN38">
        <f>IF(F38&gt;N38,(F38-N38)/$B$6,0)+IF(F38&lt;M38,(M38-F38)/$B$6,0)</f>
        <v>0</v>
      </c>
      <c r="BO38">
        <f>ABS(K38/$B$4)</f>
        <v>7.0000000000000007E-2</v>
      </c>
      <c r="BP38">
        <f>Logistic(ABS(H38)/$B$4)</f>
        <v>1.9372575966196733E-2</v>
      </c>
      <c r="BQ38">
        <f>Logistic(($B$3-G38)/G38)</f>
        <v>0.19371507578074137</v>
      </c>
    </row>
    <row r="39" spans="1:69" x14ac:dyDescent="0.25">
      <c r="A39" s="1" t="s">
        <v>18</v>
      </c>
      <c r="B39">
        <f t="shared" ca="1" si="2"/>
        <v>16.123805417661046</v>
      </c>
      <c r="C39" t="s">
        <v>399</v>
      </c>
      <c r="D39">
        <f t="shared" si="17"/>
        <v>94</v>
      </c>
      <c r="E39">
        <f t="shared" si="18"/>
        <v>5088.3900000000003</v>
      </c>
      <c r="F39">
        <f t="shared" si="19"/>
        <v>2.97</v>
      </c>
      <c r="G39">
        <f t="shared" si="20"/>
        <v>13.81</v>
      </c>
      <c r="H39">
        <f t="shared" si="21"/>
        <v>-0.97</v>
      </c>
      <c r="I39">
        <f t="shared" si="22"/>
        <v>0.94</v>
      </c>
      <c r="J39">
        <f t="shared" si="23"/>
        <v>3.17</v>
      </c>
      <c r="K39">
        <f t="shared" si="24"/>
        <v>0.99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>
        <f t="shared" si="27"/>
        <v>45</v>
      </c>
      <c r="T39">
        <f t="shared" ca="1" si="28"/>
        <v>-5.342186999999285</v>
      </c>
      <c r="U39">
        <f t="shared" ca="1" si="29"/>
        <v>19.090017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>
        <f>GetFollowingCarRow($B$45:$E$54,L39,$E$15,E39)</f>
        <v>45</v>
      </c>
      <c r="Z39">
        <f t="shared" ca="1" si="33"/>
        <v>-22.62218699999994</v>
      </c>
      <c r="AA39">
        <f t="shared" ca="1" si="34"/>
        <v>19.090017</v>
      </c>
      <c r="AB39">
        <f t="shared" si="35"/>
        <v>2.8299999999999996</v>
      </c>
      <c r="AC39">
        <f t="shared" si="36"/>
        <v>17.280000000000655</v>
      </c>
      <c r="AD39">
        <f t="shared" si="37"/>
        <v>836.31164930552393</v>
      </c>
      <c r="AE39">
        <f t="shared" si="38"/>
        <v>-14451.465300000002</v>
      </c>
      <c r="AF39">
        <f t="shared" si="39"/>
        <v>17.510205595595462</v>
      </c>
      <c r="AG39">
        <f>GetSmallestNormalDistance($B$45:$E$54,AB39,AC39,AF39,$L$15,L39)</f>
        <v>805.83342162294923</v>
      </c>
      <c r="AH39">
        <f>Logistic((D39-$B$2)/$B$2)</f>
        <v>0.41364444218713514</v>
      </c>
      <c r="AI39">
        <f>IF(G39&lt;=0,1,0)</f>
        <v>0</v>
      </c>
      <c r="AJ39">
        <f>IF(G39&lt;0,1,0)</f>
        <v>0</v>
      </c>
      <c r="AK39">
        <f>MAX(($B$3-G39)/(G39 + 1),0) / $B$3</f>
        <v>2.3578586697604143E-2</v>
      </c>
      <c r="AL39">
        <f>IF(H39+ABS(K39)&lt;0,Logistic(SQRT(H39^2+K39^2)/$B$4),0)</f>
        <v>0</v>
      </c>
      <c r="AM39">
        <f>IF(G39&gt;$B$3,1,0)</f>
        <v>0</v>
      </c>
      <c r="AN39">
        <f>IF(H39&gt;$B$4,1,0)</f>
        <v>0</v>
      </c>
      <c r="AO39">
        <f>ABS(H39)/$B$4</f>
        <v>0.12125</v>
      </c>
      <c r="AP39">
        <f>Logistic(I39/$B$5)</f>
        <v>5.8682500091571284E-2</v>
      </c>
      <c r="AQ39">
        <f>IF(I39&gt;$B$5,1,0)</f>
        <v>0</v>
      </c>
      <c r="AR39">
        <f>Logistic(ABS(F39-O39)/($B$6/2))</f>
        <v>0.23785570960038072</v>
      </c>
      <c r="AS39">
        <f>IF(OR(F39&lt;M39,F39&gt;N39),1,0)</f>
        <v>0</v>
      </c>
      <c r="AT39">
        <f>ABS(K39)/$B$4</f>
        <v>0.12375</v>
      </c>
      <c r="AU39">
        <f t="shared" ca="1" si="40"/>
        <v>0</v>
      </c>
      <c r="AV39">
        <f ca="1">IF(AND(L39&lt;&gt;$L$15,$Q$15&gt;Safety_Distance),1,0)</f>
        <v>0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0.89882254166986042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0.57155086811273637</v>
      </c>
      <c r="BA39">
        <f t="shared" ca="1" si="41"/>
        <v>0</v>
      </c>
      <c r="BB39">
        <f t="shared" ca="1" si="42"/>
        <v>0</v>
      </c>
      <c r="BC39">
        <f t="shared" si="43"/>
        <v>0</v>
      </c>
      <c r="BE39">
        <f>Logistic((D39-$B$2)/$B$2)</f>
        <v>0.41364444218713514</v>
      </c>
      <c r="BF39">
        <f t="shared" si="44"/>
        <v>0</v>
      </c>
      <c r="BG39">
        <f t="shared" si="45"/>
        <v>0</v>
      </c>
      <c r="BH39">
        <f>Logistic(($B$3-G39)/(G39+1))</f>
        <v>0.2450773349185669</v>
      </c>
      <c r="BI39">
        <f>IF(G39&gt;$B$3,1,0)</f>
        <v>0</v>
      </c>
      <c r="BJ39">
        <f>IF(H39&gt;$B$5,1,0)</f>
        <v>0</v>
      </c>
      <c r="BK39">
        <f>EXP(-($B$4-ABS(H39))/MAX(ABS(H39),0.000000001))</f>
        <v>7.1200709592698702E-4</v>
      </c>
      <c r="BL39">
        <f t="shared" si="46"/>
        <v>0</v>
      </c>
      <c r="BM39">
        <f>EXP(-($B$5-I39)/MAX(I39,0.000000001))</f>
        <v>5.4723168039542177E-4</v>
      </c>
      <c r="BN39">
        <f>IF(F39&gt;N39,(F39-N39)/$B$6,0)+IF(F39&lt;M39,(M39-F39)/$B$6,0)</f>
        <v>0</v>
      </c>
      <c r="BO39">
        <f>ABS(K39/$B$4)</f>
        <v>0.12375</v>
      </c>
      <c r="BP39">
        <f>Logistic(ABS(H39)/$B$4)</f>
        <v>6.0550835512596476E-2</v>
      </c>
      <c r="BQ39">
        <f>Logistic(($B$3-G39)/G39)</f>
        <v>0.26202723546334233</v>
      </c>
    </row>
    <row r="40" spans="1:69" x14ac:dyDescent="0.25">
      <c r="A40" s="1" t="s">
        <v>17</v>
      </c>
      <c r="B40">
        <f t="shared" ca="1" si="2"/>
        <v>111.90275014080376</v>
      </c>
      <c r="C40" t="s">
        <v>398</v>
      </c>
      <c r="D40">
        <f t="shared" si="17"/>
        <v>111</v>
      </c>
      <c r="E40">
        <f t="shared" si="18"/>
        <v>5084.05</v>
      </c>
      <c r="F40">
        <f t="shared" si="19"/>
        <v>2.99</v>
      </c>
      <c r="G40">
        <f t="shared" si="20"/>
        <v>1.33</v>
      </c>
      <c r="H40">
        <f t="shared" si="21"/>
        <v>-4.9400000000000004</v>
      </c>
      <c r="I40">
        <f t="shared" si="22"/>
        <v>4.91</v>
      </c>
      <c r="J40">
        <f t="shared" si="23"/>
        <v>0.4</v>
      </c>
      <c r="K40">
        <f t="shared" si="24"/>
        <v>2.2200000000000002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>
        <f t="shared" si="27"/>
        <v>45</v>
      </c>
      <c r="T40">
        <f t="shared" ca="1" si="28"/>
        <v>-5.342186999999285</v>
      </c>
      <c r="U40">
        <f t="shared" ca="1" si="29"/>
        <v>19.090017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>
        <f>GetFollowingCarRow($B$45:$E$54,L40,$E$15,E40)</f>
        <v>45</v>
      </c>
      <c r="Z40">
        <f t="shared" ca="1" si="33"/>
        <v>-18.282186999999794</v>
      </c>
      <c r="AA40">
        <f t="shared" ca="1" si="34"/>
        <v>19.090017</v>
      </c>
      <c r="AB40">
        <f t="shared" si="35"/>
        <v>2.8099999999999996</v>
      </c>
      <c r="AC40">
        <f t="shared" si="36"/>
        <v>12.940000000000509</v>
      </c>
      <c r="AD40">
        <f t="shared" si="37"/>
        <v>1107.0224961359688</v>
      </c>
      <c r="AE40">
        <f t="shared" si="38"/>
        <v>-14324.8711</v>
      </c>
      <c r="AF40">
        <f t="shared" si="39"/>
        <v>13.241589783708495</v>
      </c>
      <c r="AG40">
        <f>GetSmallestNormalDistance($B$45:$E$54,AB40,AC40,AF40,$L$15,L40)</f>
        <v>1055.9317722183721</v>
      </c>
      <c r="AH40">
        <f>Logistic((D40-$B$2)/$B$2)</f>
        <v>0.54412709885356747</v>
      </c>
      <c r="AI40">
        <f>IF(G40&lt;=0,1,0)</f>
        <v>0</v>
      </c>
      <c r="AJ40">
        <f>IF(G40&lt;0,1,0)</f>
        <v>0</v>
      </c>
      <c r="AK40">
        <f>MAX(($B$3-G40)/(G40 + 1),0) / $B$3</f>
        <v>0.40228466949553626</v>
      </c>
      <c r="AL40">
        <f>IF(H40+ABS(K40)&lt;0,Logistic(SQRT(H40^2+K40^2)/$B$4),0)</f>
        <v>0.32613215482598551</v>
      </c>
      <c r="AM40">
        <f>IF(G40&gt;$B$3,1,0)</f>
        <v>0</v>
      </c>
      <c r="AN40">
        <f>IF(H40&gt;$B$4,1,0)</f>
        <v>0</v>
      </c>
      <c r="AO40">
        <f>ABS(H40)/$B$4</f>
        <v>0.61750000000000005</v>
      </c>
      <c r="AP40">
        <f>Logistic(I40/$B$5)</f>
        <v>0.2975915049352641</v>
      </c>
      <c r="AQ40">
        <f>IF(I40&gt;$B$5,1,0)</f>
        <v>0</v>
      </c>
      <c r="AR40">
        <f>Logistic(ABS(F40-O40)/($B$6/2))</f>
        <v>0.2425671903821357</v>
      </c>
      <c r="AS40">
        <f>IF(OR(F40&lt;M40,F40&gt;N40),1,0)</f>
        <v>0</v>
      </c>
      <c r="AT40">
        <f>ABS(K40)/$B$4</f>
        <v>0.27750000000000002</v>
      </c>
      <c r="AU40">
        <f t="shared" ca="1" si="40"/>
        <v>0</v>
      </c>
      <c r="AV40">
        <f ca="1">IF(AND(L40&lt;&gt;$L$15,$Q$15&gt;Safety_Distance),1,0)</f>
        <v>0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0.96992014703589935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0.8970598564179314</v>
      </c>
      <c r="BA40">
        <f t="shared" ca="1" si="41"/>
        <v>0</v>
      </c>
      <c r="BB40">
        <f t="shared" ca="1" si="42"/>
        <v>0</v>
      </c>
      <c r="BC40">
        <f t="shared" si="43"/>
        <v>0</v>
      </c>
      <c r="BE40">
        <f>Logistic((D40-$B$2)/$B$2)</f>
        <v>0.54412709885356747</v>
      </c>
      <c r="BF40">
        <f t="shared" si="44"/>
        <v>0</v>
      </c>
      <c r="BG40">
        <f t="shared" si="45"/>
        <v>0</v>
      </c>
      <c r="BH40">
        <f>Logistic(($B$3-G40)/(G40+1))</f>
        <v>0.99960771803032511</v>
      </c>
      <c r="BI40">
        <f>IF(G40&gt;$B$3,1,0)</f>
        <v>0</v>
      </c>
      <c r="BJ40">
        <f>IF(H40&gt;$B$5,1,0)</f>
        <v>0</v>
      </c>
      <c r="BK40">
        <f>EXP(-($B$4-ABS(H40))/MAX(ABS(H40),0.000000001))</f>
        <v>0.53824943180050788</v>
      </c>
      <c r="BL40">
        <f t="shared" si="46"/>
        <v>1</v>
      </c>
      <c r="BM40">
        <f>EXP(-($B$5-I40)/MAX(I40,0.000000001))</f>
        <v>0.53294987508008695</v>
      </c>
      <c r="BN40">
        <f>IF(F40&gt;N40,(F40-N40)/$B$6,0)+IF(F40&lt;M40,(M40-F40)/$B$6,0)</f>
        <v>0</v>
      </c>
      <c r="BO40">
        <f>ABS(K40/$B$4)</f>
        <v>0.27750000000000002</v>
      </c>
      <c r="BP40">
        <f>Logistic(ABS(H40)/$B$4)</f>
        <v>0.29929949858081756</v>
      </c>
      <c r="BQ40">
        <f>Logistic(($B$3-G40)/G40)</f>
        <v>0.99999935996332501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5065.7678130000004</v>
      </c>
      <c r="C45">
        <v>2.4149630000000002</v>
      </c>
      <c r="D45">
        <v>19.090017</v>
      </c>
      <c r="E45">
        <v>1</v>
      </c>
    </row>
    <row r="46" spans="1:69" x14ac:dyDescent="0.25">
      <c r="B46">
        <v>5050.0418369999998</v>
      </c>
      <c r="C46">
        <v>6.4332719999999997</v>
      </c>
      <c r="D46">
        <v>14.883107000000001</v>
      </c>
      <c r="E46">
        <v>2</v>
      </c>
    </row>
    <row r="47" spans="1:69" x14ac:dyDescent="0.25">
      <c r="B47">
        <v>5171.091617</v>
      </c>
      <c r="C47">
        <v>10.21358</v>
      </c>
      <c r="D47">
        <v>20.791135000000001</v>
      </c>
      <c r="E47">
        <v>3</v>
      </c>
    </row>
    <row r="48" spans="1:69" x14ac:dyDescent="0.25">
      <c r="B48">
        <v>4993.8950809999997</v>
      </c>
      <c r="C48">
        <v>6.5146369999999996</v>
      </c>
      <c r="D48">
        <v>17.261223999999999</v>
      </c>
      <c r="E48">
        <v>2</v>
      </c>
    </row>
    <row r="49" spans="2:5" x14ac:dyDescent="0.25">
      <c r="B49">
        <v>4969.5449660000004</v>
      </c>
      <c r="C49">
        <v>6.2055829999999998</v>
      </c>
      <c r="D49">
        <v>16.590230999999999</v>
      </c>
      <c r="E49">
        <v>2</v>
      </c>
    </row>
    <row r="50" spans="2:5" x14ac:dyDescent="0.25">
      <c r="B50">
        <v>5006.4680230000004</v>
      </c>
      <c r="C50">
        <v>10.230420000000001</v>
      </c>
      <c r="D50">
        <v>19.415310000000002</v>
      </c>
      <c r="E50">
        <v>3</v>
      </c>
    </row>
    <row r="51" spans="2:5" x14ac:dyDescent="0.25">
      <c r="B51">
        <v>4982.6110920000001</v>
      </c>
      <c r="C51">
        <v>10.23104</v>
      </c>
      <c r="D51">
        <v>19.361239000000001</v>
      </c>
      <c r="E51">
        <v>3</v>
      </c>
    </row>
    <row r="52" spans="2:5" x14ac:dyDescent="0.25">
      <c r="B52">
        <v>4944.8992619999999</v>
      </c>
      <c r="C52">
        <v>6.7270820000000002</v>
      </c>
      <c r="D52">
        <v>10.855919999999999</v>
      </c>
      <c r="E52">
        <v>2</v>
      </c>
    </row>
    <row r="53" spans="2:5" x14ac:dyDescent="0.25">
      <c r="B53">
        <v>5119.7591519999996</v>
      </c>
      <c r="C53">
        <v>6.3625600000000002</v>
      </c>
      <c r="D53">
        <v>14.925210999999999</v>
      </c>
      <c r="E53">
        <v>2</v>
      </c>
    </row>
    <row r="54" spans="2:5" x14ac:dyDescent="0.25">
      <c r="B54">
        <v>5098.2492670000001</v>
      </c>
      <c r="C54">
        <v>6.4995839999999996</v>
      </c>
      <c r="D54">
        <v>13.469815000000001</v>
      </c>
      <c r="E54">
        <v>2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92D050"/>
  </sheetPr>
  <dimension ref="A1:BQ56"/>
  <sheetViews>
    <sheetView topLeftCell="A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Keep Speed</v>
      </c>
    </row>
    <row r="12" spans="1:69" x14ac:dyDescent="0.25">
      <c r="A12" t="s">
        <v>183</v>
      </c>
      <c r="B12">
        <f ca="1">INDEX(A16:F40,MATCH(MIN(B16:B40),B16:B40,0),5)</f>
        <v>1905.58</v>
      </c>
      <c r="C12">
        <f ca="1">INDEX(A16:F40,MATCH(MIN(B16:B40),B16:B40,0),6)</f>
        <v>6.12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425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1900.73</v>
      </c>
      <c r="F15">
        <f>VALUE(MID(C15,FIND("d[",C15)+2,FIND("]",C15,FIND("d[",C15))-(FIND("d[",C15)+2)))</f>
        <v>6.12</v>
      </c>
      <c r="G15">
        <f>VALUE(MID(C15,FIND("s_dot[",C15)+6,FIND("]",C15,FIND("s_dot[",C15))-(FIND("s_dot[",C15)+6)))</f>
        <v>20.22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0.06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7" si="0">$B$6*(L15-1)</f>
        <v>4</v>
      </c>
      <c r="N15">
        <f t="shared" ref="N15:N37" si="1">$B$6*L15</f>
        <v>8</v>
      </c>
      <c r="O15">
        <f>(N15+M15)/2</f>
        <v>6</v>
      </c>
      <c r="P15">
        <f>GetLeadingCarRow($B$45:$E$56,L15,$E$15, $E$15)</f>
        <v>45</v>
      </c>
      <c r="Q15">
        <f ca="1">IFERROR(INDIRECT(CONCATENATE("B", P15))-$E$15,1000000)</f>
        <v>23.697529999999915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2.7007317214547504</v>
      </c>
      <c r="C16" t="s">
        <v>450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1905.46</v>
      </c>
      <c r="F16">
        <f>VALUE(MID(C16,FIND("d[",C16)+2,FIND("]",C16,FIND("d[",C16))-(FIND("d[",C16)+2)))</f>
        <v>6.12</v>
      </c>
      <c r="G16">
        <f>VALUE(MID(C16,FIND("s_dot[",C16)+6,FIND("]",C16,FIND("s_dot[",C16))-(FIND("s_dot[",C16)+6)))</f>
        <v>19.71</v>
      </c>
      <c r="H16">
        <f>VALUE(MID(C16,FIND("s_dot2[",C16)+7,FIND("]",C16,FIND("s_dot2[",C16))-(FIND("s_dot2[",C16)+7)))</f>
        <v>-3.29</v>
      </c>
      <c r="I16">
        <f>VALUE(MID(C16,FIND("s_dot3[",C16)+7,FIND("]",C16,FIND("s_dot3[",C16))-(FIND("s_dot3[",C16)+7)))</f>
        <v>3.26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>
        <f t="shared" ref="P16:P40" si="5">GetLeadingCarRow($B$45:$E$56,L16,$E$15, $E$15)</f>
        <v>45</v>
      </c>
      <c r="Q16">
        <f ca="1">IFERROR(INDIRECT(CONCATENATE("B", P16))-$E$15,1000000)</f>
        <v>23.697529999999915</v>
      </c>
      <c r="R16">
        <f ca="1">IFERROR(INDIRECT(CONCATENATE("D", P16)),100)</f>
        <v>18.345310999999999</v>
      </c>
      <c r="S16">
        <f>GetFollowingCarRow($B$45:$E$56,L16,$E$15, $E$15)</f>
        <v>50</v>
      </c>
      <c r="T16">
        <f ca="1">IFERROR(INDIRECT(CONCATENATE("B", S16))-$E$15,1000000)</f>
        <v>-22.236667000000125</v>
      </c>
      <c r="U16">
        <f ca="1">IFERROR(INDIRECT(CONCATENATE("D", S16)),100)</f>
        <v>20.581531999999999</v>
      </c>
      <c r="V16">
        <f>GetLeadingCarRow($B$45:$E$56,L16,$E$15,E16)</f>
        <v>45</v>
      </c>
      <c r="W16">
        <f ca="1">IFERROR(INDIRECT(CONCATENATE("B", V16))-E16,1000000000)</f>
        <v>18.967529999999897</v>
      </c>
      <c r="X16">
        <f ca="1">IFERROR(INDIRECT(CONCATENATE("D", V16)),100)</f>
        <v>18.345310999999999</v>
      </c>
      <c r="Y16">
        <f>GetFollowingCarRow($B$45:$E$56,L16,$E$15,E16)</f>
        <v>50</v>
      </c>
      <c r="Z16">
        <f ca="1">IFERROR(INDIRECT(CONCATENATE("B", Y16))-E16,1000000000)</f>
        <v>-26.966667000000143</v>
      </c>
      <c r="AA16">
        <f ca="1">IFERROR(INDIRECT(CONCATENATE("D", Y16)),100)</f>
        <v>20.581531999999999</v>
      </c>
      <c r="AB16">
        <f>$F$15-F16</f>
        <v>0</v>
      </c>
      <c r="AC16">
        <f>E16-$E$15</f>
        <v>4.7300000000000182</v>
      </c>
      <c r="AD16">
        <f>$F$15-(-AB16/AC16)*$E$15</f>
        <v>6.12</v>
      </c>
      <c r="AE16">
        <f>AD16*-AC16</f>
        <v>-28.947600000000111</v>
      </c>
      <c r="AF16">
        <f>SQRT(AB16^2+AC16^2)</f>
        <v>4.7300000000000182</v>
      </c>
      <c r="AG16">
        <f>GetSmallestNormalDistance($B$45:$E$54,AB16,AC16,AF16,$L$15,L16)</f>
        <v>5.7359549999999997</v>
      </c>
      <c r="AH16">
        <f t="shared" ref="AH16:AH37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3.4359866583596145E-3</v>
      </c>
      <c r="AL16">
        <f>IF(H16+ABS(K16)&lt;0,Logistic(SQRT(H16^2+K16^2)/$B$4),0)</f>
        <v>0.20277513498334734</v>
      </c>
      <c r="AM16">
        <f>IF(G16&gt;$B$3,1,0)</f>
        <v>0</v>
      </c>
      <c r="AN16">
        <f>IF(H16&gt;$B$4,1,0)</f>
        <v>0</v>
      </c>
      <c r="AO16">
        <f>ABS(H16)/$B$4</f>
        <v>0.41125</v>
      </c>
      <c r="AP16">
        <f>Logistic(I16/$B$5)</f>
        <v>0.20097654905393264</v>
      </c>
      <c r="AQ16">
        <f>IF(I16&gt;$B$5,1,0)</f>
        <v>0</v>
      </c>
      <c r="AR16">
        <f>Logistic(ABS(F16-O16)/($B$6/2))</f>
        <v>2.9991003238820198E-2</v>
      </c>
      <c r="AS16">
        <f>IF(OR(F16&lt;M16,F16&gt;N16),1,0)</f>
        <v>0</v>
      </c>
      <c r="AT16">
        <f>ABS(K16)/$B$4</f>
        <v>0</v>
      </c>
      <c r="AU16">
        <f ca="1">MAX(($B$7-W16)/(W16+1),0)/$B$7</f>
        <v>1.8417350568648468E-2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7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7" si="8">Logistic(($B$3-G16)/(G16+1))</f>
        <v>3.6439676774215987E-2</v>
      </c>
      <c r="BI16">
        <f t="shared" ref="BI16:BI37" si="9">IF(G16&gt;$B$3,1,0)</f>
        <v>0</v>
      </c>
      <c r="BJ16">
        <f t="shared" ref="BJ16:BJ37" si="10">IF(H16&gt;$B$5,1,0)</f>
        <v>0</v>
      </c>
      <c r="BK16">
        <f t="shared" ref="BK16:BK37" si="11">EXP(-($B$4-ABS(H16))/MAX(ABS(H16),0.000000001))</f>
        <v>0.23892371974308776</v>
      </c>
      <c r="BL16">
        <f>IF(G16&lt;ABS(H16),1,0)</f>
        <v>0</v>
      </c>
      <c r="BM16">
        <f t="shared" ref="BM16:BM37" si="12">EXP(-($B$5-I16)/MAX(I16,0.000000001))</f>
        <v>0.23363674769511775</v>
      </c>
      <c r="BN16">
        <f t="shared" ref="BN16:BN37" si="13">IF(F16&gt;N16,(F16-N16)/$B$6,0)+IF(F16&lt;M16,(M16-F16)/$B$6,0)</f>
        <v>0</v>
      </c>
      <c r="BO16">
        <f t="shared" ref="BO16:BO37" si="14">ABS(K16/$B$4)</f>
        <v>0</v>
      </c>
      <c r="BP16">
        <f t="shared" ref="BP16:BP37" si="15">Logistic(ABS(H16)/$B$4)</f>
        <v>0.20277513498334734</v>
      </c>
      <c r="BQ16">
        <f t="shared" ref="BQ16:BQ37" si="16">Logistic(($B$3-G16)/G16)</f>
        <v>3.8286704445878325E-2</v>
      </c>
    </row>
    <row r="17" spans="1:69" x14ac:dyDescent="0.25">
      <c r="A17" s="1" t="s">
        <v>15</v>
      </c>
      <c r="B17">
        <f t="shared" ca="1" si="2"/>
        <v>2.5715232935326338</v>
      </c>
      <c r="C17" t="s">
        <v>449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1905.52</v>
      </c>
      <c r="F17">
        <f t="shared" ref="F17:F40" si="19">VALUE(MID(C17,FIND("d[",C17)+2,FIND("]",C17,FIND("d[",C17))-(FIND("d[",C17)+2)))</f>
        <v>6.12</v>
      </c>
      <c r="G17">
        <f t="shared" ref="G17:G40" si="20">VALUE(MID(C17,FIND("s_dot[",C17)+6,FIND("]",C17,FIND("s_dot[",C17))-(FIND("s_dot[",C17)+6)))</f>
        <v>19.95</v>
      </c>
      <c r="H17">
        <f t="shared" ref="H17:H40" si="21">VALUE(MID(C17,FIND("s_dot2[",C17)+7,FIND("]",C17,FIND("s_dot2[",C17))-(FIND("s_dot2[",C17)+7)))</f>
        <v>-1.67</v>
      </c>
      <c r="I17">
        <f t="shared" ref="I17:I40" si="22">VALUE(MID(C17,FIND("s_dot3[",C17)+7,FIND("]",C17,FIND("s_dot3[",C17))-(FIND("s_dot3[",C17)+7)))</f>
        <v>1.64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>
        <f t="shared" si="5"/>
        <v>45</v>
      </c>
      <c r="Q17">
        <f t="shared" ref="Q17:Q40" ca="1" si="25">IFERROR(INDIRECT(CONCATENATE("B", P17))-$E$15,1000000)</f>
        <v>23.697529999999915</v>
      </c>
      <c r="R17">
        <f t="shared" ref="R17:R40" ca="1" si="26">IFERROR(INDIRECT(CONCATENATE("D", P17)),100)</f>
        <v>18.345310999999999</v>
      </c>
      <c r="S17">
        <f t="shared" ref="S17:S40" si="27">GetFollowingCarRow($B$45:$E$56,L17,$E$15, $E$15)</f>
        <v>50</v>
      </c>
      <c r="T17">
        <f t="shared" ref="T17:T40" ca="1" si="28">IFERROR(INDIRECT(CONCATENATE("B", S17))-$E$15,1000000)</f>
        <v>-22.236667000000125</v>
      </c>
      <c r="U17">
        <f t="shared" ref="U17:U40" ca="1" si="29">IFERROR(INDIRECT(CONCATENATE("D", S17)),100)</f>
        <v>20.581531999999999</v>
      </c>
      <c r="V17">
        <f t="shared" ref="V17:V40" si="30">GetLeadingCarRow($B$45:$E$56,L17,$E$15,E17)</f>
        <v>45</v>
      </c>
      <c r="W17">
        <f t="shared" ref="W17:W40" ca="1" si="31">IFERROR(INDIRECT(CONCATENATE("B", V17))-E17,1000000000)</f>
        <v>18.907529999999952</v>
      </c>
      <c r="X17">
        <f t="shared" ref="X17:X40" ca="1" si="32">IFERROR(INDIRECT(CONCATENATE("D", V17)),100)</f>
        <v>18.345310999999999</v>
      </c>
      <c r="Y17">
        <f>GetFollowingCarRow($B$45:$E$54,L17,$E$15,E17)</f>
        <v>50</v>
      </c>
      <c r="Z17">
        <f t="shared" ref="Z17:Z40" ca="1" si="33">IFERROR(INDIRECT(CONCATENATE("B", Y17))-E17,1000000000)</f>
        <v>-27.026667000000089</v>
      </c>
      <c r="AA17">
        <f t="shared" ref="AA17:AA40" ca="1" si="34">IFERROR(INDIRECT(CONCATENATE("D", Y17)),100)</f>
        <v>20.581531999999999</v>
      </c>
      <c r="AB17">
        <f t="shared" ref="AB17:AB40" si="35">$F$15-F17</f>
        <v>0</v>
      </c>
      <c r="AC17">
        <f t="shared" ref="AC17:AC40" si="36">E17-$E$15</f>
        <v>4.7899999999999636</v>
      </c>
      <c r="AD17">
        <f t="shared" ref="AD17:AD40" si="37">$F$15-(-AB17/AC17)*$E$15</f>
        <v>6.12</v>
      </c>
      <c r="AE17">
        <f t="shared" ref="AE17:AE40" si="38">AD17*-AC17</f>
        <v>-29.314799999999778</v>
      </c>
      <c r="AF17">
        <f t="shared" ref="AF17:AF40" si="39">SQRT(AB17^2+AC17^2)</f>
        <v>4.7899999999999636</v>
      </c>
      <c r="AG17">
        <f>GetSmallestNormalDistance($B$45:$E$54,AB17,AC17,AF17,$L$15,L17)</f>
        <v>5.7359549999999997</v>
      </c>
      <c r="AH17">
        <f t="shared" si="6"/>
        <v>0</v>
      </c>
      <c r="AI17">
        <f>IF(G17&lt;=0,1,0)</f>
        <v>0</v>
      </c>
      <c r="AJ17">
        <f>IF(G17&lt;0,1,0)</f>
        <v>0</v>
      </c>
      <c r="AK17">
        <f>MAX(($B$3-G17)/(G17 + 1),0) / $B$3</f>
        <v>2.8567636691642722E-3</v>
      </c>
      <c r="AL17">
        <f>IF(H17+ABS(K17)&lt;0,Logistic(SQRT(H17^2+K17^2)/$B$4),0)</f>
        <v>0.10399761910171519</v>
      </c>
      <c r="AM17">
        <f>IF(G17&gt;$B$3,1,0)</f>
        <v>0</v>
      </c>
      <c r="AN17">
        <f>IF(H17&gt;$B$4,1,0)</f>
        <v>0</v>
      </c>
      <c r="AO17">
        <f>ABS(H17)/$B$4</f>
        <v>0.20874999999999999</v>
      </c>
      <c r="AP17">
        <f>Logistic(I17/$B$5)</f>
        <v>0.10214253861468393</v>
      </c>
      <c r="AQ17">
        <f>IF(I17&gt;$B$5,1,0)</f>
        <v>0</v>
      </c>
      <c r="AR17">
        <f>Logistic(ABS(F17-O17)/($B$6/2))</f>
        <v>2.9991003238820198E-2</v>
      </c>
      <c r="AS17">
        <f>IF(OR(F17&lt;M17,F17&gt;N17),1,0)</f>
        <v>0</v>
      </c>
      <c r="AT17">
        <f>ABS(K17)/$B$4</f>
        <v>0</v>
      </c>
      <c r="AU17">
        <f t="shared" ref="AU17:AU40" ca="1" si="40">MAX(($B$7-W17)/(W17+1),0)/$B$7</f>
        <v>1.8573323762415654E-2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1">IF(OR(ABS(Q17)&lt;$B$8,ABS(W17)&lt;$B$8),1,0)</f>
        <v>0</v>
      </c>
      <c r="BB17">
        <f t="shared" ref="BB17:BB40" ca="1" si="42">IF(OR(ABS(T17)&lt;$B$8,ABS(Z17)&lt;$B$8),1,0)</f>
        <v>0</v>
      </c>
      <c r="BC17">
        <f t="shared" ref="BC17:BC40" si="43">IFERROR(IF(P17=Y17,1,0),0)</f>
        <v>0</v>
      </c>
      <c r="BE17">
        <f t="shared" si="7"/>
        <v>0</v>
      </c>
      <c r="BF17">
        <f t="shared" ref="BF17:BF40" si="44">IF(G17&lt;=0,1,0)</f>
        <v>0</v>
      </c>
      <c r="BG17">
        <f t="shared" ref="BG17:BG40" si="45">IF(G17&lt;0,1,0)</f>
        <v>0</v>
      </c>
      <c r="BH17">
        <f t="shared" si="8"/>
        <v>3.0300983805490681E-2</v>
      </c>
      <c r="BI17">
        <f t="shared" si="9"/>
        <v>0</v>
      </c>
      <c r="BJ17">
        <f t="shared" si="10"/>
        <v>0</v>
      </c>
      <c r="BK17">
        <f t="shared" si="11"/>
        <v>2.2586132625471999E-2</v>
      </c>
      <c r="BL17">
        <f t="shared" ref="BL17:BL40" si="46">IF(G17&lt;ABS(H17),1,0)</f>
        <v>0</v>
      </c>
      <c r="BM17">
        <f t="shared" si="12"/>
        <v>2.0691158811836384E-2</v>
      </c>
      <c r="BN17">
        <f t="shared" si="13"/>
        <v>0</v>
      </c>
      <c r="BO17">
        <f t="shared" si="14"/>
        <v>0</v>
      </c>
      <c r="BP17">
        <f t="shared" si="15"/>
        <v>0.10399761910171519</v>
      </c>
      <c r="BQ17">
        <f t="shared" si="16"/>
        <v>3.1818829210934284E-2</v>
      </c>
    </row>
    <row r="18" spans="1:69" x14ac:dyDescent="0.25">
      <c r="A18" s="1" t="s">
        <v>14</v>
      </c>
      <c r="B18">
        <f t="shared" ca="1" si="2"/>
        <v>3.8906707269727496</v>
      </c>
      <c r="C18" t="s">
        <v>448</v>
      </c>
      <c r="D18">
        <f t="shared" si="17"/>
        <v>50</v>
      </c>
      <c r="E18">
        <f t="shared" si="18"/>
        <v>1905.59</v>
      </c>
      <c r="F18">
        <f t="shared" si="19"/>
        <v>6.12</v>
      </c>
      <c r="G18">
        <f t="shared" si="20"/>
        <v>20.27</v>
      </c>
      <c r="H18">
        <f t="shared" si="21"/>
        <v>0.44</v>
      </c>
      <c r="I18">
        <f t="shared" si="22"/>
        <v>0.47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>
        <f t="shared" si="5"/>
        <v>45</v>
      </c>
      <c r="Q18">
        <f t="shared" ca="1" si="25"/>
        <v>23.697529999999915</v>
      </c>
      <c r="R18">
        <f t="shared" ca="1" si="26"/>
        <v>18.345310999999999</v>
      </c>
      <c r="S18">
        <f t="shared" si="27"/>
        <v>50</v>
      </c>
      <c r="T18">
        <f t="shared" ca="1" si="28"/>
        <v>-22.236667000000125</v>
      </c>
      <c r="U18">
        <f t="shared" ca="1" si="29"/>
        <v>20.581531999999999</v>
      </c>
      <c r="V18">
        <f t="shared" si="30"/>
        <v>45</v>
      </c>
      <c r="W18">
        <f t="shared" ca="1" si="31"/>
        <v>18.837530000000015</v>
      </c>
      <c r="X18">
        <f t="shared" ca="1" si="32"/>
        <v>18.345310999999999</v>
      </c>
      <c r="Y18">
        <f>GetFollowingCarRow($B$45:$E$54,L18,$E$15,E18)</f>
        <v>50</v>
      </c>
      <c r="Z18">
        <f t="shared" ca="1" si="33"/>
        <v>-27.096667000000025</v>
      </c>
      <c r="AA18">
        <f t="shared" ca="1" si="34"/>
        <v>20.581531999999999</v>
      </c>
      <c r="AB18">
        <f t="shared" si="35"/>
        <v>0</v>
      </c>
      <c r="AC18">
        <f t="shared" si="36"/>
        <v>4.8599999999999</v>
      </c>
      <c r="AD18">
        <f t="shared" si="37"/>
        <v>6.12</v>
      </c>
      <c r="AE18">
        <f t="shared" si="38"/>
        <v>-29.743199999999387</v>
      </c>
      <c r="AF18">
        <f t="shared" si="39"/>
        <v>4.8599999999999</v>
      </c>
      <c r="AG18">
        <f>GetSmallestNormalDistance($B$45:$E$54,AB18,AC18,AF18,$L$15,L18)</f>
        <v>5.7359549999999997</v>
      </c>
      <c r="AH18">
        <f t="shared" si="6"/>
        <v>0</v>
      </c>
      <c r="AI18">
        <f>IF(G18&lt;=0,1,0)</f>
        <v>0</v>
      </c>
      <c r="AJ18">
        <f>IF(G18&lt;0,1,0)</f>
        <v>0</v>
      </c>
      <c r="AK18">
        <f>MAX(($B$3-G18)/(G18 + 1),0) / $B$3</f>
        <v>2.1047995189536072E-3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5.5E-2</v>
      </c>
      <c r="AP18">
        <f>Logistic(I18/$B$5)</f>
        <v>2.9366553777884566E-2</v>
      </c>
      <c r="AQ18">
        <f>IF(I18&gt;$B$5,1,0)</f>
        <v>0</v>
      </c>
      <c r="AR18">
        <f>Logistic(ABS(F18-O18)/($B$6/2))</f>
        <v>2.9991003238820198E-2</v>
      </c>
      <c r="AS18">
        <f>IF(OR(F18&lt;M18,F18&gt;N18),1,0)</f>
        <v>0</v>
      </c>
      <c r="AT18">
        <f>ABS(K18)/$B$4</f>
        <v>0</v>
      </c>
      <c r="AU18">
        <f t="shared" ca="1" si="40"/>
        <v>1.8756484972339428E-2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2.12688907142915E-2</v>
      </c>
      <c r="AZ18">
        <f ca="1">MAX(1-(IF(Z18/(G18-AA18)&gt;0,Z18/(G18-AA18),Collision_Time_Buffer)/Collision_Time_Buffer),0)*IF($L$15&lt;&gt;L18,Lane_Change_Multiplier,1)</f>
        <v>0</v>
      </c>
      <c r="BA18">
        <f t="shared" ca="1" si="41"/>
        <v>0</v>
      </c>
      <c r="BB18">
        <f t="shared" ca="1" si="42"/>
        <v>0</v>
      </c>
      <c r="BC18">
        <f t="shared" si="43"/>
        <v>0</v>
      </c>
      <c r="BE18">
        <f t="shared" si="7"/>
        <v>0</v>
      </c>
      <c r="BF18">
        <f t="shared" si="44"/>
        <v>0</v>
      </c>
      <c r="BG18">
        <f t="shared" si="45"/>
        <v>0</v>
      </c>
      <c r="BH18">
        <f t="shared" si="8"/>
        <v>2.2328211216517319E-2</v>
      </c>
      <c r="BI18">
        <f t="shared" si="9"/>
        <v>0</v>
      </c>
      <c r="BJ18">
        <f t="shared" si="10"/>
        <v>0</v>
      </c>
      <c r="BK18">
        <f t="shared" si="11"/>
        <v>3.4516851536866455E-8</v>
      </c>
      <c r="BL18">
        <f t="shared" si="46"/>
        <v>0</v>
      </c>
      <c r="BM18">
        <f t="shared" si="12"/>
        <v>1.1016610157680324E-7</v>
      </c>
      <c r="BN18">
        <f t="shared" si="13"/>
        <v>0</v>
      </c>
      <c r="BO18">
        <f t="shared" si="14"/>
        <v>0</v>
      </c>
      <c r="BP18">
        <f t="shared" si="15"/>
        <v>2.7493069804709887E-2</v>
      </c>
      <c r="BQ18">
        <f t="shared" si="16"/>
        <v>2.3429357306336628E-2</v>
      </c>
    </row>
    <row r="19" spans="1:69" x14ac:dyDescent="0.25">
      <c r="A19" s="1" t="s">
        <v>13</v>
      </c>
      <c r="B19">
        <f t="shared" ca="1" si="2"/>
        <v>6.3300183287649281</v>
      </c>
      <c r="C19" t="s">
        <v>447</v>
      </c>
      <c r="D19">
        <f t="shared" si="17"/>
        <v>50</v>
      </c>
      <c r="E19">
        <f t="shared" si="18"/>
        <v>1905.61</v>
      </c>
      <c r="F19">
        <f t="shared" si="19"/>
        <v>6.12</v>
      </c>
      <c r="G19">
        <f t="shared" si="20"/>
        <v>20.34</v>
      </c>
      <c r="H19">
        <f t="shared" si="21"/>
        <v>0.92</v>
      </c>
      <c r="I19">
        <f t="shared" si="22"/>
        <v>0.95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>
        <f t="shared" si="5"/>
        <v>45</v>
      </c>
      <c r="Q19">
        <f t="shared" ca="1" si="25"/>
        <v>23.697529999999915</v>
      </c>
      <c r="R19">
        <f t="shared" ca="1" si="26"/>
        <v>18.345310999999999</v>
      </c>
      <c r="S19">
        <f t="shared" si="27"/>
        <v>50</v>
      </c>
      <c r="T19">
        <f t="shared" ca="1" si="28"/>
        <v>-22.236667000000125</v>
      </c>
      <c r="U19">
        <f t="shared" ca="1" si="29"/>
        <v>20.581531999999999</v>
      </c>
      <c r="V19">
        <f t="shared" si="30"/>
        <v>45</v>
      </c>
      <c r="W19">
        <f t="shared" ca="1" si="31"/>
        <v>18.817530000000033</v>
      </c>
      <c r="X19">
        <f t="shared" ca="1" si="32"/>
        <v>18.345310999999999</v>
      </c>
      <c r="Y19">
        <f>GetFollowingCarRow($B$45:$E$54,L19,$E$15,E19)</f>
        <v>50</v>
      </c>
      <c r="Z19">
        <f t="shared" ca="1" si="33"/>
        <v>-27.116667000000007</v>
      </c>
      <c r="AA19">
        <f t="shared" ca="1" si="34"/>
        <v>20.581531999999999</v>
      </c>
      <c r="AB19">
        <f t="shared" si="35"/>
        <v>0</v>
      </c>
      <c r="AC19">
        <f t="shared" si="36"/>
        <v>4.8799999999998818</v>
      </c>
      <c r="AD19">
        <f t="shared" si="37"/>
        <v>6.12</v>
      </c>
      <c r="AE19">
        <f t="shared" si="38"/>
        <v>-29.865599999999276</v>
      </c>
      <c r="AF19">
        <f t="shared" si="39"/>
        <v>4.8799999999998818</v>
      </c>
      <c r="AG19">
        <f>GetSmallestNormalDistance($B$45:$E$54,AB19,AC19,AF19,$L$15,L19)</f>
        <v>5.7359549999999997</v>
      </c>
      <c r="AH19">
        <f t="shared" si="6"/>
        <v>0</v>
      </c>
      <c r="AI19">
        <f>IF(G19&lt;=0,1,0)</f>
        <v>0</v>
      </c>
      <c r="AJ19">
        <f>IF(G19&lt;0,1,0)</f>
        <v>0</v>
      </c>
      <c r="AK19">
        <f>MAX(($B$3-G19)/(G19 + 1),0) / $B$3</f>
        <v>1.9433135439237421E-3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0.115</v>
      </c>
      <c r="AP19">
        <f>Logistic(I19/$B$5)</f>
        <v>5.930532489501579E-2</v>
      </c>
      <c r="AQ19">
        <f>IF(I19&gt;$B$5,1,0)</f>
        <v>0</v>
      </c>
      <c r="AR19">
        <f>Logistic(ABS(F19-O19)/($B$6/2))</f>
        <v>2.9991003238820198E-2</v>
      </c>
      <c r="AS19">
        <f>IF(OR(F19&lt;M19,F19&gt;N19),1,0)</f>
        <v>0</v>
      </c>
      <c r="AT19">
        <f>ABS(K19)/$B$4</f>
        <v>0</v>
      </c>
      <c r="AU19">
        <f t="shared" ca="1" si="40"/>
        <v>1.88090544078903E-2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5.6618350028499465E-2</v>
      </c>
      <c r="AZ19">
        <f ca="1">MAX(1-(IF(Z19/(G19-AA19)&gt;0,Z19/(G19-AA19),Collision_Time_Buffer)/Collision_Time_Buffer),0)*IF($L$15&lt;&gt;L19,Lane_Change_Multiplier,1)</f>
        <v>0</v>
      </c>
      <c r="BA19">
        <f t="shared" ca="1" si="41"/>
        <v>0</v>
      </c>
      <c r="BB19">
        <f t="shared" ca="1" si="42"/>
        <v>0</v>
      </c>
      <c r="BC19">
        <f t="shared" si="43"/>
        <v>0</v>
      </c>
      <c r="BE19">
        <f t="shared" si="7"/>
        <v>0</v>
      </c>
      <c r="BF19">
        <f t="shared" si="44"/>
        <v>0</v>
      </c>
      <c r="BG19">
        <f t="shared" si="45"/>
        <v>0</v>
      </c>
      <c r="BH19">
        <f t="shared" si="8"/>
        <v>2.0615635377316754E-2</v>
      </c>
      <c r="BI19">
        <f t="shared" si="9"/>
        <v>0</v>
      </c>
      <c r="BJ19">
        <f t="shared" si="10"/>
        <v>0</v>
      </c>
      <c r="BK19">
        <f t="shared" si="11"/>
        <v>4.5480028296520985E-4</v>
      </c>
      <c r="BL19">
        <f t="shared" si="46"/>
        <v>0</v>
      </c>
      <c r="BM19">
        <f t="shared" si="12"/>
        <v>5.9851879402537586E-4</v>
      </c>
      <c r="BN19">
        <f t="shared" si="13"/>
        <v>0</v>
      </c>
      <c r="BO19">
        <f t="shared" si="14"/>
        <v>0</v>
      </c>
      <c r="BP19">
        <f t="shared" si="15"/>
        <v>5.7436713902879279E-2</v>
      </c>
      <c r="BQ19">
        <f t="shared" si="16"/>
        <v>2.1628878050393555E-2</v>
      </c>
    </row>
    <row r="20" spans="1:69" x14ac:dyDescent="0.25">
      <c r="A20" s="1" t="s">
        <v>12</v>
      </c>
      <c r="B20">
        <f t="shared" ca="1" si="2"/>
        <v>9.2380704053601228</v>
      </c>
      <c r="C20" t="s">
        <v>446</v>
      </c>
      <c r="D20">
        <f t="shared" si="17"/>
        <v>50</v>
      </c>
      <c r="E20">
        <f t="shared" si="18"/>
        <v>1905.64</v>
      </c>
      <c r="F20">
        <f t="shared" si="19"/>
        <v>6.12</v>
      </c>
      <c r="G20">
        <f t="shared" si="20"/>
        <v>20.43</v>
      </c>
      <c r="H20">
        <f t="shared" si="21"/>
        <v>1.57</v>
      </c>
      <c r="I20">
        <f t="shared" si="22"/>
        <v>1.6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>
        <f t="shared" si="5"/>
        <v>45</v>
      </c>
      <c r="Q20">
        <f t="shared" ca="1" si="25"/>
        <v>23.697529999999915</v>
      </c>
      <c r="R20">
        <f t="shared" ca="1" si="26"/>
        <v>18.345310999999999</v>
      </c>
      <c r="S20">
        <f t="shared" si="27"/>
        <v>50</v>
      </c>
      <c r="T20">
        <f t="shared" ca="1" si="28"/>
        <v>-22.236667000000125</v>
      </c>
      <c r="U20">
        <f t="shared" ca="1" si="29"/>
        <v>20.581531999999999</v>
      </c>
      <c r="V20">
        <f t="shared" si="30"/>
        <v>45</v>
      </c>
      <c r="W20">
        <f t="shared" ca="1" si="31"/>
        <v>18.787529999999833</v>
      </c>
      <c r="X20">
        <f t="shared" ca="1" si="32"/>
        <v>18.345310999999999</v>
      </c>
      <c r="Y20">
        <f>GetFollowingCarRow($B$45:$E$54,L20,$E$15,E20)</f>
        <v>50</v>
      </c>
      <c r="Z20">
        <f t="shared" ca="1" si="33"/>
        <v>-27.146667000000207</v>
      </c>
      <c r="AA20">
        <f t="shared" ca="1" si="34"/>
        <v>20.581531999999999</v>
      </c>
      <c r="AB20">
        <f t="shared" si="35"/>
        <v>0</v>
      </c>
      <c r="AC20">
        <f t="shared" si="36"/>
        <v>4.9100000000000819</v>
      </c>
      <c r="AD20">
        <f t="shared" si="37"/>
        <v>6.12</v>
      </c>
      <c r="AE20">
        <f t="shared" si="38"/>
        <v>-30.0492000000005</v>
      </c>
      <c r="AF20">
        <f t="shared" si="39"/>
        <v>4.9100000000000819</v>
      </c>
      <c r="AG20">
        <f>GetSmallestNormalDistance($B$45:$E$54,AB20,AC20,AF20,$L$15,L20)</f>
        <v>5.7359549999999997</v>
      </c>
      <c r="AH20">
        <f t="shared" si="6"/>
        <v>0</v>
      </c>
      <c r="AI20">
        <f>IF(G20&lt;=0,1,0)</f>
        <v>0</v>
      </c>
      <c r="AJ20">
        <f>IF(G20&lt;0,1,0)</f>
        <v>0</v>
      </c>
      <c r="AK20">
        <f>MAX(($B$3-G20)/(G20 + 1),0) / $B$3</f>
        <v>1.7372388809014977E-3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0.19625000000000001</v>
      </c>
      <c r="AP20">
        <f>Logistic(I20/$B$5)</f>
        <v>9.9667994624955847E-2</v>
      </c>
      <c r="AQ20">
        <f>IF(I20&gt;$B$5,1,0)</f>
        <v>0</v>
      </c>
      <c r="AR20">
        <f>Logistic(ABS(F20-O20)/($B$6/2))</f>
        <v>2.9991003238820198E-2</v>
      </c>
      <c r="AS20">
        <f>IF(OR(F20&lt;M20,F20&gt;N20),1,0)</f>
        <v>0</v>
      </c>
      <c r="AT20">
        <f>ABS(K20)/$B$4</f>
        <v>0</v>
      </c>
      <c r="AU20">
        <f t="shared" ca="1" si="40"/>
        <v>1.8888107813355617E-2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9.8784998625702669E-2</v>
      </c>
      <c r="AZ20">
        <f ca="1">MAX(1-(IF(Z20/(G20-AA20)&gt;0,Z20/(G20-AA20),Collision_Time_Buffer)/Collision_Time_Buffer),0)*IF($L$15&lt;&gt;L20,Lane_Change_Multiplier,1)</f>
        <v>0</v>
      </c>
      <c r="BA20">
        <f t="shared" ca="1" si="41"/>
        <v>0</v>
      </c>
      <c r="BB20">
        <f t="shared" ca="1" si="42"/>
        <v>0</v>
      </c>
      <c r="BC20">
        <f t="shared" si="43"/>
        <v>0</v>
      </c>
      <c r="BE20">
        <f t="shared" si="7"/>
        <v>0</v>
      </c>
      <c r="BF20">
        <f t="shared" si="44"/>
        <v>0</v>
      </c>
      <c r="BG20">
        <f t="shared" si="45"/>
        <v>0</v>
      </c>
      <c r="BH20">
        <f t="shared" si="8"/>
        <v>1.8430017420378163E-2</v>
      </c>
      <c r="BI20">
        <f t="shared" si="9"/>
        <v>0</v>
      </c>
      <c r="BJ20">
        <f t="shared" si="10"/>
        <v>0</v>
      </c>
      <c r="BK20">
        <f t="shared" si="11"/>
        <v>1.664673128124048E-2</v>
      </c>
      <c r="BL20">
        <f t="shared" si="46"/>
        <v>0</v>
      </c>
      <c r="BM20">
        <f t="shared" si="12"/>
        <v>1.8315638888734179E-2</v>
      </c>
      <c r="BN20">
        <f t="shared" si="13"/>
        <v>0</v>
      </c>
      <c r="BO20">
        <f t="shared" si="14"/>
        <v>0</v>
      </c>
      <c r="BP20">
        <f t="shared" si="15"/>
        <v>9.7811275526454411E-2</v>
      </c>
      <c r="BQ20">
        <f t="shared" si="16"/>
        <v>1.9331903489979013E-2</v>
      </c>
    </row>
    <row r="21" spans="1:69" x14ac:dyDescent="0.25">
      <c r="A21" s="1" t="s">
        <v>33</v>
      </c>
      <c r="B21">
        <f t="shared" ca="1" si="2"/>
        <v>2.4456893363870171</v>
      </c>
      <c r="C21" t="s">
        <v>445</v>
      </c>
      <c r="D21">
        <f t="shared" si="17"/>
        <v>50</v>
      </c>
      <c r="E21">
        <f t="shared" si="18"/>
        <v>1905.58</v>
      </c>
      <c r="F21">
        <f t="shared" si="19"/>
        <v>6.12</v>
      </c>
      <c r="G21">
        <f t="shared" si="20"/>
        <v>20.190000000000001</v>
      </c>
      <c r="H21">
        <f t="shared" si="21"/>
        <v>-0.05</v>
      </c>
      <c r="I21">
        <f t="shared" si="22"/>
        <v>0.02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>
        <f t="shared" si="5"/>
        <v>45</v>
      </c>
      <c r="Q21">
        <f t="shared" ca="1" si="25"/>
        <v>23.697529999999915</v>
      </c>
      <c r="R21">
        <f t="shared" ca="1" si="26"/>
        <v>18.345310999999999</v>
      </c>
      <c r="S21">
        <f t="shared" si="27"/>
        <v>50</v>
      </c>
      <c r="T21">
        <f t="shared" ca="1" si="28"/>
        <v>-22.236667000000125</v>
      </c>
      <c r="U21">
        <f t="shared" ca="1" si="29"/>
        <v>20.581531999999999</v>
      </c>
      <c r="V21">
        <f t="shared" si="30"/>
        <v>45</v>
      </c>
      <c r="W21">
        <f t="shared" ca="1" si="31"/>
        <v>18.847530000000006</v>
      </c>
      <c r="X21">
        <f t="shared" ca="1" si="32"/>
        <v>18.345310999999999</v>
      </c>
      <c r="Y21">
        <f>GetFollowingCarRow($B$45:$E$54,L21,$E$15,E21)</f>
        <v>50</v>
      </c>
      <c r="Z21">
        <f t="shared" ca="1" si="33"/>
        <v>-27.086667000000034</v>
      </c>
      <c r="AA21">
        <f t="shared" ca="1" si="34"/>
        <v>20.581531999999999</v>
      </c>
      <c r="AB21">
        <f t="shared" si="35"/>
        <v>0</v>
      </c>
      <c r="AC21">
        <f t="shared" si="36"/>
        <v>4.8499999999999091</v>
      </c>
      <c r="AD21">
        <f t="shared" si="37"/>
        <v>6.12</v>
      </c>
      <c r="AE21">
        <f t="shared" si="38"/>
        <v>-29.681999999999444</v>
      </c>
      <c r="AF21">
        <f t="shared" si="39"/>
        <v>4.8499999999999091</v>
      </c>
      <c r="AG21">
        <f>GetSmallestNormalDistance($B$45:$E$54,AB21,AC21,AF21,$L$15,L21)</f>
        <v>5.7359549999999997</v>
      </c>
      <c r="AH21">
        <f t="shared" si="6"/>
        <v>0</v>
      </c>
      <c r="AI21">
        <f>IF(G21&lt;=0,1,0)</f>
        <v>0</v>
      </c>
      <c r="AJ21">
        <f>IF(G21&lt;0,1,0)</f>
        <v>0</v>
      </c>
      <c r="AK21">
        <f>MAX(($B$3-G21)/(G21 + 1),0) / $B$3</f>
        <v>2.2906613517392738E-3</v>
      </c>
      <c r="AL21">
        <f>IF(H21+ABS(K21)&lt;0,Logistic(SQRT(H21^2+K21^2)/$B$4),0)</f>
        <v>3.1249898275137089E-3</v>
      </c>
      <c r="AM21">
        <f>IF(G21&gt;$B$3,1,0)</f>
        <v>0</v>
      </c>
      <c r="AN21">
        <f>IF(H21&gt;$B$4,1,0)</f>
        <v>0</v>
      </c>
      <c r="AO21">
        <f>ABS(H21)/$B$4</f>
        <v>6.2500000000000003E-3</v>
      </c>
      <c r="AP21">
        <f>Logistic(I21/$B$5)</f>
        <v>1.2499993489587598E-3</v>
      </c>
      <c r="AQ21">
        <f>IF(I21&gt;$B$5,1,0)</f>
        <v>0</v>
      </c>
      <c r="AR21">
        <f>Logistic(ABS(F21-O21)/($B$6/2))</f>
        <v>2.9991003238820198E-2</v>
      </c>
      <c r="AS21">
        <f>IF(OR(F21&lt;M21,F21&gt;N21),1,0)</f>
        <v>0</v>
      </c>
      <c r="AT21">
        <f>ABS(K21)/$B$4</f>
        <v>0</v>
      </c>
      <c r="AU21">
        <f t="shared" ca="1" si="40"/>
        <v>1.8730239984521987E-2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1"/>
        <v>0</v>
      </c>
      <c r="BB21">
        <f t="shared" ca="1" si="42"/>
        <v>0</v>
      </c>
      <c r="BC21">
        <f t="shared" si="43"/>
        <v>0</v>
      </c>
      <c r="BE21">
        <f t="shared" si="7"/>
        <v>0</v>
      </c>
      <c r="BF21">
        <f t="shared" si="44"/>
        <v>0</v>
      </c>
      <c r="BG21">
        <f t="shared" si="45"/>
        <v>0</v>
      </c>
      <c r="BH21">
        <f t="shared" si="8"/>
        <v>2.429913279002446E-2</v>
      </c>
      <c r="BI21">
        <f t="shared" si="9"/>
        <v>0</v>
      </c>
      <c r="BJ21">
        <f t="shared" si="10"/>
        <v>0</v>
      </c>
      <c r="BK21">
        <f t="shared" si="11"/>
        <v>8.8547718835134325E-70</v>
      </c>
      <c r="BL21">
        <f t="shared" si="46"/>
        <v>0</v>
      </c>
      <c r="BM21">
        <f t="shared" si="12"/>
        <v>5.2059707131649192E-174</v>
      </c>
      <c r="BN21">
        <f t="shared" si="13"/>
        <v>0</v>
      </c>
      <c r="BO21">
        <f t="shared" si="14"/>
        <v>0</v>
      </c>
      <c r="BP21">
        <f t="shared" si="15"/>
        <v>3.1249898275137089E-3</v>
      </c>
      <c r="BQ21">
        <f t="shared" si="16"/>
        <v>2.5502146388730353E-2</v>
      </c>
    </row>
    <row r="22" spans="1:69" x14ac:dyDescent="0.25">
      <c r="A22" s="1" t="s">
        <v>11</v>
      </c>
      <c r="B22">
        <f t="shared" ca="1" si="2"/>
        <v>2.4398619761521259</v>
      </c>
      <c r="C22" t="s">
        <v>444</v>
      </c>
      <c r="D22">
        <f t="shared" si="17"/>
        <v>50</v>
      </c>
      <c r="E22">
        <f t="shared" si="18"/>
        <v>1905.58</v>
      </c>
      <c r="F22">
        <f t="shared" si="19"/>
        <v>6.12</v>
      </c>
      <c r="G22">
        <f t="shared" si="20"/>
        <v>20.2</v>
      </c>
      <c r="H22">
        <f t="shared" si="21"/>
        <v>0</v>
      </c>
      <c r="I22">
        <f t="shared" si="22"/>
        <v>0.03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>
        <f t="shared" si="5"/>
        <v>45</v>
      </c>
      <c r="Q22">
        <f t="shared" ca="1" si="25"/>
        <v>23.697529999999915</v>
      </c>
      <c r="R22">
        <f t="shared" ca="1" si="26"/>
        <v>18.345310999999999</v>
      </c>
      <c r="S22">
        <f t="shared" si="27"/>
        <v>50</v>
      </c>
      <c r="T22">
        <f t="shared" ca="1" si="28"/>
        <v>-22.236667000000125</v>
      </c>
      <c r="U22">
        <f t="shared" ca="1" si="29"/>
        <v>20.581531999999999</v>
      </c>
      <c r="V22">
        <f t="shared" si="30"/>
        <v>45</v>
      </c>
      <c r="W22">
        <f t="shared" ca="1" si="31"/>
        <v>18.847530000000006</v>
      </c>
      <c r="X22">
        <f t="shared" ca="1" si="32"/>
        <v>18.345310999999999</v>
      </c>
      <c r="Y22">
        <f>GetFollowingCarRow($B$45:$E$54,L22,$E$15,E22)</f>
        <v>50</v>
      </c>
      <c r="Z22">
        <f t="shared" ca="1" si="33"/>
        <v>-27.086667000000034</v>
      </c>
      <c r="AA22">
        <f t="shared" ca="1" si="34"/>
        <v>20.581531999999999</v>
      </c>
      <c r="AB22">
        <f t="shared" si="35"/>
        <v>0</v>
      </c>
      <c r="AC22">
        <f t="shared" si="36"/>
        <v>4.8499999999999091</v>
      </c>
      <c r="AD22">
        <f t="shared" si="37"/>
        <v>6.12</v>
      </c>
      <c r="AE22">
        <f t="shared" si="38"/>
        <v>-29.681999999999444</v>
      </c>
      <c r="AF22">
        <f t="shared" si="39"/>
        <v>4.8499999999999091</v>
      </c>
      <c r="AG22">
        <f>GetSmallestNormalDistance($B$45:$E$54,AB22,AC22,AF22,$L$15,L22)</f>
        <v>5.7359549999999997</v>
      </c>
      <c r="AH22">
        <f t="shared" si="6"/>
        <v>0</v>
      </c>
      <c r="AI22">
        <f>IF(G22&lt;=0,1,0)</f>
        <v>0</v>
      </c>
      <c r="AJ22">
        <f>IF(G22&lt;0,1,0)</f>
        <v>0</v>
      </c>
      <c r="AK22">
        <f>MAX(($B$3-G22)/(G22 + 1),0) / $B$3</f>
        <v>2.2673519107997077E-3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1.8749978027374863E-3</v>
      </c>
      <c r="AQ22">
        <f>IF(I22&gt;$B$5,1,0)</f>
        <v>0</v>
      </c>
      <c r="AR22">
        <f>Logistic(ABS(F22-O22)/($B$6/2))</f>
        <v>2.9991003238820198E-2</v>
      </c>
      <c r="AS22">
        <f>IF(OR(F22&lt;M22,F22&gt;N22),1,0)</f>
        <v>0</v>
      </c>
      <c r="AT22">
        <f>ABS(K22)/$B$4</f>
        <v>0</v>
      </c>
      <c r="AU22">
        <f t="shared" ca="1" si="40"/>
        <v>1.8730239984521987E-2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1"/>
        <v>0</v>
      </c>
      <c r="BB22">
        <f t="shared" ca="1" si="42"/>
        <v>0</v>
      </c>
      <c r="BC22">
        <f t="shared" si="43"/>
        <v>0</v>
      </c>
      <c r="BE22">
        <f t="shared" si="7"/>
        <v>0</v>
      </c>
      <c r="BF22">
        <f t="shared" si="44"/>
        <v>0</v>
      </c>
      <c r="BG22">
        <f t="shared" si="45"/>
        <v>0</v>
      </c>
      <c r="BH22">
        <f t="shared" si="8"/>
        <v>2.4051964166865801E-2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6"/>
        <v>0</v>
      </c>
      <c r="BM22">
        <f t="shared" si="12"/>
        <v>4.1921097212671696E-116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2.5242161546883055E-2</v>
      </c>
    </row>
    <row r="23" spans="1:69" x14ac:dyDescent="0.25">
      <c r="A23" s="1" t="s">
        <v>34</v>
      </c>
      <c r="B23">
        <f t="shared" ca="1" si="2"/>
        <v>4.3743856624088906</v>
      </c>
      <c r="C23" t="s">
        <v>443</v>
      </c>
      <c r="D23">
        <f t="shared" si="17"/>
        <v>137</v>
      </c>
      <c r="E23">
        <f t="shared" si="18"/>
        <v>1938.55</v>
      </c>
      <c r="F23">
        <f t="shared" si="19"/>
        <v>8.82</v>
      </c>
      <c r="G23">
        <f t="shared" si="20"/>
        <v>17.63</v>
      </c>
      <c r="H23">
        <f t="shared" si="21"/>
        <v>-0.65</v>
      </c>
      <c r="I23">
        <f t="shared" si="22"/>
        <v>0.62</v>
      </c>
      <c r="J23">
        <f t="shared" si="23"/>
        <v>-0.64</v>
      </c>
      <c r="K23">
        <f t="shared" si="24"/>
        <v>0.98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 t="e">
        <f t="shared" si="5"/>
        <v>#VALUE!</v>
      </c>
      <c r="Q23">
        <f t="shared" ca="1" si="25"/>
        <v>1000000</v>
      </c>
      <c r="R23">
        <f t="shared" ca="1" si="26"/>
        <v>100</v>
      </c>
      <c r="S23">
        <f t="shared" si="27"/>
        <v>48</v>
      </c>
      <c r="T23">
        <f t="shared" ca="1" si="28"/>
        <v>-114.82737799999995</v>
      </c>
      <c r="U23">
        <f t="shared" ca="1" si="29"/>
        <v>18.991381000000001</v>
      </c>
      <c r="V23" t="e">
        <f t="shared" si="30"/>
        <v>#VALUE!</v>
      </c>
      <c r="W23">
        <f t="shared" ca="1" si="31"/>
        <v>1000000000</v>
      </c>
      <c r="X23">
        <f t="shared" ca="1" si="32"/>
        <v>100</v>
      </c>
      <c r="Y23">
        <f>GetFollowingCarRow($B$45:$E$54,L23,$E$15,E23)</f>
        <v>48</v>
      </c>
      <c r="Z23">
        <f t="shared" ca="1" si="33"/>
        <v>-152.64737799999989</v>
      </c>
      <c r="AA23">
        <f t="shared" ca="1" si="34"/>
        <v>18.991381000000001</v>
      </c>
      <c r="AB23">
        <f t="shared" si="35"/>
        <v>-2.7</v>
      </c>
      <c r="AC23">
        <f t="shared" si="36"/>
        <v>37.819999999999936</v>
      </c>
      <c r="AD23">
        <f t="shared" si="37"/>
        <v>-129.57463246959304</v>
      </c>
      <c r="AE23">
        <f t="shared" si="38"/>
        <v>4900.5126000000009</v>
      </c>
      <c r="AF23">
        <f t="shared" si="39"/>
        <v>37.916255089341234</v>
      </c>
      <c r="AG23">
        <f>GetSmallestNormalDistance($B$45:$E$54,AB23,AC23,AF23,$L$15,L23)</f>
        <v>115.61886293228244</v>
      </c>
      <c r="AH23">
        <f t="shared" si="6"/>
        <v>0.70137413093831247</v>
      </c>
      <c r="AI23">
        <f>IF(G23&lt;=0,1,0)</f>
        <v>0</v>
      </c>
      <c r="AJ23">
        <f>IF(G23&lt;0,1,0)</f>
        <v>0</v>
      </c>
      <c r="AK23">
        <f>MAX(($B$3-G23)/(G23 + 1),0) / $B$3</f>
        <v>9.0810530783758114E-3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8.1250000000000003E-2</v>
      </c>
      <c r="AP23">
        <f>Logistic(I23/$B$5)</f>
        <v>3.8730616459863913E-2</v>
      </c>
      <c r="AQ23">
        <f>IF(I23&gt;$B$5,1,0)</f>
        <v>0</v>
      </c>
      <c r="AR23">
        <f>Logistic(ABS(F23-O23)/($B$6/2))</f>
        <v>0.28673029138880346</v>
      </c>
      <c r="AS23">
        <f>IF(OR(F23&lt;M23,F23&gt;N23),1,0)</f>
        <v>0</v>
      </c>
      <c r="AT23">
        <f>ABS(K23)/$B$4</f>
        <v>0.1225</v>
      </c>
      <c r="AU23">
        <f t="shared" ca="1" si="40"/>
        <v>0</v>
      </c>
      <c r="AV23">
        <f ca="1">IF(AND(L23&lt;&gt;$L$15,$Q$15&gt;Safety_Distance),1,0)</f>
        <v>0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1"/>
        <v>0</v>
      </c>
      <c r="BB23">
        <f t="shared" ca="1" si="42"/>
        <v>0</v>
      </c>
      <c r="BC23">
        <f t="shared" si="43"/>
        <v>0</v>
      </c>
      <c r="BE23">
        <f t="shared" si="7"/>
        <v>0.70137413093831247</v>
      </c>
      <c r="BF23">
        <f t="shared" si="44"/>
        <v>0</v>
      </c>
      <c r="BG23">
        <f t="shared" si="45"/>
        <v>0</v>
      </c>
      <c r="BH23">
        <f t="shared" si="8"/>
        <v>9.6052927017132722E-2</v>
      </c>
      <c r="BI23">
        <f t="shared" si="9"/>
        <v>0</v>
      </c>
      <c r="BJ23">
        <f t="shared" si="10"/>
        <v>0</v>
      </c>
      <c r="BK23">
        <f t="shared" si="11"/>
        <v>1.2278113047340515E-5</v>
      </c>
      <c r="BL23">
        <f t="shared" si="46"/>
        <v>0</v>
      </c>
      <c r="BM23">
        <f t="shared" si="12"/>
        <v>6.7685355676739947E-6</v>
      </c>
      <c r="BN23">
        <f t="shared" si="13"/>
        <v>0</v>
      </c>
      <c r="BO23">
        <f t="shared" si="14"/>
        <v>0.1225</v>
      </c>
      <c r="BP23">
        <f t="shared" si="15"/>
        <v>4.0602665704295521E-2</v>
      </c>
      <c r="BQ23">
        <f t="shared" si="16"/>
        <v>0.1014647249750632</v>
      </c>
    </row>
    <row r="24" spans="1:69" x14ac:dyDescent="0.25">
      <c r="A24" s="1" t="s">
        <v>35</v>
      </c>
      <c r="B24">
        <f t="shared" ca="1" si="2"/>
        <v>11.57755413674899</v>
      </c>
      <c r="C24" t="s">
        <v>442</v>
      </c>
      <c r="D24">
        <f t="shared" si="17"/>
        <v>120</v>
      </c>
      <c r="E24">
        <f t="shared" si="18"/>
        <v>1926.71</v>
      </c>
      <c r="F24">
        <f t="shared" si="19"/>
        <v>9.01</v>
      </c>
      <c r="G24">
        <f t="shared" si="20"/>
        <v>11.15</v>
      </c>
      <c r="H24">
        <f t="shared" si="21"/>
        <v>-2.74</v>
      </c>
      <c r="I24">
        <f t="shared" si="22"/>
        <v>2.71</v>
      </c>
      <c r="J24">
        <f t="shared" si="23"/>
        <v>-1.29</v>
      </c>
      <c r="K24">
        <f t="shared" si="24"/>
        <v>1.75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 t="e">
        <f t="shared" si="5"/>
        <v>#VALUE!</v>
      </c>
      <c r="Q24">
        <f t="shared" ca="1" si="25"/>
        <v>1000000</v>
      </c>
      <c r="R24">
        <f t="shared" ca="1" si="26"/>
        <v>100</v>
      </c>
      <c r="S24">
        <f t="shared" si="27"/>
        <v>48</v>
      </c>
      <c r="T24">
        <f t="shared" ca="1" si="28"/>
        <v>-114.82737799999995</v>
      </c>
      <c r="U24">
        <f t="shared" ca="1" si="29"/>
        <v>18.991381000000001</v>
      </c>
      <c r="V24" t="e">
        <f t="shared" si="30"/>
        <v>#VALUE!</v>
      </c>
      <c r="W24">
        <f t="shared" ca="1" si="31"/>
        <v>1000000000</v>
      </c>
      <c r="X24">
        <f t="shared" ca="1" si="32"/>
        <v>100</v>
      </c>
      <c r="Y24">
        <f>GetFollowingCarRow($B$45:$E$54,L24,$E$15,E24)</f>
        <v>48</v>
      </c>
      <c r="Z24">
        <f t="shared" ca="1" si="33"/>
        <v>-140.80737799999997</v>
      </c>
      <c r="AA24">
        <f t="shared" ca="1" si="34"/>
        <v>18.991381000000001</v>
      </c>
      <c r="AB24">
        <f t="shared" si="35"/>
        <v>-2.8899999999999997</v>
      </c>
      <c r="AC24">
        <f t="shared" si="36"/>
        <v>25.980000000000018</v>
      </c>
      <c r="AD24">
        <f t="shared" si="37"/>
        <v>-205.31609314857565</v>
      </c>
      <c r="AE24">
        <f t="shared" si="38"/>
        <v>5334.1120999999994</v>
      </c>
      <c r="AF24">
        <f t="shared" si="39"/>
        <v>26.140246747113938</v>
      </c>
      <c r="AG24">
        <f>GetSmallestNormalDistance($B$45:$E$54,AB24,AC24,AF24,$L$15,L24)</f>
        <v>182.83802513217213</v>
      </c>
      <c r="AH24">
        <f t="shared" si="6"/>
        <v>0.6043677771171635</v>
      </c>
      <c r="AI24">
        <f>IF(G24&lt;=0,1,0)</f>
        <v>0</v>
      </c>
      <c r="AJ24">
        <f>IF(G24&lt;0,1,0)</f>
        <v>0</v>
      </c>
      <c r="AK24">
        <f>MAX(($B$3-G24)/(G24 + 1),0) / $B$3</f>
        <v>3.9057803221589998E-2</v>
      </c>
      <c r="AL24">
        <f>IF(H24+ABS(K24)&lt;0,Logistic(SQRT(H24^2+K24^2)/$B$4),0)</f>
        <v>0.20044684770471488</v>
      </c>
      <c r="AM24">
        <f>IF(G24&gt;$B$3,1,0)</f>
        <v>0</v>
      </c>
      <c r="AN24">
        <f>IF(H24&gt;$B$4,1,0)</f>
        <v>0</v>
      </c>
      <c r="AO24">
        <f>ABS(H24)/$B$4</f>
        <v>0.34250000000000003</v>
      </c>
      <c r="AP24">
        <f>Logistic(I24/$B$5)</f>
        <v>0.16777370214454385</v>
      </c>
      <c r="AQ24">
        <f>IF(I24&gt;$B$5,1,0)</f>
        <v>0</v>
      </c>
      <c r="AR24">
        <f>Logistic(ABS(F24-O24)/($B$6/2))</f>
        <v>0.2425671903821357</v>
      </c>
      <c r="AS24">
        <f>IF(OR(F24&lt;M24,F24&gt;N24),1,0)</f>
        <v>0</v>
      </c>
      <c r="AT24">
        <f>ABS(K24)/$B$4</f>
        <v>0.21875</v>
      </c>
      <c r="AU24">
        <f t="shared" ca="1" si="40"/>
        <v>0</v>
      </c>
      <c r="AV24">
        <f ca="1">IF(AND(L24&lt;&gt;$L$15,$Q$15&gt;Safety_Distance),1,0)</f>
        <v>0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1"/>
        <v>0</v>
      </c>
      <c r="BB24">
        <f t="shared" ca="1" si="42"/>
        <v>0</v>
      </c>
      <c r="BC24">
        <f t="shared" si="43"/>
        <v>0</v>
      </c>
      <c r="BE24">
        <f t="shared" si="7"/>
        <v>0.6043677771171635</v>
      </c>
      <c r="BF24">
        <f t="shared" si="44"/>
        <v>0</v>
      </c>
      <c r="BG24">
        <f t="shared" si="45"/>
        <v>0</v>
      </c>
      <c r="BH24">
        <f t="shared" si="8"/>
        <v>0.39220505849381082</v>
      </c>
      <c r="BI24">
        <f t="shared" si="9"/>
        <v>0</v>
      </c>
      <c r="BJ24">
        <f t="shared" si="10"/>
        <v>0</v>
      </c>
      <c r="BK24">
        <f t="shared" si="11"/>
        <v>0.14664977333230336</v>
      </c>
      <c r="BL24">
        <f t="shared" si="46"/>
        <v>0</v>
      </c>
      <c r="BM24">
        <f t="shared" si="12"/>
        <v>0.1419856162827054</v>
      </c>
      <c r="BN24">
        <f t="shared" si="13"/>
        <v>0</v>
      </c>
      <c r="BO24">
        <f t="shared" si="14"/>
        <v>0.21875</v>
      </c>
      <c r="BP24">
        <f t="shared" si="15"/>
        <v>0.16959534943547402</v>
      </c>
      <c r="BQ24">
        <f t="shared" si="16"/>
        <v>0.42318828692207394</v>
      </c>
    </row>
    <row r="25" spans="1:69" x14ac:dyDescent="0.25">
      <c r="A25" s="1" t="s">
        <v>36</v>
      </c>
      <c r="B25">
        <f t="shared" ca="1" si="2"/>
        <v>184.16680667547067</v>
      </c>
      <c r="C25" t="s">
        <v>441</v>
      </c>
      <c r="D25">
        <f t="shared" si="17"/>
        <v>137</v>
      </c>
      <c r="E25">
        <f t="shared" si="18"/>
        <v>1880.35</v>
      </c>
      <c r="F25">
        <f t="shared" si="19"/>
        <v>6.19</v>
      </c>
      <c r="G25">
        <f t="shared" si="20"/>
        <v>-40.28</v>
      </c>
      <c r="H25">
        <f t="shared" si="21"/>
        <v>-15.2</v>
      </c>
      <c r="I25">
        <f t="shared" si="22"/>
        <v>15.17</v>
      </c>
      <c r="J25">
        <f t="shared" si="23"/>
        <v>-0.1</v>
      </c>
      <c r="K25">
        <f t="shared" si="24"/>
        <v>3.94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 t="e">
        <f t="shared" si="5"/>
        <v>#VALUE!</v>
      </c>
      <c r="Q25">
        <f t="shared" ca="1" si="25"/>
        <v>1000000</v>
      </c>
      <c r="R25">
        <f t="shared" ca="1" si="26"/>
        <v>100</v>
      </c>
      <c r="S25">
        <f t="shared" si="27"/>
        <v>48</v>
      </c>
      <c r="T25">
        <f t="shared" ca="1" si="28"/>
        <v>-114.82737799999995</v>
      </c>
      <c r="U25">
        <f t="shared" ca="1" si="29"/>
        <v>18.991381000000001</v>
      </c>
      <c r="V25" t="e">
        <f t="shared" si="30"/>
        <v>#VALUE!</v>
      </c>
      <c r="W25">
        <f t="shared" ca="1" si="31"/>
        <v>1000000000</v>
      </c>
      <c r="X25">
        <f t="shared" ca="1" si="32"/>
        <v>100</v>
      </c>
      <c r="Y25">
        <f>GetFollowingCarRow($B$45:$E$54,L25,$E$15,E25)</f>
        <v>48</v>
      </c>
      <c r="Z25">
        <f t="shared" ca="1" si="33"/>
        <v>-94.447377999999844</v>
      </c>
      <c r="AA25">
        <f t="shared" ca="1" si="34"/>
        <v>18.991381000000001</v>
      </c>
      <c r="AB25">
        <f t="shared" si="35"/>
        <v>-7.0000000000000284E-2</v>
      </c>
      <c r="AC25">
        <f t="shared" si="36"/>
        <v>-20.380000000000109</v>
      </c>
      <c r="AD25">
        <f t="shared" si="37"/>
        <v>12.648513248282622</v>
      </c>
      <c r="AE25">
        <f t="shared" si="38"/>
        <v>257.7767000000012</v>
      </c>
      <c r="AF25">
        <f t="shared" si="39"/>
        <v>20.380120215543492</v>
      </c>
      <c r="AG25">
        <f>GetSmallestNormalDistance($B$45:$E$54,AB25,AC25,AF25,$L$15,L25)</f>
        <v>11.698870036996142</v>
      </c>
      <c r="AH25">
        <f t="shared" si="6"/>
        <v>0.70137413093831247</v>
      </c>
      <c r="AI25">
        <f>IF(G25&lt;=0,1,0)</f>
        <v>1</v>
      </c>
      <c r="AJ25">
        <f>IF(G25&lt;0,1,0)</f>
        <v>1</v>
      </c>
      <c r="AK25">
        <f>MAX(($B$3-G25)/(G25 + 1),0) / $B$3</f>
        <v>0</v>
      </c>
      <c r="AL25">
        <f>IF(H25+ABS(K25)&lt;0,Logistic(SQRT(H25^2+K25^2)/$B$4),0)</f>
        <v>0.75366979660380606</v>
      </c>
      <c r="AM25">
        <f>IF(G25&gt;$B$3,1,0)</f>
        <v>0</v>
      </c>
      <c r="AN25">
        <f>IF(H25&gt;$B$4,1,0)</f>
        <v>0</v>
      </c>
      <c r="AO25">
        <f>ABS(H25)/$B$4</f>
        <v>1.9</v>
      </c>
      <c r="AP25">
        <f>Logistic(I25/$B$5)</f>
        <v>0.7389330212547911</v>
      </c>
      <c r="AQ25">
        <f>IF(I25&gt;$B$5,1,0)</f>
        <v>1</v>
      </c>
      <c r="AR25">
        <f>Logistic(ABS(F25-O25)/($B$6/2))</f>
        <v>0.74091276216064328</v>
      </c>
      <c r="AS25">
        <f>IF(OR(F25&lt;M25,F25&gt;N25),1,0)</f>
        <v>1</v>
      </c>
      <c r="AT25">
        <f>ABS(K25)/$B$4</f>
        <v>0.49249999999999999</v>
      </c>
      <c r="AU25">
        <f t="shared" ca="1" si="40"/>
        <v>0</v>
      </c>
      <c r="AV25">
        <f ca="1">IF(AND(L25&lt;&gt;$L$15,$Q$15&gt;Safety_Distance),1,0)</f>
        <v>0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0.80626842826557399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0.84065264482364621</v>
      </c>
      <c r="BA25">
        <f t="shared" ca="1" si="41"/>
        <v>0</v>
      </c>
      <c r="BB25">
        <f t="shared" ca="1" si="42"/>
        <v>0</v>
      </c>
      <c r="BC25">
        <f t="shared" si="43"/>
        <v>0</v>
      </c>
      <c r="BE25">
        <f t="shared" si="7"/>
        <v>0.70137413093831247</v>
      </c>
      <c r="BF25">
        <f t="shared" si="44"/>
        <v>1</v>
      </c>
      <c r="BG25">
        <f t="shared" si="45"/>
        <v>1</v>
      </c>
      <c r="BH25">
        <f t="shared" si="8"/>
        <v>-0.65433442376044837</v>
      </c>
      <c r="BI25">
        <f t="shared" si="9"/>
        <v>0</v>
      </c>
      <c r="BJ25">
        <f t="shared" si="10"/>
        <v>0</v>
      </c>
      <c r="BK25">
        <f t="shared" si="11"/>
        <v>1.6058997806999289</v>
      </c>
      <c r="BL25">
        <f t="shared" si="46"/>
        <v>1</v>
      </c>
      <c r="BM25">
        <f t="shared" si="12"/>
        <v>1.6042291728535483</v>
      </c>
      <c r="BN25">
        <f t="shared" si="13"/>
        <v>0.4524999999999999</v>
      </c>
      <c r="BO25">
        <f t="shared" si="14"/>
        <v>0.49249999999999999</v>
      </c>
      <c r="BP25">
        <f t="shared" si="15"/>
        <v>0.73978305127400423</v>
      </c>
      <c r="BQ25">
        <f t="shared" si="16"/>
        <v>-0.6430788777026919</v>
      </c>
    </row>
    <row r="26" spans="1:69" x14ac:dyDescent="0.25">
      <c r="A26" s="1" t="s">
        <v>79</v>
      </c>
      <c r="B26">
        <f t="shared" ca="1" si="2"/>
        <v>5.4197470293192032</v>
      </c>
      <c r="C26" t="s">
        <v>440</v>
      </c>
      <c r="D26">
        <f t="shared" si="17"/>
        <v>137</v>
      </c>
      <c r="E26">
        <f t="shared" si="18"/>
        <v>1937.26</v>
      </c>
      <c r="F26">
        <f t="shared" si="19"/>
        <v>8.77</v>
      </c>
      <c r="G26">
        <f t="shared" si="20"/>
        <v>16.34</v>
      </c>
      <c r="H26">
        <f t="shared" si="21"/>
        <v>-0.97</v>
      </c>
      <c r="I26">
        <f t="shared" si="22"/>
        <v>0.94</v>
      </c>
      <c r="J26">
        <f t="shared" si="23"/>
        <v>-0.74</v>
      </c>
      <c r="K26">
        <f t="shared" si="24"/>
        <v>0.98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 t="e">
        <f t="shared" si="5"/>
        <v>#VALUE!</v>
      </c>
      <c r="Q26">
        <f t="shared" ca="1" si="25"/>
        <v>1000000</v>
      </c>
      <c r="R26">
        <f t="shared" ca="1" si="26"/>
        <v>100</v>
      </c>
      <c r="S26">
        <f t="shared" si="27"/>
        <v>48</v>
      </c>
      <c r="T26">
        <f t="shared" ca="1" si="28"/>
        <v>-114.82737799999995</v>
      </c>
      <c r="U26">
        <f t="shared" ca="1" si="29"/>
        <v>18.991381000000001</v>
      </c>
      <c r="V26" t="e">
        <f t="shared" si="30"/>
        <v>#VALUE!</v>
      </c>
      <c r="W26">
        <f t="shared" ca="1" si="31"/>
        <v>1000000000</v>
      </c>
      <c r="X26">
        <f t="shared" ca="1" si="32"/>
        <v>100</v>
      </c>
      <c r="Y26">
        <f>GetFollowingCarRow($B$45:$E$54,L26,$E$15,E26)</f>
        <v>48</v>
      </c>
      <c r="Z26">
        <f t="shared" ca="1" si="33"/>
        <v>-151.35737799999993</v>
      </c>
      <c r="AA26">
        <f t="shared" ca="1" si="34"/>
        <v>18.991381000000001</v>
      </c>
      <c r="AB26">
        <f t="shared" si="35"/>
        <v>-2.6499999999999995</v>
      </c>
      <c r="AC26">
        <f t="shared" si="36"/>
        <v>36.529999999999973</v>
      </c>
      <c r="AD26">
        <f t="shared" si="37"/>
        <v>-131.76487544483993</v>
      </c>
      <c r="AE26">
        <f t="shared" si="38"/>
        <v>4813.370899999999</v>
      </c>
      <c r="AF26">
        <f t="shared" si="39"/>
        <v>36.625993501883308</v>
      </c>
      <c r="AG26">
        <f>GetSmallestNormalDistance($B$45:$E$54,AB26,AC26,AF26,$L$15,L26)</f>
        <v>117.57207013916427</v>
      </c>
      <c r="AH26">
        <f t="shared" si="6"/>
        <v>0.70137413093831247</v>
      </c>
      <c r="AI26">
        <f>IF(G26&lt;=0,1,0)</f>
        <v>0</v>
      </c>
      <c r="AJ26">
        <f>IF(G26&lt;0,1,0)</f>
        <v>0</v>
      </c>
      <c r="AK26">
        <f>MAX(($B$3-G26)/(G26 + 1),0) / $B$3</f>
        <v>1.3262498546017064E-2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0.12125</v>
      </c>
      <c r="AP26">
        <f>Logistic(I26/$B$5)</f>
        <v>5.8682500091571284E-2</v>
      </c>
      <c r="AQ26">
        <f>IF(I26&gt;$B$5,1,0)</f>
        <v>0</v>
      </c>
      <c r="AR26">
        <f>Logistic(ABS(F26-O26)/($B$6/2))</f>
        <v>0.29816104848914671</v>
      </c>
      <c r="AS26">
        <f>IF(OR(F26&lt;M26,F26&gt;N26),1,0)</f>
        <v>0</v>
      </c>
      <c r="AT26">
        <f>ABS(K26)/$B$4</f>
        <v>0.1225</v>
      </c>
      <c r="AU26">
        <f t="shared" ca="1" si="40"/>
        <v>0</v>
      </c>
      <c r="AV26">
        <f ca="1">IF(AND(L26&lt;&gt;$L$15,$Q$15&gt;Safety_Distance),1,0)</f>
        <v>0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1"/>
        <v>0</v>
      </c>
      <c r="BB26">
        <f t="shared" ca="1" si="42"/>
        <v>0</v>
      </c>
      <c r="BC26">
        <f t="shared" si="43"/>
        <v>0</v>
      </c>
      <c r="BE26">
        <f t="shared" si="7"/>
        <v>0.70137413093831247</v>
      </c>
      <c r="BF26">
        <f t="shared" si="44"/>
        <v>0</v>
      </c>
      <c r="BG26">
        <f t="shared" si="45"/>
        <v>0</v>
      </c>
      <c r="BH26">
        <f t="shared" si="8"/>
        <v>0.13979365256904916</v>
      </c>
      <c r="BI26">
        <f t="shared" si="9"/>
        <v>0</v>
      </c>
      <c r="BJ26">
        <f t="shared" si="10"/>
        <v>0</v>
      </c>
      <c r="BK26">
        <f t="shared" si="11"/>
        <v>7.1200709592698702E-4</v>
      </c>
      <c r="BL26">
        <f t="shared" si="46"/>
        <v>0</v>
      </c>
      <c r="BM26">
        <f t="shared" si="12"/>
        <v>5.4723168039542177E-4</v>
      </c>
      <c r="BN26">
        <f t="shared" si="13"/>
        <v>0</v>
      </c>
      <c r="BO26">
        <f t="shared" si="14"/>
        <v>0.1225</v>
      </c>
      <c r="BP26">
        <f t="shared" si="15"/>
        <v>6.0550835512596476E-2</v>
      </c>
      <c r="BQ26">
        <f t="shared" si="16"/>
        <v>0.14822669566293073</v>
      </c>
    </row>
    <row r="27" spans="1:69" x14ac:dyDescent="0.25">
      <c r="A27" s="1" t="s">
        <v>80</v>
      </c>
      <c r="B27">
        <f t="shared" ca="1" si="2"/>
        <v>15.127101654720885</v>
      </c>
      <c r="C27" t="s">
        <v>439</v>
      </c>
      <c r="D27">
        <f t="shared" si="17"/>
        <v>125</v>
      </c>
      <c r="E27">
        <f t="shared" si="18"/>
        <v>1926.79</v>
      </c>
      <c r="F27">
        <f t="shared" si="19"/>
        <v>9.01</v>
      </c>
      <c r="G27">
        <f t="shared" si="20"/>
        <v>9.4700000000000006</v>
      </c>
      <c r="H27">
        <f t="shared" si="21"/>
        <v>-3.07</v>
      </c>
      <c r="I27">
        <f t="shared" si="22"/>
        <v>3.03</v>
      </c>
      <c r="J27">
        <f t="shared" si="23"/>
        <v>-1.0900000000000001</v>
      </c>
      <c r="K27">
        <f t="shared" si="24"/>
        <v>1.75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 t="e">
        <f t="shared" si="5"/>
        <v>#VALUE!</v>
      </c>
      <c r="Q27">
        <f t="shared" ca="1" si="25"/>
        <v>1000000</v>
      </c>
      <c r="R27">
        <f t="shared" ca="1" si="26"/>
        <v>100</v>
      </c>
      <c r="S27">
        <f t="shared" si="27"/>
        <v>48</v>
      </c>
      <c r="T27">
        <f t="shared" ca="1" si="28"/>
        <v>-114.82737799999995</v>
      </c>
      <c r="U27">
        <f t="shared" ca="1" si="29"/>
        <v>18.991381000000001</v>
      </c>
      <c r="V27" t="e">
        <f t="shared" si="30"/>
        <v>#VALUE!</v>
      </c>
      <c r="W27">
        <f t="shared" ca="1" si="31"/>
        <v>1000000000</v>
      </c>
      <c r="X27">
        <f t="shared" ca="1" si="32"/>
        <v>100</v>
      </c>
      <c r="Y27">
        <f>GetFollowingCarRow($B$45:$E$54,L27,$E$15,E27)</f>
        <v>48</v>
      </c>
      <c r="Z27">
        <f t="shared" ca="1" si="33"/>
        <v>-140.8873779999999</v>
      </c>
      <c r="AA27">
        <f t="shared" ca="1" si="34"/>
        <v>18.991381000000001</v>
      </c>
      <c r="AB27">
        <f t="shared" si="35"/>
        <v>-2.8899999999999997</v>
      </c>
      <c r="AC27">
        <f t="shared" si="36"/>
        <v>26.059999999999945</v>
      </c>
      <c r="AD27">
        <f t="shared" si="37"/>
        <v>-204.66701841903341</v>
      </c>
      <c r="AE27">
        <f t="shared" si="38"/>
        <v>5333.6224999999995</v>
      </c>
      <c r="AF27">
        <f t="shared" si="39"/>
        <v>26.219757817340668</v>
      </c>
      <c r="AG27">
        <f>GetSmallestNormalDistance($B$45:$E$54,AB27,AC27,AF27,$L$15,L27)</f>
        <v>182.26524416138574</v>
      </c>
      <c r="AH27">
        <f t="shared" si="6"/>
        <v>0.6351489523872873</v>
      </c>
      <c r="AI27">
        <f>IF(G27&lt;=0,1,0)</f>
        <v>0</v>
      </c>
      <c r="AJ27">
        <f>IF(G27&lt;0,1,0)</f>
        <v>0</v>
      </c>
      <c r="AK27">
        <f>MAX(($B$3-G27)/(G27 + 1),0) / $B$3</f>
        <v>5.2886619190236087E-2</v>
      </c>
      <c r="AL27">
        <f>IF(H27+ABS(K27)&lt;0,Logistic(SQRT(H27^2+K27^2)/$B$4),0)</f>
        <v>0.21733708850583555</v>
      </c>
      <c r="AM27">
        <f>IF(G27&gt;$B$3,1,0)</f>
        <v>0</v>
      </c>
      <c r="AN27">
        <f>IF(H27&gt;$B$4,1,0)</f>
        <v>0</v>
      </c>
      <c r="AO27">
        <f>ABS(H27)/$B$4</f>
        <v>0.38374999999999998</v>
      </c>
      <c r="AP27">
        <f>Logistic(I27/$B$5)</f>
        <v>0.18714316558386412</v>
      </c>
      <c r="AQ27">
        <f>IF(I27&gt;$B$5,1,0)</f>
        <v>0</v>
      </c>
      <c r="AR27">
        <f>Logistic(ABS(F27-O27)/($B$6/2))</f>
        <v>0.2425671903821357</v>
      </c>
      <c r="AS27">
        <f>IF(OR(F27&lt;M27,F27&gt;N27),1,0)</f>
        <v>0</v>
      </c>
      <c r="AT27">
        <f>ABS(K27)/$B$4</f>
        <v>0.21875</v>
      </c>
      <c r="AU27">
        <f t="shared" ca="1" si="40"/>
        <v>0</v>
      </c>
      <c r="AV27">
        <f ca="1">IF(AND(L27&lt;&gt;$L$15,$Q$15&gt;Safety_Distance),1,0)</f>
        <v>0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</v>
      </c>
      <c r="BA27">
        <f t="shared" ca="1" si="41"/>
        <v>0</v>
      </c>
      <c r="BB27">
        <f t="shared" ca="1" si="42"/>
        <v>0</v>
      </c>
      <c r="BC27">
        <f t="shared" si="43"/>
        <v>0</v>
      </c>
      <c r="BE27">
        <f t="shared" si="7"/>
        <v>0.6351489523872873</v>
      </c>
      <c r="BF27">
        <f t="shared" si="44"/>
        <v>0</v>
      </c>
      <c r="BG27">
        <f t="shared" si="45"/>
        <v>0</v>
      </c>
      <c r="BH27">
        <f t="shared" si="8"/>
        <v>0.50881316376314289</v>
      </c>
      <c r="BI27">
        <f t="shared" si="9"/>
        <v>0</v>
      </c>
      <c r="BJ27">
        <f t="shared" si="10"/>
        <v>0</v>
      </c>
      <c r="BK27">
        <f t="shared" si="11"/>
        <v>0.2007162234368545</v>
      </c>
      <c r="BL27">
        <f t="shared" si="46"/>
        <v>0</v>
      </c>
      <c r="BM27">
        <f t="shared" si="12"/>
        <v>0.19392883319871543</v>
      </c>
      <c r="BN27">
        <f t="shared" si="13"/>
        <v>0</v>
      </c>
      <c r="BO27">
        <f t="shared" si="14"/>
        <v>0.21875</v>
      </c>
      <c r="BP27">
        <f t="shared" si="15"/>
        <v>0.18955447599858041</v>
      </c>
      <c r="BQ27">
        <f t="shared" si="16"/>
        <v>0.55139265401569648</v>
      </c>
    </row>
    <row r="28" spans="1:69" x14ac:dyDescent="0.25">
      <c r="A28" s="1" t="s">
        <v>81</v>
      </c>
      <c r="B28">
        <f t="shared" ca="1" si="2"/>
        <v>184.20807286250451</v>
      </c>
      <c r="C28" t="s">
        <v>438</v>
      </c>
      <c r="D28">
        <f t="shared" si="17"/>
        <v>137</v>
      </c>
      <c r="E28">
        <f t="shared" si="18"/>
        <v>1879.05</v>
      </c>
      <c r="F28">
        <f t="shared" si="19"/>
        <v>6.19</v>
      </c>
      <c r="G28">
        <f t="shared" si="20"/>
        <v>-41.57</v>
      </c>
      <c r="H28">
        <f t="shared" si="21"/>
        <v>-15.52</v>
      </c>
      <c r="I28">
        <f t="shared" si="22"/>
        <v>15.49</v>
      </c>
      <c r="J28">
        <f t="shared" si="23"/>
        <v>-0.1</v>
      </c>
      <c r="K28">
        <f t="shared" si="24"/>
        <v>3.94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 t="e">
        <f t="shared" si="5"/>
        <v>#VALUE!</v>
      </c>
      <c r="Q28">
        <f t="shared" ca="1" si="25"/>
        <v>1000000</v>
      </c>
      <c r="R28">
        <f t="shared" ca="1" si="26"/>
        <v>100</v>
      </c>
      <c r="S28">
        <f t="shared" si="27"/>
        <v>48</v>
      </c>
      <c r="T28">
        <f t="shared" ca="1" si="28"/>
        <v>-114.82737799999995</v>
      </c>
      <c r="U28">
        <f t="shared" ca="1" si="29"/>
        <v>18.991381000000001</v>
      </c>
      <c r="V28" t="e">
        <f t="shared" si="30"/>
        <v>#VALUE!</v>
      </c>
      <c r="W28">
        <f t="shared" ca="1" si="31"/>
        <v>1000000000</v>
      </c>
      <c r="X28">
        <f t="shared" ca="1" si="32"/>
        <v>100</v>
      </c>
      <c r="Y28">
        <f>GetFollowingCarRow($B$45:$E$54,L28,$E$15,E28)</f>
        <v>48</v>
      </c>
      <c r="Z28">
        <f t="shared" ca="1" si="33"/>
        <v>-93.14737799999989</v>
      </c>
      <c r="AA28">
        <f t="shared" ca="1" si="34"/>
        <v>18.991381000000001</v>
      </c>
      <c r="AB28">
        <f t="shared" si="35"/>
        <v>-7.0000000000000284E-2</v>
      </c>
      <c r="AC28">
        <f t="shared" si="36"/>
        <v>-21.680000000000064</v>
      </c>
      <c r="AD28">
        <f t="shared" si="37"/>
        <v>12.257043357933586</v>
      </c>
      <c r="AE28">
        <f t="shared" si="38"/>
        <v>265.73270000000093</v>
      </c>
      <c r="AF28">
        <f t="shared" si="39"/>
        <v>21.680113007085613</v>
      </c>
      <c r="AG28">
        <f>GetSmallestNormalDistance($B$45:$E$54,AB28,AC28,AF28,$L$15,L28)</f>
        <v>11.341320922065334</v>
      </c>
      <c r="AH28">
        <f t="shared" si="6"/>
        <v>0.70137413093831247</v>
      </c>
      <c r="AI28">
        <f>IF(G28&lt;=0,1,0)</f>
        <v>1</v>
      </c>
      <c r="AJ28">
        <f>IF(G28&lt;0,1,0)</f>
        <v>1</v>
      </c>
      <c r="AK28">
        <f>MAX(($B$3-G28)/(G28 + 1),0) / $B$3</f>
        <v>0</v>
      </c>
      <c r="AL28">
        <f>IF(H28+ABS(K28)&lt;0,Logistic(SQRT(H28^2+K28^2)/$B$4),0)</f>
        <v>0.7619170258661162</v>
      </c>
      <c r="AM28">
        <f>IF(G28&gt;$B$3,1,0)</f>
        <v>0</v>
      </c>
      <c r="AN28">
        <f>IF(H28&gt;$B$4,1,0)</f>
        <v>0</v>
      </c>
      <c r="AO28">
        <f>ABS(H28)/$B$4</f>
        <v>1.94</v>
      </c>
      <c r="AP28">
        <f>Logistic(I28/$B$5)</f>
        <v>0.74787917608361443</v>
      </c>
      <c r="AQ28">
        <f>IF(I28&gt;$B$5,1,0)</f>
        <v>1</v>
      </c>
      <c r="AR28">
        <f>Logistic(ABS(F28-O28)/($B$6/2))</f>
        <v>0.74091276216064328</v>
      </c>
      <c r="AS28">
        <f>IF(OR(F28&lt;M28,F28&gt;N28),1,0)</f>
        <v>1</v>
      </c>
      <c r="AT28">
        <f>ABS(K28)/$B$4</f>
        <v>0.49249999999999999</v>
      </c>
      <c r="AU28">
        <f t="shared" ca="1" si="40"/>
        <v>0</v>
      </c>
      <c r="AV28">
        <f ca="1">IF(AND(L28&lt;&gt;$L$15,$Q$15&gt;Safety_Distance),1,0)</f>
        <v>0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0.8103950469689587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0.84619343802612446</v>
      </c>
      <c r="BA28">
        <f t="shared" ca="1" si="41"/>
        <v>0</v>
      </c>
      <c r="BB28">
        <f t="shared" ca="1" si="42"/>
        <v>0</v>
      </c>
      <c r="BC28">
        <f t="shared" si="43"/>
        <v>0</v>
      </c>
      <c r="BE28">
        <f t="shared" si="7"/>
        <v>0.70137413093831247</v>
      </c>
      <c r="BF28">
        <f t="shared" si="44"/>
        <v>1</v>
      </c>
      <c r="BG28">
        <f t="shared" si="45"/>
        <v>1</v>
      </c>
      <c r="BH28">
        <f t="shared" si="8"/>
        <v>-0.64916123648076796</v>
      </c>
      <c r="BI28">
        <f t="shared" si="9"/>
        <v>0</v>
      </c>
      <c r="BJ28">
        <f t="shared" si="10"/>
        <v>0</v>
      </c>
      <c r="BK28">
        <f t="shared" si="11"/>
        <v>1.6234217003427223</v>
      </c>
      <c r="BL28">
        <f t="shared" si="46"/>
        <v>1</v>
      </c>
      <c r="BM28">
        <f t="shared" si="12"/>
        <v>1.6218018209134941</v>
      </c>
      <c r="BN28">
        <f t="shared" si="13"/>
        <v>0.4524999999999999</v>
      </c>
      <c r="BO28">
        <f t="shared" si="14"/>
        <v>0.49249999999999999</v>
      </c>
      <c r="BP28">
        <f t="shared" si="15"/>
        <v>0.74870428696930869</v>
      </c>
      <c r="BQ28">
        <f t="shared" si="16"/>
        <v>-0.63826000500081403</v>
      </c>
    </row>
    <row r="29" spans="1:69" x14ac:dyDescent="0.25">
      <c r="A29" s="1" t="s">
        <v>22</v>
      </c>
      <c r="B29">
        <f t="shared" ca="1" si="2"/>
        <v>5.4110456097246526</v>
      </c>
      <c r="C29" t="s">
        <v>437</v>
      </c>
      <c r="D29">
        <f t="shared" si="17"/>
        <v>137</v>
      </c>
      <c r="E29">
        <f t="shared" si="18"/>
        <v>1937.26</v>
      </c>
      <c r="F29">
        <f t="shared" si="19"/>
        <v>8.77</v>
      </c>
      <c r="G29">
        <f t="shared" si="20"/>
        <v>16.350000000000001</v>
      </c>
      <c r="H29">
        <f t="shared" si="21"/>
        <v>-0.97</v>
      </c>
      <c r="I29">
        <f t="shared" si="22"/>
        <v>0.94</v>
      </c>
      <c r="J29">
        <f t="shared" si="23"/>
        <v>-0.74</v>
      </c>
      <c r="K29">
        <f t="shared" si="24"/>
        <v>0.98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 t="e">
        <f t="shared" si="5"/>
        <v>#VALUE!</v>
      </c>
      <c r="Q29">
        <f t="shared" ca="1" si="25"/>
        <v>1000000</v>
      </c>
      <c r="R29">
        <f t="shared" ca="1" si="26"/>
        <v>100</v>
      </c>
      <c r="S29">
        <f t="shared" si="27"/>
        <v>48</v>
      </c>
      <c r="T29">
        <f t="shared" ca="1" si="28"/>
        <v>-114.82737799999995</v>
      </c>
      <c r="U29">
        <f t="shared" ca="1" si="29"/>
        <v>18.991381000000001</v>
      </c>
      <c r="V29" t="e">
        <f t="shared" si="30"/>
        <v>#VALUE!</v>
      </c>
      <c r="W29">
        <f t="shared" ca="1" si="31"/>
        <v>1000000000</v>
      </c>
      <c r="X29">
        <f t="shared" ca="1" si="32"/>
        <v>100</v>
      </c>
      <c r="Y29">
        <f>GetFollowingCarRow($B$45:$E$54,L29,$E$15,E29)</f>
        <v>48</v>
      </c>
      <c r="Z29">
        <f t="shared" ca="1" si="33"/>
        <v>-151.35737799999993</v>
      </c>
      <c r="AA29">
        <f t="shared" ca="1" si="34"/>
        <v>18.991381000000001</v>
      </c>
      <c r="AB29">
        <f t="shared" si="35"/>
        <v>-2.6499999999999995</v>
      </c>
      <c r="AC29">
        <f t="shared" si="36"/>
        <v>36.529999999999973</v>
      </c>
      <c r="AD29">
        <f t="shared" si="37"/>
        <v>-131.76487544483993</v>
      </c>
      <c r="AE29">
        <f t="shared" si="38"/>
        <v>4813.370899999999</v>
      </c>
      <c r="AF29">
        <f t="shared" si="39"/>
        <v>36.625993501883308</v>
      </c>
      <c r="AG29">
        <f>GetSmallestNormalDistance($B$45:$E$54,AB29,AC29,AF29,$L$15,L29)</f>
        <v>117.57207013916427</v>
      </c>
      <c r="AH29">
        <f t="shared" si="6"/>
        <v>0.70137413093831247</v>
      </c>
      <c r="AI29">
        <f>IF(G29&lt;=0,1,0)</f>
        <v>0</v>
      </c>
      <c r="AJ29">
        <f>IF(G29&lt;0,1,0)</f>
        <v>0</v>
      </c>
      <c r="AK29">
        <f>MAX(($B$3-G29)/(G29 + 1),0) / $B$3</f>
        <v>1.3227692867638863E-2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0.12125</v>
      </c>
      <c r="AP29">
        <f>Logistic(I29/$B$5)</f>
        <v>5.8682500091571284E-2</v>
      </c>
      <c r="AQ29">
        <f>IF(I29&gt;$B$5,1,0)</f>
        <v>0</v>
      </c>
      <c r="AR29">
        <f>Logistic(ABS(F29-O29)/($B$6/2))</f>
        <v>0.29816104848914671</v>
      </c>
      <c r="AS29">
        <f>IF(OR(F29&lt;M29,F29&gt;N29),1,0)</f>
        <v>0</v>
      </c>
      <c r="AT29">
        <f>ABS(K29)/$B$4</f>
        <v>0.1225</v>
      </c>
      <c r="AU29">
        <f t="shared" ca="1" si="40"/>
        <v>0</v>
      </c>
      <c r="AV29">
        <f ca="1">IF(AND(L29&lt;&gt;$L$15,$Q$15&gt;Safety_Distance),1,0)</f>
        <v>0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1"/>
        <v>0</v>
      </c>
      <c r="BB29">
        <f t="shared" ca="1" si="42"/>
        <v>0</v>
      </c>
      <c r="BC29">
        <f t="shared" si="43"/>
        <v>0</v>
      </c>
      <c r="BE29">
        <f t="shared" si="7"/>
        <v>0.70137413093831247</v>
      </c>
      <c r="BF29">
        <f t="shared" si="44"/>
        <v>0</v>
      </c>
      <c r="BG29">
        <f t="shared" si="45"/>
        <v>0</v>
      </c>
      <c r="BH29">
        <f t="shared" si="8"/>
        <v>0.1394315623742228</v>
      </c>
      <c r="BI29">
        <f t="shared" si="9"/>
        <v>0</v>
      </c>
      <c r="BJ29">
        <f t="shared" si="10"/>
        <v>0</v>
      </c>
      <c r="BK29">
        <f t="shared" si="11"/>
        <v>7.1200709592698702E-4</v>
      </c>
      <c r="BL29">
        <f t="shared" si="46"/>
        <v>0</v>
      </c>
      <c r="BM29">
        <f t="shared" si="12"/>
        <v>5.4723168039542177E-4</v>
      </c>
      <c r="BN29">
        <f t="shared" si="13"/>
        <v>0</v>
      </c>
      <c r="BO29">
        <f t="shared" si="14"/>
        <v>0.1225</v>
      </c>
      <c r="BP29">
        <f t="shared" si="15"/>
        <v>6.0550835512596476E-2</v>
      </c>
      <c r="BQ29">
        <f t="shared" si="16"/>
        <v>0.14783825670298378</v>
      </c>
    </row>
    <row r="30" spans="1:69" x14ac:dyDescent="0.25">
      <c r="A30" s="1" t="s">
        <v>21</v>
      </c>
      <c r="B30">
        <f t="shared" ca="1" si="2"/>
        <v>15.103243836822415</v>
      </c>
      <c r="C30" t="s">
        <v>436</v>
      </c>
      <c r="D30">
        <f t="shared" si="17"/>
        <v>125</v>
      </c>
      <c r="E30">
        <f t="shared" si="18"/>
        <v>1926.79</v>
      </c>
      <c r="F30">
        <f t="shared" si="19"/>
        <v>9.01</v>
      </c>
      <c r="G30">
        <f t="shared" si="20"/>
        <v>9.48</v>
      </c>
      <c r="H30">
        <f t="shared" si="21"/>
        <v>-3.06</v>
      </c>
      <c r="I30">
        <f t="shared" si="22"/>
        <v>3.03</v>
      </c>
      <c r="J30">
        <f t="shared" si="23"/>
        <v>-1.0900000000000001</v>
      </c>
      <c r="K30">
        <f t="shared" si="24"/>
        <v>1.75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 t="e">
        <f t="shared" si="5"/>
        <v>#VALUE!</v>
      </c>
      <c r="Q30">
        <f t="shared" ca="1" si="25"/>
        <v>1000000</v>
      </c>
      <c r="R30">
        <f t="shared" ca="1" si="26"/>
        <v>100</v>
      </c>
      <c r="S30">
        <f t="shared" si="27"/>
        <v>48</v>
      </c>
      <c r="T30">
        <f t="shared" ca="1" si="28"/>
        <v>-114.82737799999995</v>
      </c>
      <c r="U30">
        <f t="shared" ca="1" si="29"/>
        <v>18.991381000000001</v>
      </c>
      <c r="V30" t="e">
        <f t="shared" si="30"/>
        <v>#VALUE!</v>
      </c>
      <c r="W30">
        <f t="shared" ca="1" si="31"/>
        <v>1000000000</v>
      </c>
      <c r="X30">
        <f t="shared" ca="1" si="32"/>
        <v>100</v>
      </c>
      <c r="Y30">
        <f>GetFollowingCarRow($B$45:$E$54,L30,$E$15,E30)</f>
        <v>48</v>
      </c>
      <c r="Z30">
        <f t="shared" ca="1" si="33"/>
        <v>-140.8873779999999</v>
      </c>
      <c r="AA30">
        <f t="shared" ca="1" si="34"/>
        <v>18.991381000000001</v>
      </c>
      <c r="AB30">
        <f t="shared" si="35"/>
        <v>-2.8899999999999997</v>
      </c>
      <c r="AC30">
        <f t="shared" si="36"/>
        <v>26.059999999999945</v>
      </c>
      <c r="AD30">
        <f t="shared" si="37"/>
        <v>-204.66701841903341</v>
      </c>
      <c r="AE30">
        <f t="shared" si="38"/>
        <v>5333.6224999999995</v>
      </c>
      <c r="AF30">
        <f t="shared" si="39"/>
        <v>26.219757817340668</v>
      </c>
      <c r="AG30">
        <f>GetSmallestNormalDistance($B$45:$E$54,AB30,AC30,AF30,$L$15,L30)</f>
        <v>182.26524416138574</v>
      </c>
      <c r="AH30">
        <f t="shared" si="6"/>
        <v>0.6351489523872873</v>
      </c>
      <c r="AI30">
        <f>IF(G30&lt;=0,1,0)</f>
        <v>0</v>
      </c>
      <c r="AJ30">
        <f>IF(G30&lt;0,1,0)</f>
        <v>0</v>
      </c>
      <c r="AK30">
        <f>MAX(($B$3-G30)/(G30 + 1),0) / $B$3</f>
        <v>5.2791187918642214E-2</v>
      </c>
      <c r="AL30">
        <f>IF(H30+ABS(K30)&lt;0,Logistic(SQRT(H30^2+K30^2)/$B$4),0)</f>
        <v>0.21681990430520812</v>
      </c>
      <c r="AM30">
        <f>IF(G30&gt;$B$3,1,0)</f>
        <v>0</v>
      </c>
      <c r="AN30">
        <f>IF(H30&gt;$B$4,1,0)</f>
        <v>0</v>
      </c>
      <c r="AO30">
        <f>ABS(H30)/$B$4</f>
        <v>0.38250000000000001</v>
      </c>
      <c r="AP30">
        <f>Logistic(I30/$B$5)</f>
        <v>0.18714316558386412</v>
      </c>
      <c r="AQ30">
        <f>IF(I30&gt;$B$5,1,0)</f>
        <v>0</v>
      </c>
      <c r="AR30">
        <f>Logistic(ABS(F30-O30)/($B$6/2))</f>
        <v>0.2425671903821357</v>
      </c>
      <c r="AS30">
        <f>IF(OR(F30&lt;M30,F30&gt;N30),1,0)</f>
        <v>0</v>
      </c>
      <c r="AT30">
        <f>ABS(K30)/$B$4</f>
        <v>0.21875</v>
      </c>
      <c r="AU30">
        <f t="shared" ca="1" si="40"/>
        <v>0</v>
      </c>
      <c r="AV30">
        <f ca="1">IF(AND(L30&lt;&gt;$L$15,$Q$15&gt;Safety_Distance),1,0)</f>
        <v>0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</v>
      </c>
      <c r="BA30">
        <f t="shared" ca="1" si="41"/>
        <v>0</v>
      </c>
      <c r="BB30">
        <f t="shared" ca="1" si="42"/>
        <v>0</v>
      </c>
      <c r="BC30">
        <f t="shared" si="43"/>
        <v>0</v>
      </c>
      <c r="BE30">
        <f t="shared" si="7"/>
        <v>0.6351489523872873</v>
      </c>
      <c r="BF30">
        <f t="shared" si="44"/>
        <v>0</v>
      </c>
      <c r="BG30">
        <f t="shared" si="45"/>
        <v>0</v>
      </c>
      <c r="BH30">
        <f t="shared" si="8"/>
        <v>0.50806238508537283</v>
      </c>
      <c r="BI30">
        <f t="shared" si="9"/>
        <v>0</v>
      </c>
      <c r="BJ30">
        <f t="shared" si="10"/>
        <v>0</v>
      </c>
      <c r="BK30">
        <f t="shared" si="11"/>
        <v>0.19901420299559741</v>
      </c>
      <c r="BL30">
        <f t="shared" si="46"/>
        <v>0</v>
      </c>
      <c r="BM30">
        <f t="shared" si="12"/>
        <v>0.19392883319871543</v>
      </c>
      <c r="BN30">
        <f t="shared" si="13"/>
        <v>0</v>
      </c>
      <c r="BO30">
        <f t="shared" si="14"/>
        <v>0.21875</v>
      </c>
      <c r="BP30">
        <f t="shared" si="15"/>
        <v>0.18895186149648019</v>
      </c>
      <c r="BQ30">
        <f t="shared" si="16"/>
        <v>0.5505696004903271</v>
      </c>
    </row>
    <row r="31" spans="1:69" x14ac:dyDescent="0.25">
      <c r="A31" s="1" t="s">
        <v>20</v>
      </c>
      <c r="B31">
        <f t="shared" ca="1" si="2"/>
        <v>184.20775973182128</v>
      </c>
      <c r="C31" t="s">
        <v>435</v>
      </c>
      <c r="D31">
        <f t="shared" si="17"/>
        <v>137</v>
      </c>
      <c r="E31">
        <f t="shared" si="18"/>
        <v>1879.06</v>
      </c>
      <c r="F31">
        <f t="shared" si="19"/>
        <v>6.19</v>
      </c>
      <c r="G31">
        <f t="shared" si="20"/>
        <v>-41.56</v>
      </c>
      <c r="H31">
        <f t="shared" si="21"/>
        <v>-15.52</v>
      </c>
      <c r="I31">
        <f t="shared" si="22"/>
        <v>15.49</v>
      </c>
      <c r="J31">
        <f t="shared" si="23"/>
        <v>-0.1</v>
      </c>
      <c r="K31">
        <f t="shared" si="24"/>
        <v>3.94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 t="e">
        <f t="shared" si="5"/>
        <v>#VALUE!</v>
      </c>
      <c r="Q31">
        <f t="shared" ca="1" si="25"/>
        <v>1000000</v>
      </c>
      <c r="R31">
        <f t="shared" ca="1" si="26"/>
        <v>100</v>
      </c>
      <c r="S31">
        <f t="shared" si="27"/>
        <v>48</v>
      </c>
      <c r="T31">
        <f t="shared" ca="1" si="28"/>
        <v>-114.82737799999995</v>
      </c>
      <c r="U31">
        <f t="shared" ca="1" si="29"/>
        <v>18.991381000000001</v>
      </c>
      <c r="V31" t="e">
        <f t="shared" si="30"/>
        <v>#VALUE!</v>
      </c>
      <c r="W31">
        <f t="shared" ca="1" si="31"/>
        <v>1000000000</v>
      </c>
      <c r="X31">
        <f t="shared" ca="1" si="32"/>
        <v>100</v>
      </c>
      <c r="Y31">
        <f>GetFollowingCarRow($B$45:$E$54,L31,$E$15,E31)</f>
        <v>48</v>
      </c>
      <c r="Z31">
        <f t="shared" ca="1" si="33"/>
        <v>-93.157377999999881</v>
      </c>
      <c r="AA31">
        <f t="shared" ca="1" si="34"/>
        <v>18.991381000000001</v>
      </c>
      <c r="AB31">
        <f t="shared" si="35"/>
        <v>-7.0000000000000284E-2</v>
      </c>
      <c r="AC31">
        <f t="shared" si="36"/>
        <v>-21.670000000000073</v>
      </c>
      <c r="AD31">
        <f t="shared" si="37"/>
        <v>12.259875403784037</v>
      </c>
      <c r="AE31">
        <f t="shared" si="38"/>
        <v>265.67150000000095</v>
      </c>
      <c r="AF31">
        <f t="shared" si="39"/>
        <v>21.670113059234442</v>
      </c>
      <c r="AG31">
        <f>GetSmallestNormalDistance($B$45:$E$54,AB31,AC31,AF31,$L$15,L31)</f>
        <v>11.34390757528818</v>
      </c>
      <c r="AH31">
        <f t="shared" si="6"/>
        <v>0.70137413093831247</v>
      </c>
      <c r="AI31">
        <f>IF(G31&lt;=0,1,0)</f>
        <v>1</v>
      </c>
      <c r="AJ31">
        <f>IF(G31&lt;0,1,0)</f>
        <v>1</v>
      </c>
      <c r="AK31">
        <f>MAX(($B$3-G31)/(G31 + 1),0) / $B$3</f>
        <v>0</v>
      </c>
      <c r="AL31">
        <f>IF(H31+ABS(K31)&lt;0,Logistic(SQRT(H31^2+K31^2)/$B$4),0)</f>
        <v>0.7619170258661162</v>
      </c>
      <c r="AM31">
        <f>IF(G31&gt;$B$3,1,0)</f>
        <v>0</v>
      </c>
      <c r="AN31">
        <f>IF(H31&gt;$B$4,1,0)</f>
        <v>0</v>
      </c>
      <c r="AO31">
        <f>ABS(H31)/$B$4</f>
        <v>1.94</v>
      </c>
      <c r="AP31">
        <f>Logistic(I31/$B$5)</f>
        <v>0.74787917608361443</v>
      </c>
      <c r="AQ31">
        <f>IF(I31&gt;$B$5,1,0)</f>
        <v>1</v>
      </c>
      <c r="AR31">
        <f>Logistic(ABS(F31-O31)/($B$6/2))</f>
        <v>0.74091276216064328</v>
      </c>
      <c r="AS31">
        <f>IF(OR(F31&lt;M31,F31&gt;N31),1,0)</f>
        <v>1</v>
      </c>
      <c r="AT31">
        <f>ABS(K31)/$B$4</f>
        <v>0.49249999999999999</v>
      </c>
      <c r="AU31">
        <f t="shared" ca="1" si="40"/>
        <v>0</v>
      </c>
      <c r="AV31">
        <f ca="1">IF(AND(L31&lt;&gt;$L$15,$Q$15&gt;Safety_Distance),1,0)</f>
        <v>0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0.81036373390063565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0.84615152212630806</v>
      </c>
      <c r="BA31">
        <f t="shared" ca="1" si="41"/>
        <v>0</v>
      </c>
      <c r="BB31">
        <f t="shared" ca="1" si="42"/>
        <v>0</v>
      </c>
      <c r="BC31">
        <f t="shared" si="43"/>
        <v>0</v>
      </c>
      <c r="BE31">
        <f t="shared" si="7"/>
        <v>0.70137413093831247</v>
      </c>
      <c r="BF31">
        <f t="shared" si="44"/>
        <v>1</v>
      </c>
      <c r="BG31">
        <f t="shared" si="45"/>
        <v>1</v>
      </c>
      <c r="BH31">
        <f t="shared" si="8"/>
        <v>-0.64920029922587585</v>
      </c>
      <c r="BI31">
        <f t="shared" si="9"/>
        <v>0</v>
      </c>
      <c r="BJ31">
        <f t="shared" si="10"/>
        <v>0</v>
      </c>
      <c r="BK31">
        <f t="shared" si="11"/>
        <v>1.6234217003427223</v>
      </c>
      <c r="BL31">
        <f t="shared" si="46"/>
        <v>1</v>
      </c>
      <c r="BM31">
        <f t="shared" si="12"/>
        <v>1.6218018209134941</v>
      </c>
      <c r="BN31">
        <f t="shared" si="13"/>
        <v>0.4524999999999999</v>
      </c>
      <c r="BO31">
        <f t="shared" si="14"/>
        <v>0.49249999999999999</v>
      </c>
      <c r="BP31">
        <f t="shared" si="15"/>
        <v>0.74870428696930869</v>
      </c>
      <c r="BQ31">
        <f t="shared" si="16"/>
        <v>-0.6382963983608777</v>
      </c>
    </row>
    <row r="32" spans="1:69" x14ac:dyDescent="0.25">
      <c r="A32" s="1" t="s">
        <v>37</v>
      </c>
      <c r="B32">
        <f t="shared" ca="1" si="2"/>
        <v>5.447612853503518</v>
      </c>
      <c r="C32" t="s">
        <v>434</v>
      </c>
      <c r="D32">
        <f t="shared" si="17"/>
        <v>105</v>
      </c>
      <c r="E32">
        <f t="shared" si="18"/>
        <v>1926.74</v>
      </c>
      <c r="F32">
        <f t="shared" si="19"/>
        <v>2.99</v>
      </c>
      <c r="G32">
        <f t="shared" si="20"/>
        <v>18.07</v>
      </c>
      <c r="H32">
        <f t="shared" si="21"/>
        <v>-0.79</v>
      </c>
      <c r="I32">
        <f t="shared" si="22"/>
        <v>0.76</v>
      </c>
      <c r="J32">
        <f t="shared" si="23"/>
        <v>3.15</v>
      </c>
      <c r="K32">
        <f t="shared" si="24"/>
        <v>1.06</v>
      </c>
      <c r="L32">
        <f t="shared" si="3"/>
        <v>1</v>
      </c>
      <c r="M32">
        <f t="shared" si="0"/>
        <v>0</v>
      </c>
      <c r="N32">
        <f t="shared" si="1"/>
        <v>4</v>
      </c>
      <c r="O32">
        <f t="shared" si="4"/>
        <v>2</v>
      </c>
      <c r="P32">
        <f t="shared" si="5"/>
        <v>53</v>
      </c>
      <c r="Q32">
        <f t="shared" ca="1" si="25"/>
        <v>19.425766999999951</v>
      </c>
      <c r="R32">
        <f t="shared" ca="1" si="26"/>
        <v>17.728062999999999</v>
      </c>
      <c r="S32">
        <f t="shared" si="27"/>
        <v>49</v>
      </c>
      <c r="T32">
        <f t="shared" ca="1" si="28"/>
        <v>-69.018720999999914</v>
      </c>
      <c r="U32">
        <f t="shared" ca="1" si="29"/>
        <v>20.343620999999999</v>
      </c>
      <c r="V32">
        <f t="shared" si="30"/>
        <v>56</v>
      </c>
      <c r="W32">
        <f t="shared" ca="1" si="31"/>
        <v>111.99798400000009</v>
      </c>
      <c r="X32">
        <f t="shared" ca="1" si="32"/>
        <v>16.047276</v>
      </c>
      <c r="Y32">
        <f>GetFollowingCarRow($B$45:$E$54,L32,$E$15,E32)</f>
        <v>53</v>
      </c>
      <c r="Z32">
        <f t="shared" ca="1" si="33"/>
        <v>-6.5842330000000402</v>
      </c>
      <c r="AA32">
        <f t="shared" ca="1" si="34"/>
        <v>17.728062999999999</v>
      </c>
      <c r="AB32">
        <f t="shared" si="35"/>
        <v>3.13</v>
      </c>
      <c r="AC32">
        <f t="shared" si="36"/>
        <v>26.009999999999991</v>
      </c>
      <c r="AD32">
        <f t="shared" si="37"/>
        <v>234.85067666282208</v>
      </c>
      <c r="AE32">
        <f t="shared" si="38"/>
        <v>-6108.4661000000006</v>
      </c>
      <c r="AF32">
        <f t="shared" si="39"/>
        <v>26.197652566594581</v>
      </c>
      <c r="AG32">
        <f>GetSmallestNormalDistance($B$45:$E$54,AB32,AC32,AF32,$L$15,L32)</f>
        <v>206.20006046450894</v>
      </c>
      <c r="AH32">
        <f t="shared" si="6"/>
        <v>0.50052021119023526</v>
      </c>
      <c r="AI32">
        <f>IF(G32&lt;=0,1,0)</f>
        <v>0</v>
      </c>
      <c r="AJ32">
        <f>IF(G32&lt;0,1,0)</f>
        <v>0</v>
      </c>
      <c r="AK32">
        <f>MAX(($B$3-G32)/(G32 + 1),0) / $B$3</f>
        <v>7.7842088797312513E-3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9.8750000000000004E-2</v>
      </c>
      <c r="AP32">
        <f>Logistic(I32/$B$5)</f>
        <v>4.7464308253122173E-2</v>
      </c>
      <c r="AQ32">
        <f>IF(I32&gt;$B$5,1,0)</f>
        <v>0</v>
      </c>
      <c r="AR32">
        <f>Logistic(ABS(F32-O32)/($B$6/2))</f>
        <v>0.2425671903821357</v>
      </c>
      <c r="AS32">
        <f>IF(OR(F32&lt;M32,F32&gt;N32),1,0)</f>
        <v>0</v>
      </c>
      <c r="AT32">
        <f>ABS(K32)/$B$4</f>
        <v>0.13250000000000001</v>
      </c>
      <c r="AU32">
        <f t="shared" ca="1" si="40"/>
        <v>0</v>
      </c>
      <c r="AV32">
        <f ca="1">IF(AND(L32&lt;&gt;$L$15,$Q$15&gt;Safety_Distance),1,0)</f>
        <v>0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1"/>
        <v>0</v>
      </c>
      <c r="BB32">
        <f t="shared" ca="1" si="42"/>
        <v>0</v>
      </c>
      <c r="BC32">
        <f t="shared" si="43"/>
        <v>1</v>
      </c>
      <c r="BE32">
        <f t="shared" si="7"/>
        <v>0.50052021119023526</v>
      </c>
      <c r="BF32">
        <f t="shared" si="44"/>
        <v>0</v>
      </c>
      <c r="BG32">
        <f t="shared" si="45"/>
        <v>0</v>
      </c>
      <c r="BH32">
        <f t="shared" si="8"/>
        <v>8.2403178960462564E-2</v>
      </c>
      <c r="BI32">
        <f t="shared" si="9"/>
        <v>0</v>
      </c>
      <c r="BJ32">
        <f t="shared" si="10"/>
        <v>0</v>
      </c>
      <c r="BK32">
        <f t="shared" si="11"/>
        <v>1.0873658211253536E-4</v>
      </c>
      <c r="BL32">
        <f t="shared" si="46"/>
        <v>0</v>
      </c>
      <c r="BM32">
        <f t="shared" si="12"/>
        <v>7.2907737249366548E-5</v>
      </c>
      <c r="BN32">
        <f t="shared" si="13"/>
        <v>0</v>
      </c>
      <c r="BO32">
        <f t="shared" si="14"/>
        <v>0.13250000000000001</v>
      </c>
      <c r="BP32">
        <f t="shared" si="15"/>
        <v>4.9334915471688147E-2</v>
      </c>
      <c r="BQ32">
        <f t="shared" si="16"/>
        <v>8.6940986904531545E-2</v>
      </c>
    </row>
    <row r="33" spans="1:69" x14ac:dyDescent="0.25">
      <c r="A33" s="1" t="s">
        <v>38</v>
      </c>
      <c r="B33">
        <f t="shared" ca="1" si="2"/>
        <v>75.034351245573021</v>
      </c>
      <c r="C33" t="s">
        <v>433</v>
      </c>
      <c r="D33">
        <f t="shared" si="17"/>
        <v>106</v>
      </c>
      <c r="E33">
        <f t="shared" si="18"/>
        <v>1922.52</v>
      </c>
      <c r="F33">
        <f t="shared" si="19"/>
        <v>2.98</v>
      </c>
      <c r="G33">
        <f t="shared" si="20"/>
        <v>11.44</v>
      </c>
      <c r="H33">
        <f t="shared" si="21"/>
        <v>-3.2</v>
      </c>
      <c r="I33">
        <f t="shared" si="22"/>
        <v>3.17</v>
      </c>
      <c r="J33">
        <f t="shared" si="23"/>
        <v>2.35</v>
      </c>
      <c r="K33">
        <f t="shared" si="24"/>
        <v>1.88</v>
      </c>
      <c r="L33">
        <f t="shared" si="3"/>
        <v>1</v>
      </c>
      <c r="M33">
        <f t="shared" si="0"/>
        <v>0</v>
      </c>
      <c r="N33">
        <f t="shared" si="1"/>
        <v>4</v>
      </c>
      <c r="O33">
        <f t="shared" si="4"/>
        <v>2</v>
      </c>
      <c r="P33">
        <f t="shared" si="5"/>
        <v>53</v>
      </c>
      <c r="Q33">
        <f t="shared" ca="1" si="25"/>
        <v>19.425766999999951</v>
      </c>
      <c r="R33">
        <f t="shared" ca="1" si="26"/>
        <v>17.728062999999999</v>
      </c>
      <c r="S33">
        <f t="shared" si="27"/>
        <v>49</v>
      </c>
      <c r="T33">
        <f t="shared" ca="1" si="28"/>
        <v>-69.018720999999914</v>
      </c>
      <c r="U33">
        <f t="shared" ca="1" si="29"/>
        <v>20.343620999999999</v>
      </c>
      <c r="V33">
        <f t="shared" si="30"/>
        <v>56</v>
      </c>
      <c r="W33">
        <f t="shared" ca="1" si="31"/>
        <v>116.21798400000011</v>
      </c>
      <c r="X33">
        <f t="shared" ca="1" si="32"/>
        <v>16.047276</v>
      </c>
      <c r="Y33">
        <f>GetFollowingCarRow($B$45:$E$54,L33,$E$15,E33)</f>
        <v>53</v>
      </c>
      <c r="Z33">
        <f t="shared" ca="1" si="33"/>
        <v>-2.3642330000000129</v>
      </c>
      <c r="AA33">
        <f t="shared" ca="1" si="34"/>
        <v>17.728062999999999</v>
      </c>
      <c r="AB33">
        <f t="shared" si="35"/>
        <v>3.14</v>
      </c>
      <c r="AC33">
        <f t="shared" si="36"/>
        <v>21.789999999999964</v>
      </c>
      <c r="AD33">
        <f t="shared" si="37"/>
        <v>280.02051399724695</v>
      </c>
      <c r="AE33">
        <f t="shared" si="38"/>
        <v>-6101.6470000000008</v>
      </c>
      <c r="AF33">
        <f t="shared" si="39"/>
        <v>22.01507892331977</v>
      </c>
      <c r="AG33">
        <f>GetSmallestNormalDistance($B$45:$E$54,AB33,AC33,AF33,$L$15,L33)</f>
        <v>245.76508125295953</v>
      </c>
      <c r="AH33">
        <f t="shared" si="6"/>
        <v>0.50797743289789621</v>
      </c>
      <c r="AI33">
        <f>IF(G33&lt;=0,1,0)</f>
        <v>0</v>
      </c>
      <c r="AJ33">
        <f>IF(G33&lt;0,1,0)</f>
        <v>0</v>
      </c>
      <c r="AK33">
        <f>MAX(($B$3-G33)/(G33 + 1),0) / $B$3</f>
        <v>3.7048710341211807E-2</v>
      </c>
      <c r="AL33">
        <f>IF(H33+ABS(K33)&lt;0,Logistic(SQRT(H33^2+K33^2)/$B$4),0)</f>
        <v>0.22788904427515422</v>
      </c>
      <c r="AM33">
        <f>IF(G33&gt;$B$3,1,0)</f>
        <v>0</v>
      </c>
      <c r="AN33">
        <f>IF(H33&gt;$B$4,1,0)</f>
        <v>0</v>
      </c>
      <c r="AO33">
        <f>ABS(H33)/$B$4</f>
        <v>0.4</v>
      </c>
      <c r="AP33">
        <f>Logistic(I33/$B$5)</f>
        <v>0.19557269963275686</v>
      </c>
      <c r="AQ33">
        <f>IF(I33&gt;$B$5,1,0)</f>
        <v>0</v>
      </c>
      <c r="AR33">
        <f>Logistic(ABS(F33-O33)/($B$6/2))</f>
        <v>0.24021286468618022</v>
      </c>
      <c r="AS33">
        <f>IF(OR(F33&lt;M33,F33&gt;N33),1,0)</f>
        <v>0</v>
      </c>
      <c r="AT33">
        <f>ABS(K33)/$B$4</f>
        <v>0.23499999999999999</v>
      </c>
      <c r="AU33">
        <f t="shared" ca="1" si="40"/>
        <v>0</v>
      </c>
      <c r="AV33">
        <f ca="1">IF(AND(L33&lt;&gt;$L$15,$Q$15&gt;Safety_Distance),1,0)</f>
        <v>0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0.2248241361576383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0.96240125138695309</v>
      </c>
      <c r="BA33">
        <f t="shared" ca="1" si="41"/>
        <v>0</v>
      </c>
      <c r="BB33">
        <f t="shared" ca="1" si="42"/>
        <v>1</v>
      </c>
      <c r="BC33">
        <f t="shared" si="43"/>
        <v>1</v>
      </c>
      <c r="BE33">
        <f t="shared" si="7"/>
        <v>0.50797743289789621</v>
      </c>
      <c r="BF33">
        <f t="shared" si="44"/>
        <v>0</v>
      </c>
      <c r="BG33">
        <f t="shared" si="45"/>
        <v>0</v>
      </c>
      <c r="BH33">
        <f t="shared" si="8"/>
        <v>0.37401829114756563</v>
      </c>
      <c r="BI33">
        <f t="shared" si="9"/>
        <v>0</v>
      </c>
      <c r="BJ33">
        <f t="shared" si="10"/>
        <v>0</v>
      </c>
      <c r="BK33">
        <f t="shared" si="11"/>
        <v>0.22313016014842987</v>
      </c>
      <c r="BL33">
        <f t="shared" si="46"/>
        <v>0</v>
      </c>
      <c r="BM33">
        <f t="shared" si="12"/>
        <v>0.2179130157818715</v>
      </c>
      <c r="BN33">
        <f t="shared" si="13"/>
        <v>0</v>
      </c>
      <c r="BO33">
        <f t="shared" si="14"/>
        <v>0.23499999999999999</v>
      </c>
      <c r="BP33">
        <f t="shared" si="15"/>
        <v>0.19737532022490398</v>
      </c>
      <c r="BQ33">
        <f t="shared" si="16"/>
        <v>0.40318598642566167</v>
      </c>
    </row>
    <row r="34" spans="1:69" x14ac:dyDescent="0.25">
      <c r="A34" s="1" t="s">
        <v>39</v>
      </c>
      <c r="B34">
        <f t="shared" ca="1" si="2"/>
        <v>185.11565001038147</v>
      </c>
      <c r="C34" t="s">
        <v>432</v>
      </c>
      <c r="D34">
        <f t="shared" si="17"/>
        <v>137</v>
      </c>
      <c r="E34">
        <f t="shared" si="18"/>
        <v>1871.1</v>
      </c>
      <c r="F34">
        <f t="shared" si="19"/>
        <v>6.07</v>
      </c>
      <c r="G34">
        <f t="shared" si="20"/>
        <v>-49.48</v>
      </c>
      <c r="H34">
        <f t="shared" si="21"/>
        <v>-17.510000000000002</v>
      </c>
      <c r="I34">
        <f t="shared" si="22"/>
        <v>17.48</v>
      </c>
      <c r="J34">
        <f t="shared" si="23"/>
        <v>0.12</v>
      </c>
      <c r="K34">
        <f t="shared" si="24"/>
        <v>4.22</v>
      </c>
      <c r="L34">
        <f t="shared" si="3"/>
        <v>1</v>
      </c>
      <c r="M34">
        <f t="shared" si="0"/>
        <v>0</v>
      </c>
      <c r="N34">
        <f t="shared" si="1"/>
        <v>4</v>
      </c>
      <c r="O34">
        <f t="shared" si="4"/>
        <v>2</v>
      </c>
      <c r="P34">
        <f t="shared" si="5"/>
        <v>53</v>
      </c>
      <c r="Q34">
        <f t="shared" ca="1" si="25"/>
        <v>19.425766999999951</v>
      </c>
      <c r="R34">
        <f t="shared" ca="1" si="26"/>
        <v>17.728062999999999</v>
      </c>
      <c r="S34">
        <f t="shared" si="27"/>
        <v>49</v>
      </c>
      <c r="T34">
        <f t="shared" ca="1" si="28"/>
        <v>-69.018720999999914</v>
      </c>
      <c r="U34">
        <f t="shared" ca="1" si="29"/>
        <v>20.343620999999999</v>
      </c>
      <c r="V34">
        <f t="shared" si="30"/>
        <v>53</v>
      </c>
      <c r="W34">
        <f t="shared" ca="1" si="31"/>
        <v>49.05576700000006</v>
      </c>
      <c r="X34">
        <f t="shared" ca="1" si="32"/>
        <v>17.728062999999999</v>
      </c>
      <c r="Y34">
        <f>GetFollowingCarRow($B$45:$E$54,L34,$E$15,E34)</f>
        <v>49</v>
      </c>
      <c r="Z34">
        <f t="shared" ca="1" si="33"/>
        <v>-39.388720999999805</v>
      </c>
      <c r="AA34">
        <f t="shared" ca="1" si="34"/>
        <v>20.343620999999999</v>
      </c>
      <c r="AB34">
        <f t="shared" si="35"/>
        <v>4.9999999999999822E-2</v>
      </c>
      <c r="AC34">
        <f t="shared" si="36"/>
        <v>-29.630000000000109</v>
      </c>
      <c r="AD34">
        <f t="shared" si="37"/>
        <v>2.9125582180222982</v>
      </c>
      <c r="AE34">
        <f t="shared" si="38"/>
        <v>86.299100000001019</v>
      </c>
      <c r="AF34">
        <f t="shared" si="39"/>
        <v>29.630042186942742</v>
      </c>
      <c r="AG34">
        <f>GetSmallestNormalDistance($B$45:$E$54,AB34,AC34,AF34,$L$15,L34)</f>
        <v>0.69030016329213495</v>
      </c>
      <c r="AH34">
        <f t="shared" si="6"/>
        <v>0.70137413093831247</v>
      </c>
      <c r="AI34">
        <f>IF(G34&lt;=0,1,0)</f>
        <v>1</v>
      </c>
      <c r="AJ34">
        <f>IF(G34&lt;0,1,0)</f>
        <v>1</v>
      </c>
      <c r="AK34">
        <f>MAX(($B$3-G34)/(G34 + 1),0) / $B$3</f>
        <v>0</v>
      </c>
      <c r="AL34">
        <f>IF(H34+ABS(K34)&lt;0,Logistic(SQRT(H34^2+K34^2)/$B$4),0)</f>
        <v>0.80954554982006199</v>
      </c>
      <c r="AM34">
        <f>IF(G34&gt;$B$3,1,0)</f>
        <v>0</v>
      </c>
      <c r="AN34">
        <f>IF(H34&gt;$B$4,1,0)</f>
        <v>0</v>
      </c>
      <c r="AO34">
        <f>ABS(H34)/$B$4</f>
        <v>2.1887500000000002</v>
      </c>
      <c r="AP34">
        <f>Logistic(I34/$B$5)</f>
        <v>0.79778879117909096</v>
      </c>
      <c r="AQ34">
        <f>IF(I34&gt;$B$5,1,0)</f>
        <v>1</v>
      </c>
      <c r="AR34">
        <f>Logistic(ABS(F34-O34)/($B$6/2))</f>
        <v>0.76884631064893294</v>
      </c>
      <c r="AS34">
        <f>IF(OR(F34&lt;M34,F34&gt;N34),1,0)</f>
        <v>1</v>
      </c>
      <c r="AT34">
        <f>ABS(K34)/$B$4</f>
        <v>0.52749999999999997</v>
      </c>
      <c r="AU34">
        <f t="shared" ca="1" si="40"/>
        <v>0</v>
      </c>
      <c r="AV34">
        <f ca="1">IF(AND(L34&lt;&gt;$L$15,$Q$15&gt;Safety_Distance),1,0)</f>
        <v>0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0.90115276175665548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0.94358825790487177</v>
      </c>
      <c r="BA34">
        <f t="shared" ca="1" si="41"/>
        <v>0</v>
      </c>
      <c r="BB34">
        <f t="shared" ca="1" si="42"/>
        <v>0</v>
      </c>
      <c r="BC34">
        <f t="shared" si="43"/>
        <v>0</v>
      </c>
      <c r="BE34">
        <f t="shared" si="7"/>
        <v>0.70137413093831247</v>
      </c>
      <c r="BF34">
        <f t="shared" si="44"/>
        <v>1</v>
      </c>
      <c r="BG34">
        <f t="shared" si="45"/>
        <v>1</v>
      </c>
      <c r="BH34">
        <f t="shared" si="8"/>
        <v>-0.62255526019945751</v>
      </c>
      <c r="BI34">
        <f t="shared" si="9"/>
        <v>0</v>
      </c>
      <c r="BJ34">
        <f t="shared" si="10"/>
        <v>0</v>
      </c>
      <c r="BK34">
        <f t="shared" si="11"/>
        <v>1.7213660972365985</v>
      </c>
      <c r="BL34">
        <f t="shared" si="46"/>
        <v>1</v>
      </c>
      <c r="BM34">
        <f t="shared" si="12"/>
        <v>1.7200168651719863</v>
      </c>
      <c r="BN34">
        <f t="shared" si="13"/>
        <v>0.51750000000000007</v>
      </c>
      <c r="BO34">
        <f t="shared" si="14"/>
        <v>0.52749999999999997</v>
      </c>
      <c r="BP34">
        <f t="shared" si="15"/>
        <v>0.79846939675370099</v>
      </c>
      <c r="BQ34">
        <f t="shared" si="16"/>
        <v>-0.6134473022072241</v>
      </c>
    </row>
    <row r="35" spans="1:69" x14ac:dyDescent="0.25">
      <c r="A35" s="1" t="s">
        <v>82</v>
      </c>
      <c r="B35">
        <f t="shared" ca="1" si="2"/>
        <v>6.2277968419424106</v>
      </c>
      <c r="C35" t="s">
        <v>431</v>
      </c>
      <c r="D35">
        <f t="shared" si="17"/>
        <v>107</v>
      </c>
      <c r="E35">
        <f t="shared" si="18"/>
        <v>1926.83</v>
      </c>
      <c r="F35">
        <f t="shared" si="19"/>
        <v>2.98</v>
      </c>
      <c r="G35">
        <f t="shared" si="20"/>
        <v>17.100000000000001</v>
      </c>
      <c r="H35">
        <f t="shared" si="21"/>
        <v>-1.1100000000000001</v>
      </c>
      <c r="I35">
        <f t="shared" si="22"/>
        <v>1.08</v>
      </c>
      <c r="J35">
        <f t="shared" si="23"/>
        <v>2.98</v>
      </c>
      <c r="K35">
        <f t="shared" si="24"/>
        <v>1.06</v>
      </c>
      <c r="L35">
        <f t="shared" si="3"/>
        <v>1</v>
      </c>
      <c r="M35">
        <f t="shared" si="0"/>
        <v>0</v>
      </c>
      <c r="N35">
        <f t="shared" si="1"/>
        <v>4</v>
      </c>
      <c r="O35">
        <f t="shared" si="4"/>
        <v>2</v>
      </c>
      <c r="P35">
        <f t="shared" si="5"/>
        <v>53</v>
      </c>
      <c r="Q35">
        <f t="shared" ca="1" si="25"/>
        <v>19.425766999999951</v>
      </c>
      <c r="R35">
        <f t="shared" ca="1" si="26"/>
        <v>17.728062999999999</v>
      </c>
      <c r="S35">
        <f t="shared" si="27"/>
        <v>49</v>
      </c>
      <c r="T35">
        <f t="shared" ca="1" si="28"/>
        <v>-69.018720999999914</v>
      </c>
      <c r="U35">
        <f t="shared" ca="1" si="29"/>
        <v>20.343620999999999</v>
      </c>
      <c r="V35">
        <f t="shared" si="30"/>
        <v>56</v>
      </c>
      <c r="W35">
        <f t="shared" ca="1" si="31"/>
        <v>111.90798400000017</v>
      </c>
      <c r="X35">
        <f t="shared" ca="1" si="32"/>
        <v>16.047276</v>
      </c>
      <c r="Y35">
        <f>GetFollowingCarRow($B$45:$E$54,L35,$E$15,E35)</f>
        <v>53</v>
      </c>
      <c r="Z35">
        <f t="shared" ca="1" si="33"/>
        <v>-6.6742329999999583</v>
      </c>
      <c r="AA35">
        <f t="shared" ca="1" si="34"/>
        <v>17.728062999999999</v>
      </c>
      <c r="AB35">
        <f t="shared" si="35"/>
        <v>3.14</v>
      </c>
      <c r="AC35">
        <f t="shared" si="36"/>
        <v>26.099999999999909</v>
      </c>
      <c r="AD35">
        <f t="shared" si="37"/>
        <v>234.79019923371729</v>
      </c>
      <c r="AE35">
        <f t="shared" si="38"/>
        <v>-6128.0241999999998</v>
      </c>
      <c r="AF35">
        <f t="shared" si="39"/>
        <v>26.288202677246598</v>
      </c>
      <c r="AG35">
        <f>GetSmallestNormalDistance($B$45:$E$54,AB35,AC35,AF35,$L$15,L35)</f>
        <v>206.14684761885763</v>
      </c>
      <c r="AH35">
        <f t="shared" si="6"/>
        <v>0.51535927800740966</v>
      </c>
      <c r="AI35">
        <f>IF(G35&lt;=0,1,0)</f>
        <v>0</v>
      </c>
      <c r="AJ35">
        <f>IF(G35&lt;0,1,0)</f>
        <v>0</v>
      </c>
      <c r="AK35">
        <f>MAX(($B$3-G35)/(G35 + 1),0) / $B$3</f>
        <v>1.0726876031680727E-2</v>
      </c>
      <c r="AL35">
        <f>IF(H35+ABS(K35)&lt;0,Logistic(SQRT(H35^2+K35^2)/$B$4),0)</f>
        <v>9.5633652293721019E-2</v>
      </c>
      <c r="AM35">
        <f>IF(G35&gt;$B$3,1,0)</f>
        <v>0</v>
      </c>
      <c r="AN35">
        <f>IF(H35&gt;$B$4,1,0)</f>
        <v>0</v>
      </c>
      <c r="AO35">
        <f>ABS(H35)/$B$4</f>
        <v>0.13875000000000001</v>
      </c>
      <c r="AP35">
        <f>Logistic(I35/$B$5)</f>
        <v>6.7397670865801632E-2</v>
      </c>
      <c r="AQ35">
        <f>IF(I35&gt;$B$5,1,0)</f>
        <v>0</v>
      </c>
      <c r="AR35">
        <f>Logistic(ABS(F35-O35)/($B$6/2))</f>
        <v>0.24021286468618022</v>
      </c>
      <c r="AS35">
        <f>IF(OR(F35&lt;M35,F35&gt;N35),1,0)</f>
        <v>0</v>
      </c>
      <c r="AT35">
        <f>ABS(K35)/$B$4</f>
        <v>0.13250000000000001</v>
      </c>
      <c r="AU35">
        <f t="shared" ca="1" si="40"/>
        <v>0</v>
      </c>
      <c r="AV35">
        <f ca="1">IF(AND(L35&lt;&gt;$L$15,$Q$15&gt;Safety_Distance),1,0)</f>
        <v>0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41"/>
        <v>0</v>
      </c>
      <c r="BB35">
        <f t="shared" ca="1" si="42"/>
        <v>0</v>
      </c>
      <c r="BC35">
        <f t="shared" si="43"/>
        <v>1</v>
      </c>
      <c r="BE35">
        <f t="shared" si="7"/>
        <v>0.51535927800740966</v>
      </c>
      <c r="BF35">
        <f t="shared" si="44"/>
        <v>0</v>
      </c>
      <c r="BG35">
        <f t="shared" si="45"/>
        <v>0</v>
      </c>
      <c r="BH35">
        <f t="shared" si="8"/>
        <v>0.11332327677186541</v>
      </c>
      <c r="BI35">
        <f t="shared" si="9"/>
        <v>0</v>
      </c>
      <c r="BJ35">
        <f t="shared" si="10"/>
        <v>0</v>
      </c>
      <c r="BK35">
        <f t="shared" si="11"/>
        <v>2.0148566909946011E-3</v>
      </c>
      <c r="BL35">
        <f t="shared" si="46"/>
        <v>0</v>
      </c>
      <c r="BM35">
        <f t="shared" si="12"/>
        <v>1.6492949137361264E-3</v>
      </c>
      <c r="BN35">
        <f t="shared" si="13"/>
        <v>0</v>
      </c>
      <c r="BO35">
        <f t="shared" si="14"/>
        <v>0.13250000000000001</v>
      </c>
      <c r="BP35">
        <f t="shared" si="15"/>
        <v>6.9263915753927305E-2</v>
      </c>
      <c r="BQ35">
        <f t="shared" si="16"/>
        <v>0.1198884363009424</v>
      </c>
    </row>
    <row r="36" spans="1:69" x14ac:dyDescent="0.25">
      <c r="A36" s="1" t="s">
        <v>83</v>
      </c>
      <c r="B36">
        <f t="shared" ca="1" si="2"/>
        <v>78.571167005094267</v>
      </c>
      <c r="C36" t="s">
        <v>430</v>
      </c>
      <c r="D36">
        <f t="shared" si="17"/>
        <v>109</v>
      </c>
      <c r="E36">
        <f t="shared" si="18"/>
        <v>1922.52</v>
      </c>
      <c r="F36">
        <f t="shared" si="19"/>
        <v>2.98</v>
      </c>
      <c r="G36">
        <f t="shared" si="20"/>
        <v>10.130000000000001</v>
      </c>
      <c r="H36">
        <f t="shared" si="21"/>
        <v>-3.52</v>
      </c>
      <c r="I36">
        <f t="shared" si="22"/>
        <v>3.49</v>
      </c>
      <c r="J36">
        <f t="shared" si="23"/>
        <v>2.08</v>
      </c>
      <c r="K36">
        <f t="shared" si="24"/>
        <v>1.88</v>
      </c>
      <c r="L36">
        <f t="shared" si="3"/>
        <v>1</v>
      </c>
      <c r="M36">
        <f t="shared" si="0"/>
        <v>0</v>
      </c>
      <c r="N36">
        <f t="shared" si="1"/>
        <v>4</v>
      </c>
      <c r="O36">
        <f t="shared" si="4"/>
        <v>2</v>
      </c>
      <c r="P36">
        <f t="shared" si="5"/>
        <v>53</v>
      </c>
      <c r="Q36">
        <f t="shared" ca="1" si="25"/>
        <v>19.425766999999951</v>
      </c>
      <c r="R36">
        <f t="shared" ca="1" si="26"/>
        <v>17.728062999999999</v>
      </c>
      <c r="S36">
        <f t="shared" si="27"/>
        <v>49</v>
      </c>
      <c r="T36">
        <f t="shared" ca="1" si="28"/>
        <v>-69.018720999999914</v>
      </c>
      <c r="U36">
        <f t="shared" ca="1" si="29"/>
        <v>20.343620999999999</v>
      </c>
      <c r="V36">
        <f t="shared" si="30"/>
        <v>56</v>
      </c>
      <c r="W36">
        <f t="shared" ca="1" si="31"/>
        <v>116.21798400000011</v>
      </c>
      <c r="X36">
        <f t="shared" ca="1" si="32"/>
        <v>16.047276</v>
      </c>
      <c r="Y36">
        <f>GetFollowingCarRow($B$45:$E$54,L36,$E$15,E36)</f>
        <v>53</v>
      </c>
      <c r="Z36">
        <f t="shared" ca="1" si="33"/>
        <v>-2.3642330000000129</v>
      </c>
      <c r="AA36">
        <f t="shared" ca="1" si="34"/>
        <v>17.728062999999999</v>
      </c>
      <c r="AB36">
        <f t="shared" si="35"/>
        <v>3.14</v>
      </c>
      <c r="AC36">
        <f t="shared" si="36"/>
        <v>21.789999999999964</v>
      </c>
      <c r="AD36">
        <f t="shared" si="37"/>
        <v>280.02051399724695</v>
      </c>
      <c r="AE36">
        <f t="shared" si="38"/>
        <v>-6101.6470000000008</v>
      </c>
      <c r="AF36">
        <f t="shared" si="39"/>
        <v>22.01507892331977</v>
      </c>
      <c r="AG36">
        <f>GetSmallestNormalDistance($B$45:$E$54,AB36,AC36,AF36,$L$15,L36)</f>
        <v>245.76508125295953</v>
      </c>
      <c r="AH36">
        <f t="shared" si="6"/>
        <v>0.5298956075275294</v>
      </c>
      <c r="AI36">
        <f>IF(G36&lt;=0,1,0)</f>
        <v>0</v>
      </c>
      <c r="AJ36">
        <f>IF(G36&lt;0,1,0)</f>
        <v>0</v>
      </c>
      <c r="AK36">
        <f>MAX(($B$3-G36)/(G36 + 1),0) / $B$3</f>
        <v>4.6955990085469204E-2</v>
      </c>
      <c r="AL36">
        <f>IF(H36+ABS(K36)&lt;0,Logistic(SQRT(H36^2+K36^2)/$B$4),0)</f>
        <v>0.2443656736472804</v>
      </c>
      <c r="AM36">
        <f>IF(G36&gt;$B$3,1,0)</f>
        <v>0</v>
      </c>
      <c r="AN36">
        <f>IF(H36&gt;$B$4,1,0)</f>
        <v>0</v>
      </c>
      <c r="AO36">
        <f>ABS(H36)/$B$4</f>
        <v>0.44</v>
      </c>
      <c r="AP36">
        <f>Logistic(I36/$B$5)</f>
        <v>0.21473023791599191</v>
      </c>
      <c r="AQ36">
        <f>IF(I36&gt;$B$5,1,0)</f>
        <v>0</v>
      </c>
      <c r="AR36">
        <f>Logistic(ABS(F36-O36)/($B$6/2))</f>
        <v>0.24021286468618022</v>
      </c>
      <c r="AS36">
        <f>IF(OR(F36&lt;M36,F36&gt;N36),1,0)</f>
        <v>0</v>
      </c>
      <c r="AT36">
        <f>ABS(K36)/$B$4</f>
        <v>0.23499999999999999</v>
      </c>
      <c r="AU36">
        <f t="shared" ca="1" si="40"/>
        <v>0</v>
      </c>
      <c r="AV36">
        <f ca="1">IF(AND(L36&lt;&gt;$L$15,$Q$15&gt;Safety_Distance),1,0)</f>
        <v>0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0.32424826611443747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0.96888374050070381</v>
      </c>
      <c r="BA36">
        <f t="shared" ca="1" si="41"/>
        <v>0</v>
      </c>
      <c r="BB36">
        <f t="shared" ca="1" si="42"/>
        <v>1</v>
      </c>
      <c r="BC36">
        <f t="shared" si="43"/>
        <v>1</v>
      </c>
      <c r="BE36">
        <f t="shared" si="7"/>
        <v>0.5298956075275294</v>
      </c>
      <c r="BF36">
        <f t="shared" si="44"/>
        <v>0</v>
      </c>
      <c r="BG36">
        <f t="shared" si="45"/>
        <v>0</v>
      </c>
      <c r="BH36">
        <f t="shared" si="8"/>
        <v>0.46070278081184435</v>
      </c>
      <c r="BI36">
        <f t="shared" si="9"/>
        <v>0</v>
      </c>
      <c r="BJ36">
        <f t="shared" si="10"/>
        <v>0</v>
      </c>
      <c r="BK36">
        <f t="shared" si="11"/>
        <v>0.28006676082164877</v>
      </c>
      <c r="BL36">
        <f t="shared" si="46"/>
        <v>0</v>
      </c>
      <c r="BM36">
        <f t="shared" si="12"/>
        <v>0.27464838200819691</v>
      </c>
      <c r="BN36">
        <f t="shared" si="13"/>
        <v>0</v>
      </c>
      <c r="BO36">
        <f t="shared" si="14"/>
        <v>0.23499999999999999</v>
      </c>
      <c r="BP36">
        <f t="shared" si="15"/>
        <v>0.2165180614930288</v>
      </c>
      <c r="BQ36">
        <f t="shared" si="16"/>
        <v>0.49855701264025953</v>
      </c>
    </row>
    <row r="37" spans="1:69" x14ac:dyDescent="0.25">
      <c r="A37" s="1" t="s">
        <v>84</v>
      </c>
      <c r="B37">
        <f t="shared" ca="1" si="2"/>
        <v>185.13358088431826</v>
      </c>
      <c r="C37" t="s">
        <v>429</v>
      </c>
      <c r="D37">
        <f t="shared" si="17"/>
        <v>137</v>
      </c>
      <c r="E37">
        <f t="shared" si="18"/>
        <v>1869.8</v>
      </c>
      <c r="F37">
        <f t="shared" si="19"/>
        <v>6.06</v>
      </c>
      <c r="G37">
        <f t="shared" si="20"/>
        <v>-50.77</v>
      </c>
      <c r="H37">
        <f t="shared" si="21"/>
        <v>-17.829999999999998</v>
      </c>
      <c r="I37">
        <f t="shared" si="22"/>
        <v>17.8</v>
      </c>
      <c r="J37">
        <f t="shared" si="23"/>
        <v>0.13</v>
      </c>
      <c r="K37">
        <f t="shared" si="24"/>
        <v>4.22</v>
      </c>
      <c r="L37">
        <f t="shared" si="3"/>
        <v>1</v>
      </c>
      <c r="M37">
        <f t="shared" si="0"/>
        <v>0</v>
      </c>
      <c r="N37">
        <f t="shared" si="1"/>
        <v>4</v>
      </c>
      <c r="O37">
        <f t="shared" si="4"/>
        <v>2</v>
      </c>
      <c r="P37">
        <f t="shared" si="5"/>
        <v>53</v>
      </c>
      <c r="Q37">
        <f t="shared" ca="1" si="25"/>
        <v>19.425766999999951</v>
      </c>
      <c r="R37">
        <f t="shared" ca="1" si="26"/>
        <v>17.728062999999999</v>
      </c>
      <c r="S37">
        <f t="shared" si="27"/>
        <v>49</v>
      </c>
      <c r="T37">
        <f t="shared" ca="1" si="28"/>
        <v>-69.018720999999914</v>
      </c>
      <c r="U37">
        <f t="shared" ca="1" si="29"/>
        <v>20.343620999999999</v>
      </c>
      <c r="V37">
        <f t="shared" si="30"/>
        <v>53</v>
      </c>
      <c r="W37">
        <f t="shared" ca="1" si="31"/>
        <v>50.355767000000014</v>
      </c>
      <c r="X37">
        <f t="shared" ca="1" si="32"/>
        <v>17.728062999999999</v>
      </c>
      <c r="Y37">
        <f>GetFollowingCarRow($B$45:$E$54,L37,$E$15,E37)</f>
        <v>49</v>
      </c>
      <c r="Z37">
        <f t="shared" ca="1" si="33"/>
        <v>-38.08872099999985</v>
      </c>
      <c r="AA37">
        <f t="shared" ca="1" si="34"/>
        <v>20.343620999999999</v>
      </c>
      <c r="AB37">
        <f t="shared" si="35"/>
        <v>6.0000000000000497E-2</v>
      </c>
      <c r="AC37">
        <f t="shared" si="36"/>
        <v>-30.930000000000064</v>
      </c>
      <c r="AD37">
        <f t="shared" si="37"/>
        <v>2.4328419010669022</v>
      </c>
      <c r="AE37">
        <f t="shared" si="38"/>
        <v>75.247799999999444</v>
      </c>
      <c r="AF37">
        <f t="shared" si="39"/>
        <v>30.930058195871602</v>
      </c>
      <c r="AG37">
        <f>GetSmallestNormalDistance($B$45:$E$54,AB37,AC37,AF37,$L$15,L37)</f>
        <v>1.1525959836299029</v>
      </c>
      <c r="AH37">
        <f t="shared" si="6"/>
        <v>0.70137413093831247</v>
      </c>
      <c r="AI37">
        <f>IF(G37&lt;=0,1,0)</f>
        <v>1</v>
      </c>
      <c r="AJ37">
        <f>IF(G37&lt;0,1,0)</f>
        <v>1</v>
      </c>
      <c r="AK37">
        <f>MAX(($B$3-G37)/(G37 + 1),0) / $B$3</f>
        <v>0</v>
      </c>
      <c r="AL37">
        <f>IF(H37+ABS(K37)&lt;0,Logistic(SQRT(H37^2+K37^2)/$B$4),0)</f>
        <v>0.81614495608737581</v>
      </c>
      <c r="AM37">
        <f>IF(G37&gt;$B$3,1,0)</f>
        <v>0</v>
      </c>
      <c r="AN37">
        <f>IF(H37&gt;$B$4,1,0)</f>
        <v>0</v>
      </c>
      <c r="AO37">
        <f>ABS(H37)/$B$4</f>
        <v>2.2287499999999998</v>
      </c>
      <c r="AP37">
        <f>Logistic(I37/$B$5)</f>
        <v>0.80494432591841492</v>
      </c>
      <c r="AQ37">
        <f>IF(I37&gt;$B$5,1,0)</f>
        <v>1</v>
      </c>
      <c r="AR37">
        <f>Logistic(ABS(F37-O37)/($B$6/2))</f>
        <v>0.7678221558620103</v>
      </c>
      <c r="AS37">
        <f>IF(OR(F37&lt;M37,F37&gt;N37),1,0)</f>
        <v>1</v>
      </c>
      <c r="AT37">
        <f>ABS(K37)/$B$4</f>
        <v>0.52749999999999997</v>
      </c>
      <c r="AU37">
        <f t="shared" ca="1" si="40"/>
        <v>0</v>
      </c>
      <c r="AV37">
        <f ca="1">IF(AND(L37&lt;&gt;$L$15,$Q$15&gt;Safety_Distance),1,0)</f>
        <v>0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0.90294584915033382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0.9464396265238697</v>
      </c>
      <c r="BA37">
        <f t="shared" ca="1" si="41"/>
        <v>0</v>
      </c>
      <c r="BB37">
        <f t="shared" ca="1" si="42"/>
        <v>0</v>
      </c>
      <c r="BC37">
        <f t="shared" si="43"/>
        <v>0</v>
      </c>
      <c r="BE37">
        <f t="shared" si="7"/>
        <v>0.70137413093831247</v>
      </c>
      <c r="BF37">
        <f t="shared" si="44"/>
        <v>1</v>
      </c>
      <c r="BG37">
        <f t="shared" si="45"/>
        <v>1</v>
      </c>
      <c r="BH37">
        <f t="shared" si="8"/>
        <v>-0.61890410574471122</v>
      </c>
      <c r="BI37">
        <f t="shared" si="9"/>
        <v>0</v>
      </c>
      <c r="BJ37">
        <f t="shared" si="10"/>
        <v>0</v>
      </c>
      <c r="BK37">
        <f t="shared" si="11"/>
        <v>1.7355389572845472</v>
      </c>
      <c r="BL37">
        <f t="shared" si="46"/>
        <v>1</v>
      </c>
      <c r="BM37">
        <f t="shared" si="12"/>
        <v>1.734227029090923</v>
      </c>
      <c r="BN37">
        <f t="shared" si="13"/>
        <v>0.5149999999999999</v>
      </c>
      <c r="BO37">
        <f t="shared" si="14"/>
        <v>0.52749999999999997</v>
      </c>
      <c r="BP37">
        <f t="shared" si="15"/>
        <v>0.80560345153240609</v>
      </c>
      <c r="BQ37">
        <f t="shared" si="16"/>
        <v>-0.6100378752097031</v>
      </c>
    </row>
    <row r="38" spans="1:69" x14ac:dyDescent="0.25">
      <c r="A38" s="1" t="s">
        <v>19</v>
      </c>
      <c r="B38">
        <f t="shared" ca="1" si="2"/>
        <v>6.2198106147927952</v>
      </c>
      <c r="C38" t="s">
        <v>428</v>
      </c>
      <c r="D38">
        <f t="shared" si="17"/>
        <v>107</v>
      </c>
      <c r="E38">
        <f t="shared" si="18"/>
        <v>1926.83</v>
      </c>
      <c r="F38">
        <f t="shared" si="19"/>
        <v>2.98</v>
      </c>
      <c r="G38">
        <f t="shared" si="20"/>
        <v>17.11</v>
      </c>
      <c r="H38">
        <f t="shared" si="21"/>
        <v>-1.1100000000000001</v>
      </c>
      <c r="I38">
        <f t="shared" si="22"/>
        <v>1.08</v>
      </c>
      <c r="J38">
        <f t="shared" si="23"/>
        <v>2.98</v>
      </c>
      <c r="K38">
        <f t="shared" si="24"/>
        <v>1.06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>
        <f t="shared" si="5"/>
        <v>53</v>
      </c>
      <c r="Q38">
        <f t="shared" ca="1" si="25"/>
        <v>19.425766999999951</v>
      </c>
      <c r="R38">
        <f t="shared" ca="1" si="26"/>
        <v>17.728062999999999</v>
      </c>
      <c r="S38">
        <f t="shared" si="27"/>
        <v>49</v>
      </c>
      <c r="T38">
        <f t="shared" ca="1" si="28"/>
        <v>-69.018720999999914</v>
      </c>
      <c r="U38">
        <f t="shared" ca="1" si="29"/>
        <v>20.343620999999999</v>
      </c>
      <c r="V38">
        <f t="shared" si="30"/>
        <v>56</v>
      </c>
      <c r="W38">
        <f t="shared" ca="1" si="31"/>
        <v>111.90798400000017</v>
      </c>
      <c r="X38">
        <f t="shared" ca="1" si="32"/>
        <v>16.047276</v>
      </c>
      <c r="Y38">
        <f>GetFollowingCarRow($B$45:$E$54,L38,$E$15,E38)</f>
        <v>53</v>
      </c>
      <c r="Z38">
        <f t="shared" ca="1" si="33"/>
        <v>-6.6742329999999583</v>
      </c>
      <c r="AA38">
        <f t="shared" ca="1" si="34"/>
        <v>17.728062999999999</v>
      </c>
      <c r="AB38">
        <f t="shared" si="35"/>
        <v>3.14</v>
      </c>
      <c r="AC38">
        <f t="shared" si="36"/>
        <v>26.099999999999909</v>
      </c>
      <c r="AD38">
        <f t="shared" si="37"/>
        <v>234.79019923371729</v>
      </c>
      <c r="AE38">
        <f t="shared" si="38"/>
        <v>-6128.0241999999998</v>
      </c>
      <c r="AF38">
        <f t="shared" si="39"/>
        <v>26.288202677246598</v>
      </c>
      <c r="AG38">
        <f>GetSmallestNormalDistance($B$45:$E$54,AB38,AC38,AF38,$L$15,L38)</f>
        <v>206.14684761885763</v>
      </c>
      <c r="AH38">
        <f>Logistic((D38-$B$2)/$B$2)</f>
        <v>0.51535927800740966</v>
      </c>
      <c r="AI38">
        <f>IF(G38&lt;=0,1,0)</f>
        <v>0</v>
      </c>
      <c r="AJ38">
        <f>IF(G38&lt;0,1,0)</f>
        <v>0</v>
      </c>
      <c r="AK38">
        <f>MAX(($B$3-G38)/(G38 + 1),0) / $B$3</f>
        <v>1.0694931123082263E-2</v>
      </c>
      <c r="AL38">
        <f>IF(H38+ABS(K38)&lt;0,Logistic(SQRT(H38^2+K38^2)/$B$4),0)</f>
        <v>9.5633652293721019E-2</v>
      </c>
      <c r="AM38">
        <f>IF(G38&gt;$B$3,1,0)</f>
        <v>0</v>
      </c>
      <c r="AN38">
        <f>IF(H38&gt;$B$4,1,0)</f>
        <v>0</v>
      </c>
      <c r="AO38">
        <f>ABS(H38)/$B$4</f>
        <v>0.13875000000000001</v>
      </c>
      <c r="AP38">
        <f>Logistic(I38/$B$5)</f>
        <v>6.7397670865801632E-2</v>
      </c>
      <c r="AQ38">
        <f>IF(I38&gt;$B$5,1,0)</f>
        <v>0</v>
      </c>
      <c r="AR38">
        <f>Logistic(ABS(F38-O38)/($B$6/2))</f>
        <v>0.24021286468618022</v>
      </c>
      <c r="AS38">
        <f>IF(OR(F38&lt;M38,F38&gt;N38),1,0)</f>
        <v>0</v>
      </c>
      <c r="AT38">
        <f>ABS(K38)/$B$4</f>
        <v>0.13250000000000001</v>
      </c>
      <c r="AU38">
        <f t="shared" ca="1" si="40"/>
        <v>0</v>
      </c>
      <c r="AV38">
        <f ca="1">IF(AND(L38&lt;&gt;$L$15,$Q$15&gt;Safety_Distance),1,0)</f>
        <v>0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1"/>
        <v>0</v>
      </c>
      <c r="BB38">
        <f t="shared" ca="1" si="42"/>
        <v>0</v>
      </c>
      <c r="BC38">
        <f t="shared" si="43"/>
        <v>1</v>
      </c>
      <c r="BE38">
        <f>Logistic((D38-$B$2)/$B$2)</f>
        <v>0.51535927800740966</v>
      </c>
      <c r="BF38">
        <f t="shared" si="44"/>
        <v>0</v>
      </c>
      <c r="BG38">
        <f t="shared" si="45"/>
        <v>0</v>
      </c>
      <c r="BH38">
        <f>Logistic(($B$3-G38)/(G38+1))</f>
        <v>0.11298868111825151</v>
      </c>
      <c r="BI38">
        <f>IF(G38&gt;$B$3,1,0)</f>
        <v>0</v>
      </c>
      <c r="BJ38">
        <f>IF(H38&gt;$B$5,1,0)</f>
        <v>0</v>
      </c>
      <c r="BK38">
        <f>EXP(-($B$4-ABS(H38))/MAX(ABS(H38),0.000000001))</f>
        <v>2.0148566909946011E-3</v>
      </c>
      <c r="BL38">
        <f t="shared" si="46"/>
        <v>0</v>
      </c>
      <c r="BM38">
        <f>EXP(-($B$5-I38)/MAX(I38,0.000000001))</f>
        <v>1.6492949137361264E-3</v>
      </c>
      <c r="BN38">
        <f>IF(F38&gt;N38,(F38-N38)/$B$6,0)+IF(F38&lt;M38,(M38-F38)/$B$6,0)</f>
        <v>0</v>
      </c>
      <c r="BO38">
        <f>ABS(K38/$B$4)</f>
        <v>0.13250000000000001</v>
      </c>
      <c r="BP38">
        <f>Logistic(ABS(H38)/$B$4)</f>
        <v>6.9263915753927305E-2</v>
      </c>
      <c r="BQ38">
        <f>Logistic(($B$3-G38)/G38)</f>
        <v>0.11953099838931532</v>
      </c>
    </row>
    <row r="39" spans="1:69" x14ac:dyDescent="0.25">
      <c r="A39" s="1" t="s">
        <v>18</v>
      </c>
      <c r="B39">
        <f t="shared" ca="1" si="2"/>
        <v>78.571167005094267</v>
      </c>
      <c r="C39" t="s">
        <v>427</v>
      </c>
      <c r="D39">
        <f t="shared" si="17"/>
        <v>109</v>
      </c>
      <c r="E39">
        <f t="shared" si="18"/>
        <v>1922.52</v>
      </c>
      <c r="F39">
        <f t="shared" si="19"/>
        <v>2.98</v>
      </c>
      <c r="G39">
        <f t="shared" si="20"/>
        <v>10.130000000000001</v>
      </c>
      <c r="H39">
        <f t="shared" si="21"/>
        <v>-3.52</v>
      </c>
      <c r="I39">
        <f t="shared" si="22"/>
        <v>3.49</v>
      </c>
      <c r="J39">
        <f t="shared" si="23"/>
        <v>2.08</v>
      </c>
      <c r="K39">
        <f t="shared" si="24"/>
        <v>1.88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>
        <f t="shared" si="5"/>
        <v>53</v>
      </c>
      <c r="Q39">
        <f t="shared" ca="1" si="25"/>
        <v>19.425766999999951</v>
      </c>
      <c r="R39">
        <f t="shared" ca="1" si="26"/>
        <v>17.728062999999999</v>
      </c>
      <c r="S39">
        <f t="shared" si="27"/>
        <v>49</v>
      </c>
      <c r="T39">
        <f t="shared" ca="1" si="28"/>
        <v>-69.018720999999914</v>
      </c>
      <c r="U39">
        <f t="shared" ca="1" si="29"/>
        <v>20.343620999999999</v>
      </c>
      <c r="V39">
        <f t="shared" si="30"/>
        <v>56</v>
      </c>
      <c r="W39">
        <f t="shared" ca="1" si="31"/>
        <v>116.21798400000011</v>
      </c>
      <c r="X39">
        <f t="shared" ca="1" si="32"/>
        <v>16.047276</v>
      </c>
      <c r="Y39">
        <f>GetFollowingCarRow($B$45:$E$54,L39,$E$15,E39)</f>
        <v>53</v>
      </c>
      <c r="Z39">
        <f t="shared" ca="1" si="33"/>
        <v>-2.3642330000000129</v>
      </c>
      <c r="AA39">
        <f t="shared" ca="1" si="34"/>
        <v>17.728062999999999</v>
      </c>
      <c r="AB39">
        <f t="shared" si="35"/>
        <v>3.14</v>
      </c>
      <c r="AC39">
        <f t="shared" si="36"/>
        <v>21.789999999999964</v>
      </c>
      <c r="AD39">
        <f t="shared" si="37"/>
        <v>280.02051399724695</v>
      </c>
      <c r="AE39">
        <f t="shared" si="38"/>
        <v>-6101.6470000000008</v>
      </c>
      <c r="AF39">
        <f t="shared" si="39"/>
        <v>22.01507892331977</v>
      </c>
      <c r="AG39">
        <f>GetSmallestNormalDistance($B$45:$E$54,AB39,AC39,AF39,$L$15,L39)</f>
        <v>245.76508125295953</v>
      </c>
      <c r="AH39">
        <f>Logistic((D39-$B$2)/$B$2)</f>
        <v>0.5298956075275294</v>
      </c>
      <c r="AI39">
        <f>IF(G39&lt;=0,1,0)</f>
        <v>0</v>
      </c>
      <c r="AJ39">
        <f>IF(G39&lt;0,1,0)</f>
        <v>0</v>
      </c>
      <c r="AK39">
        <f>MAX(($B$3-G39)/(G39 + 1),0) / $B$3</f>
        <v>4.6955990085469204E-2</v>
      </c>
      <c r="AL39">
        <f>IF(H39+ABS(K39)&lt;0,Logistic(SQRT(H39^2+K39^2)/$B$4),0)</f>
        <v>0.2443656736472804</v>
      </c>
      <c r="AM39">
        <f>IF(G39&gt;$B$3,1,0)</f>
        <v>0</v>
      </c>
      <c r="AN39">
        <f>IF(H39&gt;$B$4,1,0)</f>
        <v>0</v>
      </c>
      <c r="AO39">
        <f>ABS(H39)/$B$4</f>
        <v>0.44</v>
      </c>
      <c r="AP39">
        <f>Logistic(I39/$B$5)</f>
        <v>0.21473023791599191</v>
      </c>
      <c r="AQ39">
        <f>IF(I39&gt;$B$5,1,0)</f>
        <v>0</v>
      </c>
      <c r="AR39">
        <f>Logistic(ABS(F39-O39)/($B$6/2))</f>
        <v>0.24021286468618022</v>
      </c>
      <c r="AS39">
        <f>IF(OR(F39&lt;M39,F39&gt;N39),1,0)</f>
        <v>0</v>
      </c>
      <c r="AT39">
        <f>ABS(K39)/$B$4</f>
        <v>0.23499999999999999</v>
      </c>
      <c r="AU39">
        <f t="shared" ca="1" si="40"/>
        <v>0</v>
      </c>
      <c r="AV39">
        <f ca="1">IF(AND(L39&lt;&gt;$L$15,$Q$15&gt;Safety_Distance),1,0)</f>
        <v>0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0.32424826611443747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0.96888374050070381</v>
      </c>
      <c r="BA39">
        <f t="shared" ca="1" si="41"/>
        <v>0</v>
      </c>
      <c r="BB39">
        <f t="shared" ca="1" si="42"/>
        <v>1</v>
      </c>
      <c r="BC39">
        <f t="shared" si="43"/>
        <v>1</v>
      </c>
      <c r="BE39">
        <f>Logistic((D39-$B$2)/$B$2)</f>
        <v>0.5298956075275294</v>
      </c>
      <c r="BF39">
        <f t="shared" si="44"/>
        <v>0</v>
      </c>
      <c r="BG39">
        <f t="shared" si="45"/>
        <v>0</v>
      </c>
      <c r="BH39">
        <f>Logistic(($B$3-G39)/(G39+1))</f>
        <v>0.46070278081184435</v>
      </c>
      <c r="BI39">
        <f>IF(G39&gt;$B$3,1,0)</f>
        <v>0</v>
      </c>
      <c r="BJ39">
        <f>IF(H39&gt;$B$5,1,0)</f>
        <v>0</v>
      </c>
      <c r="BK39">
        <f>EXP(-($B$4-ABS(H39))/MAX(ABS(H39),0.000000001))</f>
        <v>0.28006676082164877</v>
      </c>
      <c r="BL39">
        <f t="shared" si="46"/>
        <v>0</v>
      </c>
      <c r="BM39">
        <f>EXP(-($B$5-I39)/MAX(I39,0.000000001))</f>
        <v>0.27464838200819691</v>
      </c>
      <c r="BN39">
        <f>IF(F39&gt;N39,(F39-N39)/$B$6,0)+IF(F39&lt;M39,(M39-F39)/$B$6,0)</f>
        <v>0</v>
      </c>
      <c r="BO39">
        <f>ABS(K39/$B$4)</f>
        <v>0.23499999999999999</v>
      </c>
      <c r="BP39">
        <f>Logistic(ABS(H39)/$B$4)</f>
        <v>0.2165180614930288</v>
      </c>
      <c r="BQ39">
        <f>Logistic(($B$3-G39)/G39)</f>
        <v>0.49855701264025953</v>
      </c>
    </row>
    <row r="40" spans="1:69" x14ac:dyDescent="0.25">
      <c r="A40" s="1" t="s">
        <v>17</v>
      </c>
      <c r="B40">
        <f t="shared" ca="1" si="2"/>
        <v>185.13358088431826</v>
      </c>
      <c r="C40" t="s">
        <v>426</v>
      </c>
      <c r="D40">
        <f t="shared" si="17"/>
        <v>137</v>
      </c>
      <c r="E40">
        <f t="shared" si="18"/>
        <v>1869.81</v>
      </c>
      <c r="F40">
        <f t="shared" si="19"/>
        <v>6.06</v>
      </c>
      <c r="G40">
        <f t="shared" si="20"/>
        <v>-50.77</v>
      </c>
      <c r="H40">
        <f t="shared" si="21"/>
        <v>-17.829999999999998</v>
      </c>
      <c r="I40">
        <f t="shared" si="22"/>
        <v>17.8</v>
      </c>
      <c r="J40">
        <f t="shared" si="23"/>
        <v>0.13</v>
      </c>
      <c r="K40">
        <f t="shared" si="24"/>
        <v>4.22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>
        <f t="shared" si="5"/>
        <v>53</v>
      </c>
      <c r="Q40">
        <f t="shared" ca="1" si="25"/>
        <v>19.425766999999951</v>
      </c>
      <c r="R40">
        <f t="shared" ca="1" si="26"/>
        <v>17.728062999999999</v>
      </c>
      <c r="S40">
        <f t="shared" si="27"/>
        <v>49</v>
      </c>
      <c r="T40">
        <f t="shared" ca="1" si="28"/>
        <v>-69.018720999999914</v>
      </c>
      <c r="U40">
        <f t="shared" ca="1" si="29"/>
        <v>20.343620999999999</v>
      </c>
      <c r="V40">
        <f t="shared" si="30"/>
        <v>53</v>
      </c>
      <c r="W40">
        <f t="shared" ca="1" si="31"/>
        <v>50.345767000000023</v>
      </c>
      <c r="X40">
        <f t="shared" ca="1" si="32"/>
        <v>17.728062999999999</v>
      </c>
      <c r="Y40">
        <f>GetFollowingCarRow($B$45:$E$54,L40,$E$15,E40)</f>
        <v>49</v>
      </c>
      <c r="Z40">
        <f t="shared" ca="1" si="33"/>
        <v>-38.098720999999841</v>
      </c>
      <c r="AA40">
        <f t="shared" ca="1" si="34"/>
        <v>20.343620999999999</v>
      </c>
      <c r="AB40">
        <f t="shared" si="35"/>
        <v>6.0000000000000497E-2</v>
      </c>
      <c r="AC40">
        <f t="shared" si="36"/>
        <v>-30.920000000000073</v>
      </c>
      <c r="AD40">
        <f t="shared" si="37"/>
        <v>2.4316494178525008</v>
      </c>
      <c r="AE40">
        <f t="shared" si="38"/>
        <v>75.186599999999501</v>
      </c>
      <c r="AF40">
        <f t="shared" si="39"/>
        <v>30.920058214693007</v>
      </c>
      <c r="AG40">
        <f>GetSmallestNormalDistance($B$45:$E$54,AB40,AC40,AF40,$L$15,L40)</f>
        <v>1.1537451621953532</v>
      </c>
      <c r="AH40">
        <f>Logistic((D40-$B$2)/$B$2)</f>
        <v>0.70137413093831247</v>
      </c>
      <c r="AI40">
        <f>IF(G40&lt;=0,1,0)</f>
        <v>1</v>
      </c>
      <c r="AJ40">
        <f>IF(G40&lt;0,1,0)</f>
        <v>1</v>
      </c>
      <c r="AK40">
        <f>MAX(($B$3-G40)/(G40 + 1),0) / $B$3</f>
        <v>0</v>
      </c>
      <c r="AL40">
        <f>IF(H40+ABS(K40)&lt;0,Logistic(SQRT(H40^2+K40^2)/$B$4),0)</f>
        <v>0.81614495608737581</v>
      </c>
      <c r="AM40">
        <f>IF(G40&gt;$B$3,1,0)</f>
        <v>0</v>
      </c>
      <c r="AN40">
        <f>IF(H40&gt;$B$4,1,0)</f>
        <v>0</v>
      </c>
      <c r="AO40">
        <f>ABS(H40)/$B$4</f>
        <v>2.2287499999999998</v>
      </c>
      <c r="AP40">
        <f>Logistic(I40/$B$5)</f>
        <v>0.80494432591841492</v>
      </c>
      <c r="AQ40">
        <f>IF(I40&gt;$B$5,1,0)</f>
        <v>1</v>
      </c>
      <c r="AR40">
        <f>Logistic(ABS(F40-O40)/($B$6/2))</f>
        <v>0.7678221558620103</v>
      </c>
      <c r="AS40">
        <f>IF(OR(F40&lt;M40,F40&gt;N40),1,0)</f>
        <v>1</v>
      </c>
      <c r="AT40">
        <f>ABS(K40)/$B$4</f>
        <v>0.52749999999999997</v>
      </c>
      <c r="AU40">
        <f t="shared" ca="1" si="40"/>
        <v>0</v>
      </c>
      <c r="AV40">
        <f ca="1">IF(AND(L40&lt;&gt;$L$15,$Q$15&gt;Safety_Distance),1,0)</f>
        <v>0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0.90294584915033382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0.94642556452019244</v>
      </c>
      <c r="BA40">
        <f t="shared" ca="1" si="41"/>
        <v>0</v>
      </c>
      <c r="BB40">
        <f t="shared" ca="1" si="42"/>
        <v>0</v>
      </c>
      <c r="BC40">
        <f t="shared" si="43"/>
        <v>0</v>
      </c>
      <c r="BE40">
        <f>Logistic((D40-$B$2)/$B$2)</f>
        <v>0.70137413093831247</v>
      </c>
      <c r="BF40">
        <f t="shared" si="44"/>
        <v>1</v>
      </c>
      <c r="BG40">
        <f t="shared" si="45"/>
        <v>1</v>
      </c>
      <c r="BH40">
        <f>Logistic(($B$3-G40)/(G40+1))</f>
        <v>-0.61890410574471122</v>
      </c>
      <c r="BI40">
        <f>IF(G40&gt;$B$3,1,0)</f>
        <v>0</v>
      </c>
      <c r="BJ40">
        <f>IF(H40&gt;$B$5,1,0)</f>
        <v>0</v>
      </c>
      <c r="BK40">
        <f>EXP(-($B$4-ABS(H40))/MAX(ABS(H40),0.000000001))</f>
        <v>1.7355389572845472</v>
      </c>
      <c r="BL40">
        <f t="shared" si="46"/>
        <v>1</v>
      </c>
      <c r="BM40">
        <f>EXP(-($B$5-I40)/MAX(I40,0.000000001))</f>
        <v>1.734227029090923</v>
      </c>
      <c r="BN40">
        <f>IF(F40&gt;N40,(F40-N40)/$B$6,0)+IF(F40&lt;M40,(M40-F40)/$B$6,0)</f>
        <v>0.5149999999999999</v>
      </c>
      <c r="BO40">
        <f>ABS(K40/$B$4)</f>
        <v>0.52749999999999997</v>
      </c>
      <c r="BP40">
        <f>Logistic(ABS(H40)/$B$4)</f>
        <v>0.80560345153240609</v>
      </c>
      <c r="BQ40">
        <f>Logistic(($B$3-G40)/G40)</f>
        <v>-0.6100378752097031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1924.4275299999999</v>
      </c>
      <c r="C45">
        <v>6.0008439999999998</v>
      </c>
      <c r="D45">
        <v>18.345310999999999</v>
      </c>
      <c r="E45">
        <v>2</v>
      </c>
    </row>
    <row r="46" spans="1:69" x14ac:dyDescent="0.25">
      <c r="B46">
        <v>1782.680257</v>
      </c>
      <c r="C46">
        <v>1.883621</v>
      </c>
      <c r="D46">
        <v>20.809806999999999</v>
      </c>
      <c r="E46">
        <v>1</v>
      </c>
    </row>
    <row r="47" spans="1:69" x14ac:dyDescent="0.25">
      <c r="B47">
        <v>1825.0092970000001</v>
      </c>
      <c r="C47">
        <v>6.3339270000000001</v>
      </c>
      <c r="D47">
        <v>20.559861000000001</v>
      </c>
      <c r="E47">
        <v>2</v>
      </c>
    </row>
    <row r="48" spans="1:69" x14ac:dyDescent="0.25">
      <c r="B48">
        <v>1785.9026220000001</v>
      </c>
      <c r="C48">
        <v>9.9471220000000002</v>
      </c>
      <c r="D48">
        <v>18.991381000000001</v>
      </c>
      <c r="E48">
        <v>3</v>
      </c>
    </row>
    <row r="49" spans="2:5" x14ac:dyDescent="0.25">
      <c r="B49">
        <v>1831.7112790000001</v>
      </c>
      <c r="C49">
        <v>2.4006729999999998</v>
      </c>
      <c r="D49">
        <v>20.343620999999999</v>
      </c>
      <c r="E49">
        <v>1</v>
      </c>
    </row>
    <row r="50" spans="2:5" x14ac:dyDescent="0.25">
      <c r="B50">
        <v>1878.4933329999999</v>
      </c>
      <c r="C50">
        <v>6.0019070000000001</v>
      </c>
      <c r="D50">
        <v>20.581531999999999</v>
      </c>
      <c r="E50">
        <v>2</v>
      </c>
    </row>
    <row r="51" spans="2:5" x14ac:dyDescent="0.25">
      <c r="B51">
        <v>1709.105532</v>
      </c>
      <c r="C51">
        <v>2.01681</v>
      </c>
      <c r="D51">
        <v>16.107475000000001</v>
      </c>
      <c r="E51">
        <v>1</v>
      </c>
    </row>
    <row r="52" spans="2:5" x14ac:dyDescent="0.25">
      <c r="B52">
        <v>1736.0802120000001</v>
      </c>
      <c r="C52">
        <v>5.7359549999999997</v>
      </c>
      <c r="D52">
        <v>18.230017</v>
      </c>
      <c r="E52">
        <v>2</v>
      </c>
    </row>
    <row r="53" spans="2:5" x14ac:dyDescent="0.25">
      <c r="B53">
        <v>1920.155767</v>
      </c>
      <c r="C53">
        <v>2.0089090000000001</v>
      </c>
      <c r="D53">
        <v>17.728062999999999</v>
      </c>
      <c r="E53">
        <v>1</v>
      </c>
    </row>
    <row r="54" spans="2:5" x14ac:dyDescent="0.25">
      <c r="B54">
        <v>1707.7798009999999</v>
      </c>
      <c r="C54">
        <v>6.0066410000000001</v>
      </c>
      <c r="D54">
        <v>18.995677000000001</v>
      </c>
      <c r="E54">
        <v>2</v>
      </c>
    </row>
    <row r="55" spans="2:5" x14ac:dyDescent="0.25">
      <c r="B55">
        <v>1759.623756</v>
      </c>
      <c r="C55">
        <v>5.8422879999999999</v>
      </c>
      <c r="D55">
        <v>18.356427</v>
      </c>
      <c r="E55">
        <v>2</v>
      </c>
    </row>
    <row r="56" spans="2:5" x14ac:dyDescent="0.25">
      <c r="B56">
        <v>2038.7379840000001</v>
      </c>
      <c r="C56">
        <v>1.879739</v>
      </c>
      <c r="D56">
        <v>16.047276</v>
      </c>
      <c r="E56">
        <v>1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BQ56"/>
  <sheetViews>
    <sheetView topLeftCell="A14" zoomScale="90" zoomScaleNormal="90" workbookViewId="0">
      <selection activeCell="P15" sqref="P15:AA4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-0.5</v>
      </c>
    </row>
    <row r="12" spans="1:69" x14ac:dyDescent="0.25">
      <c r="A12" t="s">
        <v>183</v>
      </c>
      <c r="B12">
        <f ca="1">INDEX(A16:F40,MATCH(MIN(B16:B40),B16:B40,0),5)</f>
        <v>958.25</v>
      </c>
      <c r="C12">
        <f ca="1">INDEX(A16:F40,MATCH(MIN(B16:B40),B16:B40,0),6)</f>
        <v>5.97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454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953.17</v>
      </c>
      <c r="F15">
        <f>VALUE(MID(C15,FIND("d[",C15)+2,FIND("]",C15,FIND("d[",C15))-(FIND("d[",C15)+2)))</f>
        <v>6</v>
      </c>
      <c r="G15">
        <f>VALUE(MID(C15,FIND("s_dot[",C15)+6,FIND("]",C15,FIND("s_dot[",C15))-(FIND("s_dot[",C15)+6)))</f>
        <v>18.399999999999999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0.24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7" si="0">$B$6*(L15-1)</f>
        <v>4</v>
      </c>
      <c r="N15">
        <f t="shared" ref="N15:N37" si="1">$B$6*L15</f>
        <v>8</v>
      </c>
      <c r="O15">
        <f>(N15+M15)/2</f>
        <v>6</v>
      </c>
      <c r="P15">
        <f>GetLeadingCarRow($B$45:$E$56,L15,$E$15, $E$15)</f>
        <v>49</v>
      </c>
      <c r="Q15">
        <f ca="1">IFERROR(INDIRECT(CONCATENATE("B", P15))-$E$15,1000000)</f>
        <v>23.875171000000023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3.964685634330948</v>
      </c>
      <c r="C16" t="s">
        <v>479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958.17</v>
      </c>
      <c r="F16">
        <f>VALUE(MID(C16,FIND("d[",C16)+2,FIND("]",C16,FIND("d[",C16))-(FIND("d[",C16)+2)))</f>
        <v>5.97</v>
      </c>
      <c r="G16">
        <f>VALUE(MID(C16,FIND("s_dot[",C16)+6,FIND("]",C16,FIND("s_dot[",C16))-(FIND("s_dot[",C16)+6)))</f>
        <v>17.86</v>
      </c>
      <c r="H16">
        <f>VALUE(MID(C16,FIND("s_dot2[",C16)+7,FIND("]",C16,FIND("s_dot2[",C16))-(FIND("s_dot2[",C16)+7)))</f>
        <v>-3.38</v>
      </c>
      <c r="I16">
        <f>VALUE(MID(C16,FIND("s_dot3[",C16)+7,FIND("]",C16,FIND("s_dot3[",C16))-(FIND("s_dot3[",C16)+7)))</f>
        <v>3.29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>
        <f t="shared" ref="P16:P40" si="5">GetLeadingCarRow($B$45:$E$56,L16,$E$15, $E$15)</f>
        <v>49</v>
      </c>
      <c r="Q16">
        <f ca="1">IFERROR(INDIRECT(CONCATENATE("B", P16))-$E$15,1000000)</f>
        <v>23.875171000000023</v>
      </c>
      <c r="R16">
        <f ca="1">IFERROR(INDIRECT(CONCATENATE("D", P16)),100)</f>
        <v>16.492387999999998</v>
      </c>
      <c r="S16">
        <f>GetFollowingCarRow($B$45:$E$56,L16,$E$15, $E$15)</f>
        <v>47</v>
      </c>
      <c r="T16">
        <f ca="1">IFERROR(INDIRECT(CONCATENATE("B", S16))-$E$15,1000000)</f>
        <v>-21.727493999999979</v>
      </c>
      <c r="U16">
        <f ca="1">IFERROR(INDIRECT(CONCATENATE("D", S16)),100)</f>
        <v>19.518436999999999</v>
      </c>
      <c r="V16">
        <f>GetLeadingCarRow($B$45:$E$56,L16,$E$15,E16)</f>
        <v>49</v>
      </c>
      <c r="W16">
        <f ca="1">IFERROR(INDIRECT(CONCATENATE("B", V16))-E16,1000000000)</f>
        <v>18.875171000000023</v>
      </c>
      <c r="X16">
        <f ca="1">IFERROR(INDIRECT(CONCATENATE("D", V16)),100)</f>
        <v>16.492387999999998</v>
      </c>
      <c r="Y16">
        <f>GetFollowingCarRow($B$45:$E$56,L16,$E$15,E16)</f>
        <v>47</v>
      </c>
      <c r="Z16">
        <f ca="1">IFERROR(INDIRECT(CONCATENATE("B", Y16))-E16,1000000000)</f>
        <v>-26.727493999999979</v>
      </c>
      <c r="AA16">
        <f ca="1">IFERROR(INDIRECT(CONCATENATE("D", Y16)),100)</f>
        <v>19.518436999999999</v>
      </c>
      <c r="AB16">
        <f>$F$15-F16</f>
        <v>3.0000000000000249E-2</v>
      </c>
      <c r="AC16">
        <f>E16-$E$15</f>
        <v>5</v>
      </c>
      <c r="AD16">
        <f>$F$15-(-AB16/AC16)*$E$15</f>
        <v>11.719020000000047</v>
      </c>
      <c r="AE16">
        <f>AD16*-AC16</f>
        <v>-58.59510000000023</v>
      </c>
      <c r="AF16">
        <f>SQRT(AB16^2+AC16^2)</f>
        <v>5.0000899991900143</v>
      </c>
      <c r="AG16">
        <f>GetSmallestNormalDistance($B$45:$E$54,AB16,AC16,AF16,$L$15,L16)</f>
        <v>11.216475511257878</v>
      </c>
      <c r="AH16">
        <f t="shared" ref="AH16:AH37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8.3956090964425606E-3</v>
      </c>
      <c r="AL16">
        <f>IF(H16+ABS(K16)&lt;0,Logistic(SQRT(H16^2+K16^2)/$B$4),0)</f>
        <v>0.20816264573875623</v>
      </c>
      <c r="AM16">
        <f>IF(G16&gt;$B$3,1,0)</f>
        <v>0</v>
      </c>
      <c r="AN16">
        <f>IF(H16&gt;$B$4,1,0)</f>
        <v>0</v>
      </c>
      <c r="AO16">
        <f>ABS(H16)/$B$4</f>
        <v>0.42249999999999999</v>
      </c>
      <c r="AP16">
        <f>Logistic(I16/$B$5)</f>
        <v>0.20277513498334734</v>
      </c>
      <c r="AQ16">
        <f>IF(I16&gt;$B$5,1,0)</f>
        <v>0</v>
      </c>
      <c r="AR16">
        <f>Logistic(ABS(F16-O16)/($B$6/2))</f>
        <v>7.4998593781640541E-3</v>
      </c>
      <c r="AS16">
        <f>IF(OR(F16&lt;M16,F16&gt;N16),1,0)</f>
        <v>0</v>
      </c>
      <c r="AT16">
        <f>ABS(K16)/$B$4</f>
        <v>0</v>
      </c>
      <c r="AU16">
        <f ca="1">MAX(($B$7-W16)/(W16+1),0)/$B$7</f>
        <v>1.8657833602203078E-2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7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7" si="8">Logistic(($B$3-G16)/(G16+1))</f>
        <v>8.8842554519524955E-2</v>
      </c>
      <c r="BI16">
        <f t="shared" ref="BI16:BI37" si="9">IF(G16&gt;$B$3,1,0)</f>
        <v>0</v>
      </c>
      <c r="BJ16">
        <f t="shared" ref="BJ16:BJ37" si="10">IF(H16&gt;$B$5,1,0)</f>
        <v>0</v>
      </c>
      <c r="BK16">
        <f t="shared" ref="BK16:BK37" si="11">EXP(-($B$4-ABS(H16))/MAX(ABS(H16),0.000000001))</f>
        <v>0.25490511392509985</v>
      </c>
      <c r="BL16">
        <f>IF(G16&lt;ABS(H16),1,0)</f>
        <v>0</v>
      </c>
      <c r="BM16">
        <f t="shared" ref="BM16:BM37" si="12">EXP(-($B$5-I16)/MAX(I16,0.000000001))</f>
        <v>0.23892371974308776</v>
      </c>
      <c r="BN16">
        <f t="shared" ref="BN16:BN37" si="13">IF(F16&gt;N16,(F16-N16)/$B$6,0)+IF(F16&lt;M16,(M16-F16)/$B$6,0)</f>
        <v>0</v>
      </c>
      <c r="BO16">
        <f t="shared" ref="BO16:BO37" si="14">ABS(K16/$B$4)</f>
        <v>0</v>
      </c>
      <c r="BP16">
        <f t="shared" ref="BP16:BP37" si="15">Logistic(ABS(H16)/$B$4)</f>
        <v>0.20816264573875623</v>
      </c>
      <c r="BQ16">
        <f t="shared" ref="BQ16:BQ37" si="16">Logistic(($B$3-G16)/G16)</f>
        <v>9.3788492403242496E-2</v>
      </c>
    </row>
    <row r="17" spans="1:69" x14ac:dyDescent="0.25">
      <c r="A17" s="1" t="s">
        <v>15</v>
      </c>
      <c r="B17">
        <f t="shared" ca="1" si="2"/>
        <v>3.7826425690150414</v>
      </c>
      <c r="C17" t="s">
        <v>478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958.25</v>
      </c>
      <c r="F17">
        <f t="shared" ref="F17:F40" si="19">VALUE(MID(C17,FIND("d[",C17)+2,FIND("]",C17,FIND("d[",C17))-(FIND("d[",C17)+2)))</f>
        <v>5.97</v>
      </c>
      <c r="G17">
        <f t="shared" ref="G17:G40" si="20">VALUE(MID(C17,FIND("s_dot[",C17)+6,FIND("]",C17,FIND("s_dot[",C17))-(FIND("s_dot[",C17)+6)))</f>
        <v>18.14</v>
      </c>
      <c r="H17">
        <f t="shared" ref="H17:H40" si="21">VALUE(MID(C17,FIND("s_dot2[",C17)+7,FIND("]",C17,FIND("s_dot2[",C17))-(FIND("s_dot2[",C17)+7)))</f>
        <v>-1.77</v>
      </c>
      <c r="I17">
        <f t="shared" ref="I17:I40" si="22">VALUE(MID(C17,FIND("s_dot3[",C17)+7,FIND("]",C17,FIND("s_dot3[",C17))-(FIND("s_dot3[",C17)+7)))</f>
        <v>1.67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>
        <f t="shared" si="5"/>
        <v>49</v>
      </c>
      <c r="Q17">
        <f t="shared" ref="Q17:Q40" ca="1" si="25">IFERROR(INDIRECT(CONCATENATE("B", P17))-$E$15,1000000)</f>
        <v>23.875171000000023</v>
      </c>
      <c r="R17">
        <f t="shared" ref="R17:R40" ca="1" si="26">IFERROR(INDIRECT(CONCATENATE("D", P17)),100)</f>
        <v>16.492387999999998</v>
      </c>
      <c r="S17">
        <f t="shared" ref="S17:S40" si="27">GetFollowingCarRow($B$45:$E$56,L17,$E$15, $E$15)</f>
        <v>47</v>
      </c>
      <c r="T17">
        <f t="shared" ref="T17:T40" ca="1" si="28">IFERROR(INDIRECT(CONCATENATE("B", S17))-$E$15,1000000)</f>
        <v>-21.727493999999979</v>
      </c>
      <c r="U17">
        <f t="shared" ref="U17:U40" ca="1" si="29">IFERROR(INDIRECT(CONCATENATE("D", S17)),100)</f>
        <v>19.518436999999999</v>
      </c>
      <c r="V17">
        <f t="shared" ref="V17:V40" si="30">GetLeadingCarRow($B$45:$E$56,L17,$E$15,E17)</f>
        <v>49</v>
      </c>
      <c r="W17">
        <f t="shared" ref="W17:W40" ca="1" si="31">IFERROR(INDIRECT(CONCATENATE("B", V17))-E17,1000000000)</f>
        <v>18.795170999999982</v>
      </c>
      <c r="X17">
        <f t="shared" ref="X17:X40" ca="1" si="32">IFERROR(INDIRECT(CONCATENATE("D", V17)),100)</f>
        <v>16.492387999999998</v>
      </c>
      <c r="Y17">
        <f>GetFollowingCarRow($B$45:$E$54,L17,$E$15,E17)</f>
        <v>47</v>
      </c>
      <c r="Z17">
        <f t="shared" ref="Z17:Z40" ca="1" si="33">IFERROR(INDIRECT(CONCATENATE("B", Y17))-E17,1000000000)</f>
        <v>-26.80749400000002</v>
      </c>
      <c r="AA17">
        <f t="shared" ref="AA17:AA40" ca="1" si="34">IFERROR(INDIRECT(CONCATENATE("D", Y17)),100)</f>
        <v>19.518436999999999</v>
      </c>
      <c r="AB17">
        <f t="shared" ref="AB17:AB40" si="35">$F$15-F17</f>
        <v>3.0000000000000249E-2</v>
      </c>
      <c r="AC17">
        <f t="shared" ref="AC17:AC40" si="36">E17-$E$15</f>
        <v>5.0800000000000409</v>
      </c>
      <c r="AD17">
        <f t="shared" ref="AD17:AD40" si="37">$F$15-(-AB17/AC17)*$E$15</f>
        <v>11.628956692913388</v>
      </c>
      <c r="AE17">
        <f t="shared" ref="AE17:AE40" si="38">AD17*-AC17</f>
        <v>-59.075100000000482</v>
      </c>
      <c r="AF17">
        <f t="shared" ref="AF17:AF40" si="39">SQRT(AB17^2+AC17^2)</f>
        <v>5.0800885819048878</v>
      </c>
      <c r="AG17">
        <f>GetSmallestNormalDistance($B$45:$E$54,AB17,AC17,AF17,$L$15,L17)</f>
        <v>11.132364051965912</v>
      </c>
      <c r="AH17">
        <f t="shared" si="6"/>
        <v>0</v>
      </c>
      <c r="AI17">
        <f>IF(G17&lt;=0,1,0)</f>
        <v>0</v>
      </c>
      <c r="AJ17">
        <f>IF(G17&lt;0,1,0)</f>
        <v>0</v>
      </c>
      <c r="AK17">
        <f>MAX(($B$3-G17)/(G17 + 1),0) / $B$3</f>
        <v>7.5833902087598954E-3</v>
      </c>
      <c r="AL17">
        <f>IF(H17+ABS(K17)&lt;0,Logistic(SQRT(H17^2+K17^2)/$B$4),0)</f>
        <v>0.11017592594284369</v>
      </c>
      <c r="AM17">
        <f>IF(G17&gt;$B$3,1,0)</f>
        <v>0</v>
      </c>
      <c r="AN17">
        <f>IF(H17&gt;$B$4,1,0)</f>
        <v>0</v>
      </c>
      <c r="AO17">
        <f>ABS(H17)/$B$4</f>
        <v>0.22125</v>
      </c>
      <c r="AP17">
        <f>Logistic(I17/$B$5)</f>
        <v>0.10399761910171519</v>
      </c>
      <c r="AQ17">
        <f>IF(I17&gt;$B$5,1,0)</f>
        <v>0</v>
      </c>
      <c r="AR17">
        <f>Logistic(ABS(F17-O17)/($B$6/2))</f>
        <v>7.4998593781640541E-3</v>
      </c>
      <c r="AS17">
        <f>IF(OR(F17&lt;M17,F17&gt;N17),1,0)</f>
        <v>0</v>
      </c>
      <c r="AT17">
        <f>ABS(K17)/$B$4</f>
        <v>0</v>
      </c>
      <c r="AU17">
        <f t="shared" ref="AU17:AU40" ca="1" si="40">MAX(($B$7-W17)/(W17+1),0)/$B$7</f>
        <v>1.8867950168250675E-2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1">IF(OR(ABS(Q17)&lt;$B$8,ABS(W17)&lt;$B$8),1,0)</f>
        <v>0</v>
      </c>
      <c r="BB17">
        <f t="shared" ref="BB17:BB40" ca="1" si="42">IF(OR(ABS(T17)&lt;$B$8,ABS(Z17)&lt;$B$8),1,0)</f>
        <v>0</v>
      </c>
      <c r="BC17">
        <f t="shared" ref="BC17:BC40" si="43">IFERROR(IF(P17=Y17,1,0),0)</f>
        <v>0</v>
      </c>
      <c r="BE17">
        <f t="shared" si="7"/>
        <v>0</v>
      </c>
      <c r="BF17">
        <f t="shared" ref="BF17:BF40" si="44">IF(G17&lt;=0,1,0)</f>
        <v>0</v>
      </c>
      <c r="BG17">
        <f t="shared" ref="BG17:BG40" si="45">IF(G17&lt;0,1,0)</f>
        <v>0</v>
      </c>
      <c r="BH17">
        <f t="shared" si="8"/>
        <v>8.0286592407616014E-2</v>
      </c>
      <c r="BI17">
        <f t="shared" si="9"/>
        <v>0</v>
      </c>
      <c r="BJ17">
        <f t="shared" si="10"/>
        <v>0</v>
      </c>
      <c r="BK17">
        <f t="shared" si="11"/>
        <v>2.9606125061674777E-2</v>
      </c>
      <c r="BL17">
        <f t="shared" ref="BL17:BL40" si="46">IF(G17&lt;ABS(H17),1,0)</f>
        <v>0</v>
      </c>
      <c r="BM17">
        <f t="shared" si="12"/>
        <v>2.2586132625471999E-2</v>
      </c>
      <c r="BN17">
        <f t="shared" si="13"/>
        <v>0</v>
      </c>
      <c r="BO17">
        <f t="shared" si="14"/>
        <v>0</v>
      </c>
      <c r="BP17">
        <f t="shared" si="15"/>
        <v>0.11017592594284369</v>
      </c>
      <c r="BQ17">
        <f t="shared" si="16"/>
        <v>8.4691892844289282E-2</v>
      </c>
    </row>
    <row r="18" spans="1:69" x14ac:dyDescent="0.25">
      <c r="A18" s="1" t="s">
        <v>14</v>
      </c>
      <c r="B18">
        <f t="shared" ca="1" si="2"/>
        <v>8.3716409123417073</v>
      </c>
      <c r="C18" t="s">
        <v>477</v>
      </c>
      <c r="D18">
        <f t="shared" si="17"/>
        <v>50</v>
      </c>
      <c r="E18">
        <f t="shared" si="18"/>
        <v>958.35</v>
      </c>
      <c r="F18">
        <f t="shared" si="19"/>
        <v>5.97</v>
      </c>
      <c r="G18">
        <f t="shared" si="20"/>
        <v>18.5</v>
      </c>
      <c r="H18">
        <f t="shared" si="21"/>
        <v>0.34</v>
      </c>
      <c r="I18">
        <f t="shared" si="22"/>
        <v>0.43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>
        <f t="shared" si="5"/>
        <v>49</v>
      </c>
      <c r="Q18">
        <f t="shared" ca="1" si="25"/>
        <v>23.875171000000023</v>
      </c>
      <c r="R18">
        <f t="shared" ca="1" si="26"/>
        <v>16.492387999999998</v>
      </c>
      <c r="S18">
        <f t="shared" si="27"/>
        <v>47</v>
      </c>
      <c r="T18">
        <f t="shared" ca="1" si="28"/>
        <v>-21.727493999999979</v>
      </c>
      <c r="U18">
        <f t="shared" ca="1" si="29"/>
        <v>19.518436999999999</v>
      </c>
      <c r="V18">
        <f t="shared" si="30"/>
        <v>49</v>
      </c>
      <c r="W18">
        <f t="shared" ca="1" si="31"/>
        <v>18.695170999999959</v>
      </c>
      <c r="X18">
        <f t="shared" ca="1" si="32"/>
        <v>16.492387999999998</v>
      </c>
      <c r="Y18">
        <f>GetFollowingCarRow($B$45:$E$54,L18,$E$15,E18)</f>
        <v>47</v>
      </c>
      <c r="Z18">
        <f t="shared" ca="1" si="33"/>
        <v>-26.907494000000042</v>
      </c>
      <c r="AA18">
        <f t="shared" ca="1" si="34"/>
        <v>19.518436999999999</v>
      </c>
      <c r="AB18">
        <f t="shared" si="35"/>
        <v>3.0000000000000249E-2</v>
      </c>
      <c r="AC18">
        <f t="shared" si="36"/>
        <v>5.1800000000000637</v>
      </c>
      <c r="AD18">
        <f t="shared" si="37"/>
        <v>11.520289575289553</v>
      </c>
      <c r="AE18">
        <f t="shared" si="38"/>
        <v>-59.675100000000619</v>
      </c>
      <c r="AF18">
        <f t="shared" si="39"/>
        <v>5.1800868718584887</v>
      </c>
      <c r="AG18">
        <f>GetSmallestNormalDistance($B$45:$E$54,AB18,AC18,AF18,$L$15,L18)</f>
        <v>11.030877960836172</v>
      </c>
      <c r="AH18">
        <f t="shared" si="6"/>
        <v>0</v>
      </c>
      <c r="AI18">
        <f>IF(G18&lt;=0,1,0)</f>
        <v>0</v>
      </c>
      <c r="AJ18">
        <f>IF(G18&lt;0,1,0)</f>
        <v>0</v>
      </c>
      <c r="AK18">
        <f>MAX(($B$3-G18)/(G18 + 1),0) / $B$3</f>
        <v>6.5733826337030839E-3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4.2500000000000003E-2</v>
      </c>
      <c r="AP18">
        <f>Logistic(I18/$B$5)</f>
        <v>2.6868531572538715E-2</v>
      </c>
      <c r="AQ18">
        <f>IF(I18&gt;$B$5,1,0)</f>
        <v>0</v>
      </c>
      <c r="AR18">
        <f>Logistic(ABS(F18-O18)/($B$6/2))</f>
        <v>7.4998593781640541E-3</v>
      </c>
      <c r="AS18">
        <f>IF(OR(F18&lt;M18,F18&gt;N18),1,0)</f>
        <v>0</v>
      </c>
      <c r="AT18">
        <f>ABS(K18)/$B$4</f>
        <v>0</v>
      </c>
      <c r="AU18">
        <f t="shared" ca="1" si="40"/>
        <v>1.9132996272707429E-2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6.878565180921703E-2</v>
      </c>
      <c r="AZ18">
        <f ca="1">MAX(1-(IF(Z18/(G18-AA18)&gt;0,Z18/(G18-AA18),Collision_Time_Buffer)/Collision_Time_Buffer),0)*IF($L$15&lt;&gt;L18,Lane_Change_Multiplier,1)</f>
        <v>0</v>
      </c>
      <c r="BA18">
        <f t="shared" ca="1" si="41"/>
        <v>0</v>
      </c>
      <c r="BB18">
        <f t="shared" ca="1" si="42"/>
        <v>0</v>
      </c>
      <c r="BC18">
        <f t="shared" si="43"/>
        <v>0</v>
      </c>
      <c r="BE18">
        <f t="shared" si="7"/>
        <v>0</v>
      </c>
      <c r="BF18">
        <f t="shared" si="44"/>
        <v>0</v>
      </c>
      <c r="BG18">
        <f t="shared" si="45"/>
        <v>0</v>
      </c>
      <c r="BH18">
        <f t="shared" si="8"/>
        <v>6.9630727810586671E-2</v>
      </c>
      <c r="BI18">
        <f t="shared" si="9"/>
        <v>0</v>
      </c>
      <c r="BJ18">
        <f t="shared" si="10"/>
        <v>0</v>
      </c>
      <c r="BK18">
        <f t="shared" si="11"/>
        <v>1.6428608868025348E-10</v>
      </c>
      <c r="BL18">
        <f t="shared" si="46"/>
        <v>0</v>
      </c>
      <c r="BM18">
        <f t="shared" si="12"/>
        <v>2.2615028748792137E-8</v>
      </c>
      <c r="BN18">
        <f t="shared" si="13"/>
        <v>0</v>
      </c>
      <c r="BO18">
        <f t="shared" si="14"/>
        <v>0</v>
      </c>
      <c r="BP18">
        <f t="shared" si="15"/>
        <v>2.1246802009927412E-2</v>
      </c>
      <c r="BQ18">
        <f t="shared" si="16"/>
        <v>7.3381371016094807E-2</v>
      </c>
    </row>
    <row r="19" spans="1:69" x14ac:dyDescent="0.25">
      <c r="A19" s="1" t="s">
        <v>13</v>
      </c>
      <c r="B19">
        <f t="shared" ca="1" si="2"/>
        <v>10.923361595105938</v>
      </c>
      <c r="C19" t="s">
        <v>476</v>
      </c>
      <c r="D19">
        <f t="shared" si="17"/>
        <v>50</v>
      </c>
      <c r="E19">
        <f t="shared" si="18"/>
        <v>958.38</v>
      </c>
      <c r="F19">
        <f t="shared" si="19"/>
        <v>5.97</v>
      </c>
      <c r="G19">
        <f t="shared" si="20"/>
        <v>18.579999999999998</v>
      </c>
      <c r="H19">
        <f t="shared" si="21"/>
        <v>0.82</v>
      </c>
      <c r="I19">
        <f t="shared" si="22"/>
        <v>0.91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>
        <f t="shared" si="5"/>
        <v>49</v>
      </c>
      <c r="Q19">
        <f t="shared" ca="1" si="25"/>
        <v>23.875171000000023</v>
      </c>
      <c r="R19">
        <f t="shared" ca="1" si="26"/>
        <v>16.492387999999998</v>
      </c>
      <c r="S19">
        <f t="shared" si="27"/>
        <v>47</v>
      </c>
      <c r="T19">
        <f t="shared" ca="1" si="28"/>
        <v>-21.727493999999979</v>
      </c>
      <c r="U19">
        <f t="shared" ca="1" si="29"/>
        <v>19.518436999999999</v>
      </c>
      <c r="V19">
        <f t="shared" si="30"/>
        <v>49</v>
      </c>
      <c r="W19">
        <f t="shared" ca="1" si="31"/>
        <v>18.665170999999987</v>
      </c>
      <c r="X19">
        <f t="shared" ca="1" si="32"/>
        <v>16.492387999999998</v>
      </c>
      <c r="Y19">
        <f>GetFollowingCarRow($B$45:$E$54,L19,$E$15,E19)</f>
        <v>47</v>
      </c>
      <c r="Z19">
        <f t="shared" ca="1" si="33"/>
        <v>-26.937494000000015</v>
      </c>
      <c r="AA19">
        <f t="shared" ca="1" si="34"/>
        <v>19.518436999999999</v>
      </c>
      <c r="AB19">
        <f t="shared" si="35"/>
        <v>3.0000000000000249E-2</v>
      </c>
      <c r="AC19">
        <f t="shared" si="36"/>
        <v>5.2100000000000364</v>
      </c>
      <c r="AD19">
        <f t="shared" si="37"/>
        <v>11.488502879078702</v>
      </c>
      <c r="AE19">
        <f t="shared" si="38"/>
        <v>-59.855100000000455</v>
      </c>
      <c r="AF19">
        <f t="shared" si="39"/>
        <v>5.2100863716449446</v>
      </c>
      <c r="AG19">
        <f>GetSmallestNormalDistance($B$45:$E$54,AB19,AC19,AF19,$L$15,L19)</f>
        <v>11.001191765637483</v>
      </c>
      <c r="AH19">
        <f t="shared" si="6"/>
        <v>0</v>
      </c>
      <c r="AI19">
        <f>IF(G19&lt;=0,1,0)</f>
        <v>0</v>
      </c>
      <c r="AJ19">
        <f>IF(G19&lt;0,1,0)</f>
        <v>0</v>
      </c>
      <c r="AK19">
        <f>MAX(($B$3-G19)/(G19 + 1),0) / $B$3</f>
        <v>6.3539802391214591E-3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0.10249999999999999</v>
      </c>
      <c r="AP19">
        <f>Logistic(I19/$B$5)</f>
        <v>5.6813753481059173E-2</v>
      </c>
      <c r="AQ19">
        <f>IF(I19&gt;$B$5,1,0)</f>
        <v>0</v>
      </c>
      <c r="AR19">
        <f>Logistic(ABS(F19-O19)/($B$6/2))</f>
        <v>7.4998593781640541E-3</v>
      </c>
      <c r="AS19">
        <f>IF(OR(F19&lt;M19,F19&gt;N19),1,0)</f>
        <v>0</v>
      </c>
      <c r="AT19">
        <f>ABS(K19)/$B$4</f>
        <v>0</v>
      </c>
      <c r="AU19">
        <f t="shared" ca="1" si="40"/>
        <v>1.9213035743921782E-2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0.10590804229904849</v>
      </c>
      <c r="AZ19">
        <f ca="1">MAX(1-(IF(Z19/(G19-AA19)&gt;0,Z19/(G19-AA19),Collision_Time_Buffer)/Collision_Time_Buffer),0)*IF($L$15&lt;&gt;L19,Lane_Change_Multiplier,1)</f>
        <v>0</v>
      </c>
      <c r="BA19">
        <f t="shared" ca="1" si="41"/>
        <v>0</v>
      </c>
      <c r="BB19">
        <f t="shared" ca="1" si="42"/>
        <v>0</v>
      </c>
      <c r="BC19">
        <f t="shared" si="43"/>
        <v>0</v>
      </c>
      <c r="BE19">
        <f t="shared" si="7"/>
        <v>0</v>
      </c>
      <c r="BF19">
        <f t="shared" si="44"/>
        <v>0</v>
      </c>
      <c r="BG19">
        <f t="shared" si="45"/>
        <v>0</v>
      </c>
      <c r="BH19">
        <f t="shared" si="8"/>
        <v>6.7313783517030545E-2</v>
      </c>
      <c r="BI19">
        <f t="shared" si="9"/>
        <v>0</v>
      </c>
      <c r="BJ19">
        <f t="shared" si="10"/>
        <v>0</v>
      </c>
      <c r="BK19">
        <f t="shared" si="11"/>
        <v>1.5749803736109737E-4</v>
      </c>
      <c r="BL19">
        <f t="shared" si="46"/>
        <v>0</v>
      </c>
      <c r="BM19">
        <f t="shared" si="12"/>
        <v>4.1335292448507304E-4</v>
      </c>
      <c r="BN19">
        <f t="shared" si="13"/>
        <v>0</v>
      </c>
      <c r="BO19">
        <f t="shared" si="14"/>
        <v>0</v>
      </c>
      <c r="BP19">
        <f t="shared" si="15"/>
        <v>5.1205176649235608E-2</v>
      </c>
      <c r="BQ19">
        <f t="shared" si="16"/>
        <v>7.0924848015546327E-2</v>
      </c>
    </row>
    <row r="20" spans="1:69" x14ac:dyDescent="0.25">
      <c r="A20" s="1" t="s">
        <v>12</v>
      </c>
      <c r="B20">
        <f t="shared" ca="1" si="2"/>
        <v>14.347109418986562</v>
      </c>
      <c r="C20" t="s">
        <v>475</v>
      </c>
      <c r="D20">
        <f t="shared" si="17"/>
        <v>50</v>
      </c>
      <c r="E20">
        <f t="shared" si="18"/>
        <v>958.41</v>
      </c>
      <c r="F20">
        <f t="shared" si="19"/>
        <v>5.97</v>
      </c>
      <c r="G20">
        <f t="shared" si="20"/>
        <v>18.7</v>
      </c>
      <c r="H20">
        <f t="shared" si="21"/>
        <v>1.47</v>
      </c>
      <c r="I20">
        <f t="shared" si="22"/>
        <v>1.56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>
        <f t="shared" si="5"/>
        <v>49</v>
      </c>
      <c r="Q20">
        <f t="shared" ca="1" si="25"/>
        <v>23.875171000000023</v>
      </c>
      <c r="R20">
        <f t="shared" ca="1" si="26"/>
        <v>16.492387999999998</v>
      </c>
      <c r="S20">
        <f t="shared" si="27"/>
        <v>47</v>
      </c>
      <c r="T20">
        <f t="shared" ca="1" si="28"/>
        <v>-21.727493999999979</v>
      </c>
      <c r="U20">
        <f t="shared" ca="1" si="29"/>
        <v>19.518436999999999</v>
      </c>
      <c r="V20">
        <f t="shared" si="30"/>
        <v>49</v>
      </c>
      <c r="W20">
        <f t="shared" ca="1" si="31"/>
        <v>18.635171000000014</v>
      </c>
      <c r="X20">
        <f t="shared" ca="1" si="32"/>
        <v>16.492387999999998</v>
      </c>
      <c r="Y20">
        <f>GetFollowingCarRow($B$45:$E$54,L20,$E$15,E20)</f>
        <v>47</v>
      </c>
      <c r="Z20">
        <f t="shared" ca="1" si="33"/>
        <v>-26.967493999999988</v>
      </c>
      <c r="AA20">
        <f t="shared" ca="1" si="34"/>
        <v>19.518436999999999</v>
      </c>
      <c r="AB20">
        <f t="shared" si="35"/>
        <v>3.0000000000000249E-2</v>
      </c>
      <c r="AC20">
        <f t="shared" si="36"/>
        <v>5.2400000000000091</v>
      </c>
      <c r="AD20">
        <f t="shared" si="37"/>
        <v>11.457080152671791</v>
      </c>
      <c r="AE20">
        <f t="shared" si="38"/>
        <v>-60.035100000000291</v>
      </c>
      <c r="AF20">
        <f t="shared" si="39"/>
        <v>5.2400858771588945</v>
      </c>
      <c r="AG20">
        <f>GetSmallestNormalDistance($B$45:$E$54,AB20,AC20,AF20,$L$15,L20)</f>
        <v>10.97184546547402</v>
      </c>
      <c r="AH20">
        <f t="shared" si="6"/>
        <v>0</v>
      </c>
      <c r="AI20">
        <f>IF(G20&lt;=0,1,0)</f>
        <v>0</v>
      </c>
      <c r="AJ20">
        <f>IF(G20&lt;0,1,0)</f>
        <v>0</v>
      </c>
      <c r="AK20">
        <f>MAX(($B$3-G20)/(G20 + 1),0) / $B$3</f>
        <v>6.0282178004659901E-3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0.18375</v>
      </c>
      <c r="AP20">
        <f>Logistic(I20/$B$5)</f>
        <v>9.7192217166268649E-2</v>
      </c>
      <c r="AQ20">
        <f>IF(I20&gt;$B$5,1,0)</f>
        <v>0</v>
      </c>
      <c r="AR20">
        <f>Logistic(ABS(F20-O20)/($B$6/2))</f>
        <v>7.4998593781640541E-3</v>
      </c>
      <c r="AS20">
        <f>IF(OR(F20&lt;M20,F20&gt;N20),1,0)</f>
        <v>0</v>
      </c>
      <c r="AT20">
        <f>ABS(K20)/$B$4</f>
        <v>0</v>
      </c>
      <c r="AU20">
        <f t="shared" ca="1" si="40"/>
        <v>1.9293319795041897E-2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0.15586747127665534</v>
      </c>
      <c r="AZ20">
        <f ca="1">MAX(1-(IF(Z20/(G20-AA20)&gt;0,Z20/(G20-AA20),Collision_Time_Buffer)/Collision_Time_Buffer),0)*IF($L$15&lt;&gt;L20,Lane_Change_Multiplier,1)</f>
        <v>0</v>
      </c>
      <c r="BA20">
        <f t="shared" ca="1" si="41"/>
        <v>0</v>
      </c>
      <c r="BB20">
        <f t="shared" ca="1" si="42"/>
        <v>0</v>
      </c>
      <c r="BC20">
        <f t="shared" si="43"/>
        <v>0</v>
      </c>
      <c r="BE20">
        <f t="shared" si="7"/>
        <v>0</v>
      </c>
      <c r="BF20">
        <f t="shared" si="44"/>
        <v>0</v>
      </c>
      <c r="BG20">
        <f t="shared" si="45"/>
        <v>0</v>
      </c>
      <c r="BH20">
        <f t="shared" si="8"/>
        <v>6.3872318235151493E-2</v>
      </c>
      <c r="BI20">
        <f t="shared" si="9"/>
        <v>0</v>
      </c>
      <c r="BJ20">
        <f t="shared" si="10"/>
        <v>0</v>
      </c>
      <c r="BK20">
        <f t="shared" si="11"/>
        <v>1.1770288215067391E-2</v>
      </c>
      <c r="BL20">
        <f t="shared" si="46"/>
        <v>0</v>
      </c>
      <c r="BM20">
        <f t="shared" si="12"/>
        <v>1.6111771449691555E-2</v>
      </c>
      <c r="BN20">
        <f t="shared" si="13"/>
        <v>0</v>
      </c>
      <c r="BO20">
        <f t="shared" si="14"/>
        <v>0</v>
      </c>
      <c r="BP20">
        <f t="shared" si="15"/>
        <v>9.1617363746189798E-2</v>
      </c>
      <c r="BQ20">
        <f t="shared" si="16"/>
        <v>6.7277895590459422E-2</v>
      </c>
    </row>
    <row r="21" spans="1:69" x14ac:dyDescent="0.25">
      <c r="A21" s="1" t="s">
        <v>33</v>
      </c>
      <c r="B21">
        <f t="shared" ca="1" si="2"/>
        <v>5.6436758684300763</v>
      </c>
      <c r="C21" t="s">
        <v>474</v>
      </c>
      <c r="D21">
        <f t="shared" si="17"/>
        <v>50</v>
      </c>
      <c r="E21">
        <f t="shared" si="18"/>
        <v>958.33</v>
      </c>
      <c r="F21">
        <f t="shared" si="19"/>
        <v>5.97</v>
      </c>
      <c r="G21">
        <f t="shared" si="20"/>
        <v>18.420000000000002</v>
      </c>
      <c r="H21">
        <f t="shared" si="21"/>
        <v>-0.15</v>
      </c>
      <c r="I21">
        <f t="shared" si="22"/>
        <v>0.06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>
        <f t="shared" si="5"/>
        <v>49</v>
      </c>
      <c r="Q21">
        <f t="shared" ca="1" si="25"/>
        <v>23.875171000000023</v>
      </c>
      <c r="R21">
        <f t="shared" ca="1" si="26"/>
        <v>16.492387999999998</v>
      </c>
      <c r="S21">
        <f t="shared" si="27"/>
        <v>47</v>
      </c>
      <c r="T21">
        <f t="shared" ca="1" si="28"/>
        <v>-21.727493999999979</v>
      </c>
      <c r="U21">
        <f t="shared" ca="1" si="29"/>
        <v>19.518436999999999</v>
      </c>
      <c r="V21">
        <f t="shared" si="30"/>
        <v>49</v>
      </c>
      <c r="W21">
        <f t="shared" ca="1" si="31"/>
        <v>18.715170999999941</v>
      </c>
      <c r="X21">
        <f t="shared" ca="1" si="32"/>
        <v>16.492387999999998</v>
      </c>
      <c r="Y21">
        <f>GetFollowingCarRow($B$45:$E$54,L21,$E$15,E21)</f>
        <v>47</v>
      </c>
      <c r="Z21">
        <f t="shared" ca="1" si="33"/>
        <v>-26.887494000000061</v>
      </c>
      <c r="AA21">
        <f t="shared" ca="1" si="34"/>
        <v>19.518436999999999</v>
      </c>
      <c r="AB21">
        <f t="shared" si="35"/>
        <v>3.0000000000000249E-2</v>
      </c>
      <c r="AC21">
        <f t="shared" si="36"/>
        <v>5.1600000000000819</v>
      </c>
      <c r="AD21">
        <f t="shared" si="37"/>
        <v>11.541686046511586</v>
      </c>
      <c r="AE21">
        <f t="shared" si="38"/>
        <v>-59.555100000000728</v>
      </c>
      <c r="AF21">
        <f t="shared" si="39"/>
        <v>5.1600872085654563</v>
      </c>
      <c r="AG21">
        <f>GetSmallestNormalDistance($B$45:$E$54,AB21,AC21,AF21,$L$15,L21)</f>
        <v>11.050860515563581</v>
      </c>
      <c r="AH21">
        <f t="shared" si="6"/>
        <v>0</v>
      </c>
      <c r="AI21">
        <f>IF(G21&lt;=0,1,0)</f>
        <v>0</v>
      </c>
      <c r="AJ21">
        <f>IF(G21&lt;0,1,0)</f>
        <v>0</v>
      </c>
      <c r="AK21">
        <f>MAX(($B$3-G21)/(G21 + 1),0) / $B$3</f>
        <v>6.7945926690227655E-3</v>
      </c>
      <c r="AL21">
        <f>IF(H21+ABS(K21)&lt;0,Logistic(SQRT(H21^2+K21^2)/$B$4),0)</f>
        <v>9.3747253514524613E-3</v>
      </c>
      <c r="AM21">
        <f>IF(G21&gt;$B$3,1,0)</f>
        <v>0</v>
      </c>
      <c r="AN21">
        <f>IF(H21&gt;$B$4,1,0)</f>
        <v>0</v>
      </c>
      <c r="AO21">
        <f>ABS(H21)/$B$4</f>
        <v>1.8749999999999999E-2</v>
      </c>
      <c r="AP21">
        <f>Logistic(I21/$B$5)</f>
        <v>3.7499824219738836E-3</v>
      </c>
      <c r="AQ21">
        <f>IF(I21&gt;$B$5,1,0)</f>
        <v>0</v>
      </c>
      <c r="AR21">
        <f>Logistic(ABS(F21-O21)/($B$6/2))</f>
        <v>7.4998593781640541E-3</v>
      </c>
      <c r="AS21">
        <f>IF(OR(F21&lt;M21,F21&gt;N21),1,0)</f>
        <v>0</v>
      </c>
      <c r="AT21">
        <f>ABS(K21)/$B$4</f>
        <v>0</v>
      </c>
      <c r="AU21">
        <f t="shared" ca="1" si="40"/>
        <v>1.9079771951593508E-2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2.9100721514500494E-2</v>
      </c>
      <c r="AZ21">
        <f ca="1">MAX(1-(IF(Z21/(G21-AA21)&gt;0,Z21/(G21-AA21),Collision_Time_Buffer)/Collision_Time_Buffer),0)*IF($L$15&lt;&gt;L21,Lane_Change_Multiplier,1)</f>
        <v>0</v>
      </c>
      <c r="BA21">
        <f t="shared" ca="1" si="41"/>
        <v>0</v>
      </c>
      <c r="BB21">
        <f t="shared" ca="1" si="42"/>
        <v>0</v>
      </c>
      <c r="BC21">
        <f t="shared" si="43"/>
        <v>0</v>
      </c>
      <c r="BE21">
        <f t="shared" si="7"/>
        <v>0</v>
      </c>
      <c r="BF21">
        <f t="shared" si="44"/>
        <v>0</v>
      </c>
      <c r="BG21">
        <f t="shared" si="45"/>
        <v>0</v>
      </c>
      <c r="BH21">
        <f t="shared" si="8"/>
        <v>7.1966000881851455E-2</v>
      </c>
      <c r="BI21">
        <f t="shared" si="9"/>
        <v>0</v>
      </c>
      <c r="BJ21">
        <f t="shared" si="10"/>
        <v>0</v>
      </c>
      <c r="BK21">
        <f t="shared" si="11"/>
        <v>1.8703466827523275E-23</v>
      </c>
      <c r="BL21">
        <f t="shared" si="46"/>
        <v>0</v>
      </c>
      <c r="BM21">
        <f t="shared" si="12"/>
        <v>3.3756978061175827E-58</v>
      </c>
      <c r="BN21">
        <f t="shared" si="13"/>
        <v>0</v>
      </c>
      <c r="BO21">
        <f t="shared" si="14"/>
        <v>0</v>
      </c>
      <c r="BP21">
        <f t="shared" si="15"/>
        <v>9.3747253514524613E-3</v>
      </c>
      <c r="BQ21">
        <f t="shared" si="16"/>
        <v>7.5858330062589907E-2</v>
      </c>
    </row>
    <row r="22" spans="1:69" x14ac:dyDescent="0.25">
      <c r="A22" s="1" t="s">
        <v>11</v>
      </c>
      <c r="B22">
        <f t="shared" ca="1" si="2"/>
        <v>6.366319449683294</v>
      </c>
      <c r="C22" t="s">
        <v>473</v>
      </c>
      <c r="D22">
        <f t="shared" si="17"/>
        <v>50</v>
      </c>
      <c r="E22">
        <f t="shared" si="18"/>
        <v>958.34</v>
      </c>
      <c r="F22">
        <f t="shared" si="19"/>
        <v>5.97</v>
      </c>
      <c r="G22">
        <f t="shared" si="20"/>
        <v>18.440000000000001</v>
      </c>
      <c r="H22">
        <f t="shared" si="21"/>
        <v>0</v>
      </c>
      <c r="I22">
        <f t="shared" si="22"/>
        <v>0.09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>
        <f t="shared" si="5"/>
        <v>49</v>
      </c>
      <c r="Q22">
        <f t="shared" ca="1" si="25"/>
        <v>23.875171000000023</v>
      </c>
      <c r="R22">
        <f t="shared" ca="1" si="26"/>
        <v>16.492387999999998</v>
      </c>
      <c r="S22">
        <f t="shared" si="27"/>
        <v>47</v>
      </c>
      <c r="T22">
        <f t="shared" ca="1" si="28"/>
        <v>-21.727493999999979</v>
      </c>
      <c r="U22">
        <f t="shared" ca="1" si="29"/>
        <v>19.518436999999999</v>
      </c>
      <c r="V22">
        <f t="shared" si="30"/>
        <v>49</v>
      </c>
      <c r="W22">
        <f t="shared" ca="1" si="31"/>
        <v>18.70517099999995</v>
      </c>
      <c r="X22">
        <f t="shared" ca="1" si="32"/>
        <v>16.492387999999998</v>
      </c>
      <c r="Y22">
        <f>GetFollowingCarRow($B$45:$E$54,L22,$E$15,E22)</f>
        <v>47</v>
      </c>
      <c r="Z22">
        <f t="shared" ca="1" si="33"/>
        <v>-26.897494000000052</v>
      </c>
      <c r="AA22">
        <f t="shared" ca="1" si="34"/>
        <v>19.518436999999999</v>
      </c>
      <c r="AB22">
        <f t="shared" si="35"/>
        <v>3.0000000000000249E-2</v>
      </c>
      <c r="AC22">
        <f t="shared" si="36"/>
        <v>5.1700000000000728</v>
      </c>
      <c r="AD22">
        <f t="shared" si="37"/>
        <v>11.530967117988363</v>
      </c>
      <c r="AE22">
        <f t="shared" si="38"/>
        <v>-59.615100000000673</v>
      </c>
      <c r="AF22">
        <f t="shared" si="39"/>
        <v>5.1700870398863454</v>
      </c>
      <c r="AG22">
        <f>GetSmallestNormalDistance($B$45:$E$54,AB22,AC22,AF22,$L$15,L22)</f>
        <v>11.040849914057828</v>
      </c>
      <c r="AH22">
        <f t="shared" si="6"/>
        <v>0</v>
      </c>
      <c r="AI22">
        <f>IF(G22&lt;=0,1,0)</f>
        <v>0</v>
      </c>
      <c r="AJ22">
        <f>IF(G22&lt;0,1,0)</f>
        <v>0</v>
      </c>
      <c r="AK22">
        <f>MAX(($B$3-G22)/(G22 + 1),0) / $B$3</f>
        <v>6.7391194734371974E-3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5.6249406745789406E-3</v>
      </c>
      <c r="AQ22">
        <f>IF(I22&gt;$B$5,1,0)</f>
        <v>0</v>
      </c>
      <c r="AR22">
        <f>Logistic(ABS(F22-O22)/($B$6/2))</f>
        <v>7.4998593781640541E-3</v>
      </c>
      <c r="AS22">
        <f>IF(OR(F22&lt;M22,F22&gt;N22),1,0)</f>
        <v>0</v>
      </c>
      <c r="AT22">
        <f>ABS(K22)/$B$4</f>
        <v>0</v>
      </c>
      <c r="AU22">
        <f t="shared" ca="1" si="40"/>
        <v>1.910637060698446E-2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3.9584321723222127E-2</v>
      </c>
      <c r="AZ22">
        <f ca="1">MAX(1-(IF(Z22/(G22-AA22)&gt;0,Z22/(G22-AA22),Collision_Time_Buffer)/Collision_Time_Buffer),0)*IF($L$15&lt;&gt;L22,Lane_Change_Multiplier,1)</f>
        <v>0</v>
      </c>
      <c r="BA22">
        <f t="shared" ca="1" si="41"/>
        <v>0</v>
      </c>
      <c r="BB22">
        <f t="shared" ca="1" si="42"/>
        <v>0</v>
      </c>
      <c r="BC22">
        <f t="shared" si="43"/>
        <v>0</v>
      </c>
      <c r="BE22">
        <f t="shared" si="7"/>
        <v>0</v>
      </c>
      <c r="BF22">
        <f t="shared" si="44"/>
        <v>0</v>
      </c>
      <c r="BG22">
        <f t="shared" si="45"/>
        <v>0</v>
      </c>
      <c r="BH22">
        <f t="shared" si="8"/>
        <v>7.1380453811373534E-2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6"/>
        <v>0</v>
      </c>
      <c r="BM22">
        <f t="shared" si="12"/>
        <v>6.7661330717513806E-39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7.5237162165310165E-2</v>
      </c>
    </row>
    <row r="23" spans="1:69" x14ac:dyDescent="0.25">
      <c r="A23" s="1" t="s">
        <v>34</v>
      </c>
      <c r="B23">
        <f t="shared" ca="1" si="2"/>
        <v>10.242263226813613</v>
      </c>
      <c r="C23" t="s">
        <v>472</v>
      </c>
      <c r="D23">
        <f t="shared" si="17"/>
        <v>125</v>
      </c>
      <c r="E23">
        <f t="shared" si="18"/>
        <v>984.83</v>
      </c>
      <c r="F23">
        <f t="shared" si="19"/>
        <v>9</v>
      </c>
      <c r="G23">
        <f t="shared" si="20"/>
        <v>16.75</v>
      </c>
      <c r="H23">
        <f t="shared" si="21"/>
        <v>-0.47</v>
      </c>
      <c r="I23">
        <f t="shared" si="22"/>
        <v>0.38</v>
      </c>
      <c r="J23">
        <f t="shared" si="23"/>
        <v>-1.82</v>
      </c>
      <c r="K23">
        <f t="shared" si="24"/>
        <v>0.86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48</v>
      </c>
      <c r="Q23">
        <f t="shared" ca="1" si="25"/>
        <v>42.532968000000096</v>
      </c>
      <c r="R23">
        <f t="shared" ca="1" si="26"/>
        <v>15.747097999999999</v>
      </c>
      <c r="S23">
        <f t="shared" si="27"/>
        <v>50</v>
      </c>
      <c r="T23">
        <f t="shared" ca="1" si="28"/>
        <v>-22.936999000000014</v>
      </c>
      <c r="U23">
        <f t="shared" ca="1" si="29"/>
        <v>14.773144</v>
      </c>
      <c r="V23">
        <f t="shared" si="30"/>
        <v>48</v>
      </c>
      <c r="W23">
        <f t="shared" ca="1" si="31"/>
        <v>10.872968000000014</v>
      </c>
      <c r="X23">
        <f t="shared" ca="1" si="32"/>
        <v>15.747097999999999</v>
      </c>
      <c r="Y23">
        <f>GetFollowingCarRow($B$45:$E$54,L23,$E$15,E23)</f>
        <v>50</v>
      </c>
      <c r="Z23">
        <f t="shared" ca="1" si="33"/>
        <v>-54.596999000000096</v>
      </c>
      <c r="AA23">
        <f t="shared" ca="1" si="34"/>
        <v>14.773144</v>
      </c>
      <c r="AB23">
        <f t="shared" si="35"/>
        <v>-3</v>
      </c>
      <c r="AC23">
        <f t="shared" si="36"/>
        <v>31.660000000000082</v>
      </c>
      <c r="AD23">
        <f t="shared" si="37"/>
        <v>-84.319330385344045</v>
      </c>
      <c r="AE23">
        <f t="shared" si="38"/>
        <v>2669.5499999999993</v>
      </c>
      <c r="AF23">
        <f t="shared" si="39"/>
        <v>31.801817558120877</v>
      </c>
      <c r="AG23">
        <f>GetSmallestNormalDistance($B$45:$E$54,AB23,AC23,AF23,$L$15,L23)</f>
        <v>73.175756884554161</v>
      </c>
      <c r="AH23">
        <f t="shared" si="6"/>
        <v>0.6351489523872873</v>
      </c>
      <c r="AI23">
        <f>IF(G23&lt;=0,1,0)</f>
        <v>0</v>
      </c>
      <c r="AJ23">
        <f>IF(G23&lt;0,1,0)</f>
        <v>0</v>
      </c>
      <c r="AK23">
        <f>MAX(($B$3-G23)/(G23 + 1),0) / $B$3</f>
        <v>1.1867624218449243E-2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5.8749999999999997E-2</v>
      </c>
      <c r="AP23">
        <f>Logistic(I23/$B$5)</f>
        <v>2.3745535512505592E-2</v>
      </c>
      <c r="AQ23">
        <f>IF(I23&gt;$B$5,1,0)</f>
        <v>0</v>
      </c>
      <c r="AR23">
        <f>Logistic(ABS(F23-O23)/($B$6/2))</f>
        <v>0.24491866240370913</v>
      </c>
      <c r="AS23">
        <f>IF(OR(F23&lt;M23,F23&gt;N23),1,0)</f>
        <v>0</v>
      </c>
      <c r="AT23">
        <f>ABS(K23)/$B$4</f>
        <v>0.1075</v>
      </c>
      <c r="AU23">
        <f t="shared" ca="1" si="40"/>
        <v>5.369910315039441E-2</v>
      </c>
      <c r="AV23">
        <f ca="1">IF(AND(L23&lt;&gt;$L$15,$Q$15&gt;Safety_Distance),1,0)</f>
        <v>0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1"/>
        <v>0</v>
      </c>
      <c r="BB23">
        <f t="shared" ca="1" si="42"/>
        <v>0</v>
      </c>
      <c r="BC23">
        <f t="shared" si="43"/>
        <v>0</v>
      </c>
      <c r="BE23">
        <f t="shared" si="7"/>
        <v>0.6351489523872873</v>
      </c>
      <c r="BF23">
        <f t="shared" si="44"/>
        <v>0</v>
      </c>
      <c r="BG23">
        <f t="shared" si="45"/>
        <v>0</v>
      </c>
      <c r="BH23">
        <f t="shared" si="8"/>
        <v>0.12525423499718075</v>
      </c>
      <c r="BI23">
        <f t="shared" si="9"/>
        <v>0</v>
      </c>
      <c r="BJ23">
        <f t="shared" si="10"/>
        <v>0</v>
      </c>
      <c r="BK23">
        <f t="shared" si="11"/>
        <v>1.1016610157680324E-7</v>
      </c>
      <c r="BL23">
        <f t="shared" si="46"/>
        <v>0</v>
      </c>
      <c r="BM23">
        <f t="shared" si="12"/>
        <v>1.9554772044501257E-9</v>
      </c>
      <c r="BN23">
        <f t="shared" si="13"/>
        <v>0</v>
      </c>
      <c r="BO23">
        <f t="shared" si="14"/>
        <v>0.1075</v>
      </c>
      <c r="BP23">
        <f t="shared" si="15"/>
        <v>2.9366553777884566E-2</v>
      </c>
      <c r="BQ23">
        <f t="shared" si="16"/>
        <v>0.13264654141161561</v>
      </c>
    </row>
    <row r="24" spans="1:69" x14ac:dyDescent="0.25">
      <c r="A24" s="1" t="s">
        <v>35</v>
      </c>
      <c r="B24">
        <f t="shared" ca="1" si="2"/>
        <v>14.225410984213651</v>
      </c>
      <c r="C24" t="s">
        <v>471</v>
      </c>
      <c r="D24">
        <f t="shared" si="17"/>
        <v>115</v>
      </c>
      <c r="E24">
        <f t="shared" si="18"/>
        <v>977.42</v>
      </c>
      <c r="F24">
        <f t="shared" si="19"/>
        <v>9.01</v>
      </c>
      <c r="G24">
        <f t="shared" si="20"/>
        <v>11.91</v>
      </c>
      <c r="H24">
        <f t="shared" si="21"/>
        <v>-2.06</v>
      </c>
      <c r="I24">
        <f t="shared" si="22"/>
        <v>1.96</v>
      </c>
      <c r="J24">
        <f t="shared" si="23"/>
        <v>-1.84</v>
      </c>
      <c r="K24">
        <f t="shared" si="24"/>
        <v>1.52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48</v>
      </c>
      <c r="Q24">
        <f t="shared" ca="1" si="25"/>
        <v>42.532968000000096</v>
      </c>
      <c r="R24">
        <f t="shared" ca="1" si="26"/>
        <v>15.747097999999999</v>
      </c>
      <c r="S24">
        <f t="shared" si="27"/>
        <v>50</v>
      </c>
      <c r="T24">
        <f t="shared" ca="1" si="28"/>
        <v>-22.936999000000014</v>
      </c>
      <c r="U24">
        <f t="shared" ca="1" si="29"/>
        <v>14.773144</v>
      </c>
      <c r="V24">
        <f t="shared" si="30"/>
        <v>48</v>
      </c>
      <c r="W24">
        <f t="shared" ca="1" si="31"/>
        <v>18.282968000000096</v>
      </c>
      <c r="X24">
        <f t="shared" ca="1" si="32"/>
        <v>15.747097999999999</v>
      </c>
      <c r="Y24">
        <f>GetFollowingCarRow($B$45:$E$54,L24,$E$15,E24)</f>
        <v>50</v>
      </c>
      <c r="Z24">
        <f t="shared" ca="1" si="33"/>
        <v>-47.186999000000014</v>
      </c>
      <c r="AA24">
        <f t="shared" ca="1" si="34"/>
        <v>14.773144</v>
      </c>
      <c r="AB24">
        <f t="shared" si="35"/>
        <v>-3.01</v>
      </c>
      <c r="AC24">
        <f t="shared" si="36"/>
        <v>24.25</v>
      </c>
      <c r="AD24">
        <f t="shared" si="37"/>
        <v>-112.31099793814433</v>
      </c>
      <c r="AE24">
        <f t="shared" si="38"/>
        <v>2723.5416999999998</v>
      </c>
      <c r="AF24">
        <f t="shared" si="39"/>
        <v>24.436092158935725</v>
      </c>
      <c r="AG24">
        <f>GetSmallestNormalDistance($B$45:$E$54,AB24,AC24,AF24,$L$15,L24)</f>
        <v>98.583073447326498</v>
      </c>
      <c r="AH24">
        <f t="shared" si="6"/>
        <v>0.57166996608511722</v>
      </c>
      <c r="AI24">
        <f>IF(G24&lt;=0,1,0)</f>
        <v>0</v>
      </c>
      <c r="AJ24">
        <f>IF(G24&lt;0,1,0)</f>
        <v>0</v>
      </c>
      <c r="AK24">
        <f>MAX(($B$3-G24)/(G24 + 1),0) / $B$3</f>
        <v>3.3984278894485201E-2</v>
      </c>
      <c r="AL24">
        <f>IF(H24+ABS(K24)&lt;0,Logistic(SQRT(H24^2+K24^2)/$B$4),0)</f>
        <v>0.15865326413647679</v>
      </c>
      <c r="AM24">
        <f>IF(G24&gt;$B$3,1,0)</f>
        <v>0</v>
      </c>
      <c r="AN24">
        <f>IF(H24&gt;$B$4,1,0)</f>
        <v>0</v>
      </c>
      <c r="AO24">
        <f>ABS(H24)/$B$4</f>
        <v>0.25750000000000001</v>
      </c>
      <c r="AP24">
        <f>Logistic(I24/$B$5)</f>
        <v>0.12189090064943242</v>
      </c>
      <c r="AQ24">
        <f>IF(I24&gt;$B$5,1,0)</f>
        <v>0</v>
      </c>
      <c r="AR24">
        <f>Logistic(ABS(F24-O24)/($B$6/2))</f>
        <v>0.2425671903821357</v>
      </c>
      <c r="AS24">
        <f>IF(OR(F24&lt;M24,F24&gt;N24),1,0)</f>
        <v>0</v>
      </c>
      <c r="AT24">
        <f>ABS(K24)/$B$4</f>
        <v>0.19</v>
      </c>
      <c r="AU24">
        <f t="shared" ca="1" si="40"/>
        <v>2.0254544494049266E-2</v>
      </c>
      <c r="AV24">
        <f ca="1">IF(AND(L24&lt;&gt;$L$15,$Q$15&gt;Safety_Distance),1,0)</f>
        <v>0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0.19888769129320727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1"/>
        <v>0</v>
      </c>
      <c r="BB24">
        <f t="shared" ca="1" si="42"/>
        <v>0</v>
      </c>
      <c r="BC24">
        <f t="shared" si="43"/>
        <v>0</v>
      </c>
      <c r="BE24">
        <f t="shared" si="7"/>
        <v>0.57166996608511722</v>
      </c>
      <c r="BF24">
        <f t="shared" si="44"/>
        <v>0</v>
      </c>
      <c r="BG24">
        <f t="shared" si="45"/>
        <v>0</v>
      </c>
      <c r="BH24">
        <f t="shared" si="8"/>
        <v>0.34571882356712874</v>
      </c>
      <c r="BI24">
        <f t="shared" si="9"/>
        <v>0</v>
      </c>
      <c r="BJ24">
        <f t="shared" si="10"/>
        <v>0</v>
      </c>
      <c r="BK24">
        <f t="shared" si="11"/>
        <v>5.5938906136286659E-2</v>
      </c>
      <c r="BL24">
        <f t="shared" si="46"/>
        <v>0</v>
      </c>
      <c r="BM24">
        <f t="shared" si="12"/>
        <v>4.5884282348149494E-2</v>
      </c>
      <c r="BN24">
        <f t="shared" si="13"/>
        <v>0</v>
      </c>
      <c r="BO24">
        <f t="shared" si="14"/>
        <v>0.19</v>
      </c>
      <c r="BP24">
        <f t="shared" si="15"/>
        <v>0.12804327485251524</v>
      </c>
      <c r="BQ24">
        <f t="shared" si="16"/>
        <v>0.37209107436426014</v>
      </c>
    </row>
    <row r="25" spans="1:69" x14ac:dyDescent="0.25">
      <c r="A25" s="1" t="s">
        <v>36</v>
      </c>
      <c r="B25">
        <f t="shared" ca="1" si="2"/>
        <v>185.52608820782689</v>
      </c>
      <c r="C25" t="s">
        <v>470</v>
      </c>
      <c r="D25">
        <f t="shared" si="17"/>
        <v>135</v>
      </c>
      <c r="E25">
        <f t="shared" si="18"/>
        <v>944.24</v>
      </c>
      <c r="F25">
        <f t="shared" si="19"/>
        <v>5.99</v>
      </c>
      <c r="G25">
        <f t="shared" si="20"/>
        <v>-27.15</v>
      </c>
      <c r="H25">
        <f t="shared" si="21"/>
        <v>-11.45</v>
      </c>
      <c r="I25">
        <f t="shared" si="22"/>
        <v>11.36</v>
      </c>
      <c r="J25">
        <f t="shared" si="23"/>
        <v>-0.06</v>
      </c>
      <c r="K25">
        <f t="shared" si="24"/>
        <v>3.42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48</v>
      </c>
      <c r="Q25">
        <f t="shared" ca="1" si="25"/>
        <v>42.532968000000096</v>
      </c>
      <c r="R25">
        <f t="shared" ca="1" si="26"/>
        <v>15.747097999999999</v>
      </c>
      <c r="S25">
        <f t="shared" si="27"/>
        <v>50</v>
      </c>
      <c r="T25">
        <f t="shared" ca="1" si="28"/>
        <v>-22.936999000000014</v>
      </c>
      <c r="U25">
        <f t="shared" ca="1" si="29"/>
        <v>14.773144</v>
      </c>
      <c r="V25">
        <f t="shared" si="30"/>
        <v>48</v>
      </c>
      <c r="W25">
        <f t="shared" ca="1" si="31"/>
        <v>51.462968000000046</v>
      </c>
      <c r="X25">
        <f t="shared" ca="1" si="32"/>
        <v>15.747097999999999</v>
      </c>
      <c r="Y25">
        <f>GetFollowingCarRow($B$45:$E$54,L25,$E$15,E25)</f>
        <v>50</v>
      </c>
      <c r="Z25">
        <f t="shared" ca="1" si="33"/>
        <v>-14.006999000000064</v>
      </c>
      <c r="AA25">
        <f t="shared" ca="1" si="34"/>
        <v>14.773144</v>
      </c>
      <c r="AB25">
        <f t="shared" si="35"/>
        <v>9.9999999999997868E-3</v>
      </c>
      <c r="AC25">
        <f t="shared" si="36"/>
        <v>-8.92999999999995</v>
      </c>
      <c r="AD25">
        <f t="shared" si="37"/>
        <v>4.9326203807390989</v>
      </c>
      <c r="AE25">
        <f t="shared" si="38"/>
        <v>44.048299999999905</v>
      </c>
      <c r="AF25">
        <f t="shared" si="39"/>
        <v>8.9300055991023388</v>
      </c>
      <c r="AG25">
        <f>GetSmallestNormalDistance($B$45:$E$54,AB25,AC25,AF25,$L$15,L25)</f>
        <v>4.8017521763155742</v>
      </c>
      <c r="AH25">
        <f t="shared" si="6"/>
        <v>0.69106946983293061</v>
      </c>
      <c r="AI25">
        <f>IF(G25&lt;=0,1,0)</f>
        <v>1</v>
      </c>
      <c r="AJ25">
        <f>IF(G25&lt;0,1,0)</f>
        <v>1</v>
      </c>
      <c r="AK25">
        <f>MAX(($B$3-G25)/(G25 + 1),0) / $B$3</f>
        <v>0</v>
      </c>
      <c r="AL25">
        <f>IF(H25+ABS(K25)&lt;0,Logistic(SQRT(H25^2+K25^2)/$B$4),0)</f>
        <v>0.63327528130163147</v>
      </c>
      <c r="AM25">
        <f>IF(G25&gt;$B$3,1,0)</f>
        <v>0</v>
      </c>
      <c r="AN25">
        <f>IF(H25&gt;$B$4,1,0)</f>
        <v>0</v>
      </c>
      <c r="AO25">
        <f>ABS(H25)/$B$4</f>
        <v>1.4312499999999999</v>
      </c>
      <c r="AP25">
        <f>Logistic(I25/$B$5)</f>
        <v>0.61067683281684415</v>
      </c>
      <c r="AQ25">
        <f>IF(I25&gt;$B$5,1,0)</f>
        <v>1</v>
      </c>
      <c r="AR25">
        <f>Logistic(ABS(F25-O25)/($B$6/2))</f>
        <v>0.76264209436717101</v>
      </c>
      <c r="AS25">
        <f>IF(OR(F25&lt;M25,F25&gt;N25),1,0)</f>
        <v>1</v>
      </c>
      <c r="AT25">
        <f>ABS(K25)/$B$4</f>
        <v>0.42749999999999999</v>
      </c>
      <c r="AU25">
        <f t="shared" ca="1" si="40"/>
        <v>0</v>
      </c>
      <c r="AV25">
        <f ca="1">IF(AND(L25&lt;&gt;$L$15,$Q$15&gt;Safety_Distance),1,0)</f>
        <v>0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0.94528797983281021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0.96658886318258941</v>
      </c>
      <c r="BA25">
        <f t="shared" ca="1" si="41"/>
        <v>0</v>
      </c>
      <c r="BB25">
        <f t="shared" ca="1" si="42"/>
        <v>0</v>
      </c>
      <c r="BC25">
        <f t="shared" si="43"/>
        <v>0</v>
      </c>
      <c r="BE25">
        <f t="shared" si="7"/>
        <v>0.69106946983293061</v>
      </c>
      <c r="BF25">
        <f t="shared" si="44"/>
        <v>1</v>
      </c>
      <c r="BG25">
        <f t="shared" si="45"/>
        <v>1</v>
      </c>
      <c r="BH25">
        <f t="shared" si="8"/>
        <v>-0.72818685012228401</v>
      </c>
      <c r="BI25">
        <f t="shared" si="9"/>
        <v>0</v>
      </c>
      <c r="BJ25">
        <f t="shared" si="10"/>
        <v>0</v>
      </c>
      <c r="BK25">
        <f t="shared" si="11"/>
        <v>1.351628340389281</v>
      </c>
      <c r="BL25">
        <f t="shared" si="46"/>
        <v>1</v>
      </c>
      <c r="BM25">
        <f t="shared" si="12"/>
        <v>1.3441672117777168</v>
      </c>
      <c r="BN25">
        <f t="shared" si="13"/>
        <v>0.50249999999999995</v>
      </c>
      <c r="BO25">
        <f t="shared" si="14"/>
        <v>0.42749999999999999</v>
      </c>
      <c r="BP25">
        <f t="shared" si="15"/>
        <v>0.61419201106245602</v>
      </c>
      <c r="BQ25">
        <f t="shared" si="16"/>
        <v>-0.71178464439322786</v>
      </c>
    </row>
    <row r="26" spans="1:69" x14ac:dyDescent="0.25">
      <c r="A26" s="1" t="s">
        <v>79</v>
      </c>
      <c r="B26">
        <f t="shared" ca="1" si="2"/>
        <v>11.275499528741937</v>
      </c>
      <c r="C26" t="s">
        <v>469</v>
      </c>
      <c r="D26">
        <f t="shared" si="17"/>
        <v>128</v>
      </c>
      <c r="E26">
        <f t="shared" si="18"/>
        <v>984.94</v>
      </c>
      <c r="F26">
        <f t="shared" si="19"/>
        <v>9.01</v>
      </c>
      <c r="G26">
        <f t="shared" si="20"/>
        <v>15.73</v>
      </c>
      <c r="H26">
        <f t="shared" si="21"/>
        <v>-0.73</v>
      </c>
      <c r="I26">
        <f t="shared" si="22"/>
        <v>0.64</v>
      </c>
      <c r="J26">
        <f t="shared" si="23"/>
        <v>-1.7</v>
      </c>
      <c r="K26">
        <f t="shared" si="24"/>
        <v>0.86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>
        <f t="shared" si="5"/>
        <v>48</v>
      </c>
      <c r="Q26">
        <f t="shared" ca="1" si="25"/>
        <v>42.532968000000096</v>
      </c>
      <c r="R26">
        <f t="shared" ca="1" si="26"/>
        <v>15.747097999999999</v>
      </c>
      <c r="S26">
        <f t="shared" si="27"/>
        <v>50</v>
      </c>
      <c r="T26">
        <f t="shared" ca="1" si="28"/>
        <v>-22.936999000000014</v>
      </c>
      <c r="U26">
        <f t="shared" ca="1" si="29"/>
        <v>14.773144</v>
      </c>
      <c r="V26">
        <f t="shared" si="30"/>
        <v>48</v>
      </c>
      <c r="W26">
        <f t="shared" ca="1" si="31"/>
        <v>10.762968000000001</v>
      </c>
      <c r="X26">
        <f t="shared" ca="1" si="32"/>
        <v>15.747097999999999</v>
      </c>
      <c r="Y26">
        <f>GetFollowingCarRow($B$45:$E$54,L26,$E$15,E26)</f>
        <v>50</v>
      </c>
      <c r="Z26">
        <f t="shared" ca="1" si="33"/>
        <v>-54.70699900000011</v>
      </c>
      <c r="AA26">
        <f t="shared" ca="1" si="34"/>
        <v>14.773144</v>
      </c>
      <c r="AB26">
        <f t="shared" si="35"/>
        <v>-3.01</v>
      </c>
      <c r="AC26">
        <f t="shared" si="36"/>
        <v>31.770000000000095</v>
      </c>
      <c r="AD26">
        <f t="shared" si="37"/>
        <v>-84.306632042807394</v>
      </c>
      <c r="AE26">
        <f t="shared" si="38"/>
        <v>2678.421699999999</v>
      </c>
      <c r="AF26">
        <f t="shared" si="39"/>
        <v>31.912270367368194</v>
      </c>
      <c r="AG26">
        <f>GetSmallestNormalDistance($B$45:$E$54,AB26,AC26,AF26,$L$15,L26)</f>
        <v>73.164180230106041</v>
      </c>
      <c r="AH26">
        <f t="shared" si="6"/>
        <v>0.65270670596198999</v>
      </c>
      <c r="AI26">
        <f>IF(G26&lt;=0,1,0)</f>
        <v>0</v>
      </c>
      <c r="AJ26">
        <f>IF(G26&lt;0,1,0)</f>
        <v>0</v>
      </c>
      <c r="AK26">
        <f>MAX(($B$3-G26)/(G26 + 1),0) / $B$3</f>
        <v>1.5464326980659164E-2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9.1249999999999998E-2</v>
      </c>
      <c r="AP26">
        <f>Logistic(I26/$B$5)</f>
        <v>3.9978680311163584E-2</v>
      </c>
      <c r="AQ26">
        <f>IF(I26&gt;$B$5,1,0)</f>
        <v>0</v>
      </c>
      <c r="AR26">
        <f>Logistic(ABS(F26-O26)/($B$6/2))</f>
        <v>0.2425671903821357</v>
      </c>
      <c r="AS26">
        <f>IF(OR(F26&lt;M26,F26&gt;N26),1,0)</f>
        <v>0</v>
      </c>
      <c r="AT26">
        <f>ABS(K26)/$B$4</f>
        <v>0.1075</v>
      </c>
      <c r="AU26">
        <f t="shared" ca="1" si="40"/>
        <v>5.4512976656911759E-2</v>
      </c>
      <c r="AV26">
        <f ca="1">IF(AND(L26&lt;&gt;$L$15,$Q$15&gt;Safety_Distance),1,0)</f>
        <v>0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1"/>
        <v>0</v>
      </c>
      <c r="BB26">
        <f t="shared" ca="1" si="42"/>
        <v>0</v>
      </c>
      <c r="BC26">
        <f t="shared" si="43"/>
        <v>0</v>
      </c>
      <c r="BE26">
        <f t="shared" si="7"/>
        <v>0.65270670596198999</v>
      </c>
      <c r="BF26">
        <f t="shared" si="44"/>
        <v>0</v>
      </c>
      <c r="BG26">
        <f t="shared" si="45"/>
        <v>0</v>
      </c>
      <c r="BH26">
        <f t="shared" si="8"/>
        <v>0.16261982010659934</v>
      </c>
      <c r="BI26">
        <f t="shared" si="9"/>
        <v>0</v>
      </c>
      <c r="BJ26">
        <f t="shared" si="10"/>
        <v>0</v>
      </c>
      <c r="BK26">
        <f t="shared" si="11"/>
        <v>4.7304548249758627E-5</v>
      </c>
      <c r="BL26">
        <f t="shared" si="46"/>
        <v>0</v>
      </c>
      <c r="BM26">
        <f t="shared" si="12"/>
        <v>1.0130093598630711E-5</v>
      </c>
      <c r="BN26">
        <f t="shared" si="13"/>
        <v>0</v>
      </c>
      <c r="BO26">
        <f t="shared" si="14"/>
        <v>0.1075</v>
      </c>
      <c r="BP26">
        <f t="shared" si="15"/>
        <v>4.5593368053771482E-2</v>
      </c>
      <c r="BQ26">
        <f t="shared" si="16"/>
        <v>0.17275721375888511</v>
      </c>
    </row>
    <row r="27" spans="1:69" x14ac:dyDescent="0.25">
      <c r="A27" s="1" t="s">
        <v>80</v>
      </c>
      <c r="B27">
        <f t="shared" ca="1" si="2"/>
        <v>18.39439458424053</v>
      </c>
      <c r="C27" t="s">
        <v>468</v>
      </c>
      <c r="D27">
        <f t="shared" si="17"/>
        <v>118</v>
      </c>
      <c r="E27">
        <f t="shared" si="18"/>
        <v>977.41</v>
      </c>
      <c r="F27">
        <f t="shared" si="19"/>
        <v>9.01</v>
      </c>
      <c r="G27">
        <f t="shared" si="20"/>
        <v>10.81</v>
      </c>
      <c r="H27">
        <f t="shared" si="21"/>
        <v>-2.31</v>
      </c>
      <c r="I27">
        <f t="shared" si="22"/>
        <v>2.2200000000000002</v>
      </c>
      <c r="J27">
        <f t="shared" si="23"/>
        <v>-1.67</v>
      </c>
      <c r="K27">
        <f t="shared" si="24"/>
        <v>1.52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>
        <f t="shared" si="5"/>
        <v>48</v>
      </c>
      <c r="Q27">
        <f t="shared" ca="1" si="25"/>
        <v>42.532968000000096</v>
      </c>
      <c r="R27">
        <f t="shared" ca="1" si="26"/>
        <v>15.747097999999999</v>
      </c>
      <c r="S27">
        <f t="shared" si="27"/>
        <v>50</v>
      </c>
      <c r="T27">
        <f t="shared" ca="1" si="28"/>
        <v>-22.936999000000014</v>
      </c>
      <c r="U27">
        <f t="shared" ca="1" si="29"/>
        <v>14.773144</v>
      </c>
      <c r="V27">
        <f t="shared" si="30"/>
        <v>48</v>
      </c>
      <c r="W27">
        <f t="shared" ca="1" si="31"/>
        <v>18.292968000000087</v>
      </c>
      <c r="X27">
        <f t="shared" ca="1" si="32"/>
        <v>15.747097999999999</v>
      </c>
      <c r="Y27">
        <f>GetFollowingCarRow($B$45:$E$54,L27,$E$15,E27)</f>
        <v>50</v>
      </c>
      <c r="Z27">
        <f t="shared" ca="1" si="33"/>
        <v>-47.176999000000023</v>
      </c>
      <c r="AA27">
        <f t="shared" ca="1" si="34"/>
        <v>14.773144</v>
      </c>
      <c r="AB27">
        <f t="shared" si="35"/>
        <v>-3.01</v>
      </c>
      <c r="AC27">
        <f t="shared" si="36"/>
        <v>24.240000000000009</v>
      </c>
      <c r="AD27">
        <f t="shared" si="37"/>
        <v>-112.3598061056105</v>
      </c>
      <c r="AE27">
        <f t="shared" si="38"/>
        <v>2723.6016999999997</v>
      </c>
      <c r="AF27">
        <f t="shared" si="39"/>
        <v>24.426168344625818</v>
      </c>
      <c r="AG27">
        <f>GetSmallestNormalDistance($B$45:$E$54,AB27,AC27,AF27,$L$15,L27)</f>
        <v>98.627162384232079</v>
      </c>
      <c r="AH27">
        <f t="shared" si="6"/>
        <v>0.59151939543181642</v>
      </c>
      <c r="AI27">
        <f>IF(G27&lt;=0,1,0)</f>
        <v>0</v>
      </c>
      <c r="AJ27">
        <f>IF(G27&lt;0,1,0)</f>
        <v>0</v>
      </c>
      <c r="AK27">
        <f>MAX(($B$3-G27)/(G27 + 1),0) / $B$3</f>
        <v>4.1538944056898376E-2</v>
      </c>
      <c r="AL27">
        <f>IF(H27+ABS(K27)&lt;0,Logistic(SQRT(H27^2+K27^2)/$B$4),0)</f>
        <v>0.17112649213049816</v>
      </c>
      <c r="AM27">
        <f>IF(G27&gt;$B$3,1,0)</f>
        <v>0</v>
      </c>
      <c r="AN27">
        <f>IF(H27&gt;$B$4,1,0)</f>
        <v>0</v>
      </c>
      <c r="AO27">
        <f>ABS(H27)/$B$4</f>
        <v>0.28875000000000001</v>
      </c>
      <c r="AP27">
        <f>Logistic(I27/$B$5)</f>
        <v>0.13786641873909314</v>
      </c>
      <c r="AQ27">
        <f>IF(I27&gt;$B$5,1,0)</f>
        <v>0</v>
      </c>
      <c r="AR27">
        <f>Logistic(ABS(F27-O27)/($B$6/2))</f>
        <v>0.2425671903821357</v>
      </c>
      <c r="AS27">
        <f>IF(OR(F27&lt;M27,F27&gt;N27),1,0)</f>
        <v>0</v>
      </c>
      <c r="AT27">
        <f>ABS(K27)/$B$4</f>
        <v>0.19</v>
      </c>
      <c r="AU27">
        <f t="shared" ca="1" si="40"/>
        <v>2.0226768634043001E-2</v>
      </c>
      <c r="AV27">
        <f ca="1">IF(AND(L27&lt;&gt;$L$15,$Q$15&gt;Safety_Distance),1,0)</f>
        <v>0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0.42124235203161897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</v>
      </c>
      <c r="BA27">
        <f t="shared" ca="1" si="41"/>
        <v>0</v>
      </c>
      <c r="BB27">
        <f t="shared" ca="1" si="42"/>
        <v>0</v>
      </c>
      <c r="BC27">
        <f t="shared" si="43"/>
        <v>0</v>
      </c>
      <c r="BE27">
        <f t="shared" si="7"/>
        <v>0.59151939543181642</v>
      </c>
      <c r="BF27">
        <f t="shared" si="44"/>
        <v>0</v>
      </c>
      <c r="BG27">
        <f t="shared" si="45"/>
        <v>0</v>
      </c>
      <c r="BH27">
        <f t="shared" si="8"/>
        <v>0.41424786109836764</v>
      </c>
      <c r="BI27">
        <f t="shared" si="9"/>
        <v>0</v>
      </c>
      <c r="BJ27">
        <f t="shared" si="10"/>
        <v>0</v>
      </c>
      <c r="BK27">
        <f t="shared" si="11"/>
        <v>8.5161701152150007E-2</v>
      </c>
      <c r="BL27">
        <f t="shared" si="46"/>
        <v>0</v>
      </c>
      <c r="BM27">
        <f t="shared" si="12"/>
        <v>7.4006407358280443E-2</v>
      </c>
      <c r="BN27">
        <f t="shared" si="13"/>
        <v>0</v>
      </c>
      <c r="BO27">
        <f t="shared" si="14"/>
        <v>0.19</v>
      </c>
      <c r="BP27">
        <f t="shared" si="15"/>
        <v>0.143380169464913</v>
      </c>
      <c r="BQ27">
        <f t="shared" si="16"/>
        <v>0.44744299594093123</v>
      </c>
    </row>
    <row r="28" spans="1:69" x14ac:dyDescent="0.25">
      <c r="A28" s="1" t="s">
        <v>81</v>
      </c>
      <c r="B28">
        <f t="shared" ca="1" si="2"/>
        <v>185.53908359087814</v>
      </c>
      <c r="C28" t="s">
        <v>467</v>
      </c>
      <c r="D28">
        <f t="shared" si="17"/>
        <v>135</v>
      </c>
      <c r="E28">
        <f t="shared" si="18"/>
        <v>943.21</v>
      </c>
      <c r="F28">
        <f t="shared" si="19"/>
        <v>6</v>
      </c>
      <c r="G28">
        <f t="shared" si="20"/>
        <v>-28.17</v>
      </c>
      <c r="H28">
        <f t="shared" si="21"/>
        <v>-11.71</v>
      </c>
      <c r="I28">
        <f t="shared" si="22"/>
        <v>11.62</v>
      </c>
      <c r="J28">
        <f t="shared" si="23"/>
        <v>-0.06</v>
      </c>
      <c r="K28">
        <f t="shared" si="24"/>
        <v>3.42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>
        <f t="shared" si="5"/>
        <v>48</v>
      </c>
      <c r="Q28">
        <f t="shared" ca="1" si="25"/>
        <v>42.532968000000096</v>
      </c>
      <c r="R28">
        <f t="shared" ca="1" si="26"/>
        <v>15.747097999999999</v>
      </c>
      <c r="S28">
        <f t="shared" si="27"/>
        <v>50</v>
      </c>
      <c r="T28">
        <f t="shared" ca="1" si="28"/>
        <v>-22.936999000000014</v>
      </c>
      <c r="U28">
        <f t="shared" ca="1" si="29"/>
        <v>14.773144</v>
      </c>
      <c r="V28">
        <f t="shared" si="30"/>
        <v>48</v>
      </c>
      <c r="W28">
        <f t="shared" ca="1" si="31"/>
        <v>52.492968000000019</v>
      </c>
      <c r="X28">
        <f t="shared" ca="1" si="32"/>
        <v>15.747097999999999</v>
      </c>
      <c r="Y28">
        <f>GetFollowingCarRow($B$45:$E$54,L28,$E$15,E28)</f>
        <v>50</v>
      </c>
      <c r="Z28">
        <f t="shared" ca="1" si="33"/>
        <v>-12.976999000000092</v>
      </c>
      <c r="AA28">
        <f t="shared" ca="1" si="34"/>
        <v>14.773144</v>
      </c>
      <c r="AB28">
        <f t="shared" si="35"/>
        <v>0</v>
      </c>
      <c r="AC28">
        <f t="shared" si="36"/>
        <v>-9.9599999999999227</v>
      </c>
      <c r="AD28">
        <f t="shared" si="37"/>
        <v>6</v>
      </c>
      <c r="AE28">
        <f t="shared" si="38"/>
        <v>59.759999999999536</v>
      </c>
      <c r="AF28">
        <f t="shared" si="39"/>
        <v>9.9599999999999227</v>
      </c>
      <c r="AG28">
        <f>GetSmallestNormalDistance($B$45:$E$54,AB28,AC28,AF28,$L$15,L28)</f>
        <v>5.8751059999999997</v>
      </c>
      <c r="AH28">
        <f t="shared" si="6"/>
        <v>0.69106946983293061</v>
      </c>
      <c r="AI28">
        <f>IF(G28&lt;=0,1,0)</f>
        <v>1</v>
      </c>
      <c r="AJ28">
        <f>IF(G28&lt;0,1,0)</f>
        <v>1</v>
      </c>
      <c r="AK28">
        <f>MAX(($B$3-G28)/(G28 + 1),0) / $B$3</f>
        <v>0</v>
      </c>
      <c r="AL28">
        <f>IF(H28+ABS(K28)&lt;0,Logistic(SQRT(H28^2+K28^2)/$B$4),0)</f>
        <v>0.64251782420112036</v>
      </c>
      <c r="AM28">
        <f>IF(G28&gt;$B$3,1,0)</f>
        <v>0</v>
      </c>
      <c r="AN28">
        <f>IF(H28&gt;$B$4,1,0)</f>
        <v>0</v>
      </c>
      <c r="AO28">
        <f>ABS(H28)/$B$4</f>
        <v>1.4637500000000001</v>
      </c>
      <c r="AP28">
        <f>Logistic(I28/$B$5)</f>
        <v>0.62076577652241771</v>
      </c>
      <c r="AQ28">
        <f>IF(I28&gt;$B$5,1,0)</f>
        <v>1</v>
      </c>
      <c r="AR28">
        <f>Logistic(ABS(F28-O28)/($B$6/2))</f>
        <v>0.76159415595576485</v>
      </c>
      <c r="AS28">
        <f>IF(OR(F28&lt;M28,F28&gt;N28),1,0)</f>
        <v>1</v>
      </c>
      <c r="AT28">
        <f>ABS(K28)/$B$4</f>
        <v>0.42749999999999999</v>
      </c>
      <c r="AU28">
        <f t="shared" ca="1" si="40"/>
        <v>0</v>
      </c>
      <c r="AV28">
        <f ca="1">IF(AND(L28&lt;&gt;$L$15,$Q$15&gt;Safety_Distance),1,0)</f>
        <v>0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0.94658751813793607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0.96978097598070578</v>
      </c>
      <c r="BA28">
        <f t="shared" ca="1" si="41"/>
        <v>0</v>
      </c>
      <c r="BB28">
        <f t="shared" ca="1" si="42"/>
        <v>0</v>
      </c>
      <c r="BC28">
        <f t="shared" si="43"/>
        <v>0</v>
      </c>
      <c r="BE28">
        <f t="shared" si="7"/>
        <v>0.69106946983293061</v>
      </c>
      <c r="BF28">
        <f t="shared" si="44"/>
        <v>1</v>
      </c>
      <c r="BG28">
        <f t="shared" si="45"/>
        <v>1</v>
      </c>
      <c r="BH28">
        <f t="shared" si="8"/>
        <v>-0.72060717870426905</v>
      </c>
      <c r="BI28">
        <f t="shared" si="9"/>
        <v>0</v>
      </c>
      <c r="BJ28">
        <f t="shared" si="10"/>
        <v>0</v>
      </c>
      <c r="BK28">
        <f t="shared" si="11"/>
        <v>1.3727598849796436</v>
      </c>
      <c r="BL28">
        <f t="shared" si="46"/>
        <v>1</v>
      </c>
      <c r="BM28">
        <f t="shared" si="12"/>
        <v>1.3655152659939518</v>
      </c>
      <c r="BN28">
        <f t="shared" si="13"/>
        <v>0.5</v>
      </c>
      <c r="BO28">
        <f t="shared" si="14"/>
        <v>0.42749999999999999</v>
      </c>
      <c r="BP28">
        <f t="shared" si="15"/>
        <v>0.62421111513593164</v>
      </c>
      <c r="BQ28">
        <f t="shared" si="16"/>
        <v>-0.70473297171209515</v>
      </c>
    </row>
    <row r="29" spans="1:69" x14ac:dyDescent="0.25">
      <c r="A29" s="1" t="s">
        <v>22</v>
      </c>
      <c r="B29">
        <f t="shared" ca="1" si="2"/>
        <v>11.260638523052481</v>
      </c>
      <c r="C29" t="s">
        <v>466</v>
      </c>
      <c r="D29">
        <f t="shared" si="17"/>
        <v>128</v>
      </c>
      <c r="E29">
        <f t="shared" si="18"/>
        <v>984.97</v>
      </c>
      <c r="F29">
        <f t="shared" si="19"/>
        <v>9.02</v>
      </c>
      <c r="G29">
        <f t="shared" si="20"/>
        <v>15.77</v>
      </c>
      <c r="H29">
        <f t="shared" si="21"/>
        <v>-0.72</v>
      </c>
      <c r="I29">
        <f t="shared" si="22"/>
        <v>0.63</v>
      </c>
      <c r="J29">
        <f t="shared" si="23"/>
        <v>-1.71</v>
      </c>
      <c r="K29">
        <f t="shared" si="24"/>
        <v>0.86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>
        <f t="shared" si="5"/>
        <v>48</v>
      </c>
      <c r="Q29">
        <f t="shared" ca="1" si="25"/>
        <v>42.532968000000096</v>
      </c>
      <c r="R29">
        <f t="shared" ca="1" si="26"/>
        <v>15.747097999999999</v>
      </c>
      <c r="S29">
        <f t="shared" si="27"/>
        <v>50</v>
      </c>
      <c r="T29">
        <f t="shared" ca="1" si="28"/>
        <v>-22.936999000000014</v>
      </c>
      <c r="U29">
        <f t="shared" ca="1" si="29"/>
        <v>14.773144</v>
      </c>
      <c r="V29">
        <f t="shared" si="30"/>
        <v>48</v>
      </c>
      <c r="W29">
        <f t="shared" ca="1" si="31"/>
        <v>10.732968000000028</v>
      </c>
      <c r="X29">
        <f t="shared" ca="1" si="32"/>
        <v>15.747097999999999</v>
      </c>
      <c r="Y29">
        <f>GetFollowingCarRow($B$45:$E$54,L29,$E$15,E29)</f>
        <v>50</v>
      </c>
      <c r="Z29">
        <f t="shared" ca="1" si="33"/>
        <v>-54.736999000000083</v>
      </c>
      <c r="AA29">
        <f t="shared" ca="1" si="34"/>
        <v>14.773144</v>
      </c>
      <c r="AB29">
        <f t="shared" si="35"/>
        <v>-3.0199999999999996</v>
      </c>
      <c r="AC29">
        <f t="shared" si="36"/>
        <v>31.800000000000068</v>
      </c>
      <c r="AD29">
        <f t="shared" si="37"/>
        <v>-84.521176100628722</v>
      </c>
      <c r="AE29">
        <f t="shared" si="38"/>
        <v>2687.7733999999991</v>
      </c>
      <c r="AF29">
        <f t="shared" si="39"/>
        <v>31.943080627891923</v>
      </c>
      <c r="AG29">
        <f>GetSmallestNormalDistance($B$45:$E$54,AB29,AC29,AF29,$L$15,L29)</f>
        <v>73.359767269718319</v>
      </c>
      <c r="AH29">
        <f t="shared" si="6"/>
        <v>0.65270670596198999</v>
      </c>
      <c r="AI29">
        <f>IF(G29&lt;=0,1,0)</f>
        <v>0</v>
      </c>
      <c r="AJ29">
        <f>IF(G29&lt;0,1,0)</f>
        <v>0</v>
      </c>
      <c r="AK29">
        <f>MAX(($B$3-G29)/(G29 + 1),0) / $B$3</f>
        <v>1.5315037343400228E-2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0.09</v>
      </c>
      <c r="AP29">
        <f>Logistic(I29/$B$5)</f>
        <v>3.9354663734615832E-2</v>
      </c>
      <c r="AQ29">
        <f>IF(I29&gt;$B$5,1,0)</f>
        <v>0</v>
      </c>
      <c r="AR29">
        <f>Logistic(ABS(F29-O29)/($B$6/2))</f>
        <v>0.24021286468618039</v>
      </c>
      <c r="AS29">
        <f>IF(OR(F29&lt;M29,F29&gt;N29),1,0)</f>
        <v>0</v>
      </c>
      <c r="AT29">
        <f>ABS(K29)/$B$4</f>
        <v>0.1075</v>
      </c>
      <c r="AU29">
        <f t="shared" ca="1" si="40"/>
        <v>5.4737590693164549E-2</v>
      </c>
      <c r="AV29">
        <f ca="1">IF(AND(L29&lt;&gt;$L$15,$Q$15&gt;Safety_Distance),1,0)</f>
        <v>0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1"/>
        <v>0</v>
      </c>
      <c r="BB29">
        <f t="shared" ca="1" si="42"/>
        <v>0</v>
      </c>
      <c r="BC29">
        <f t="shared" si="43"/>
        <v>0</v>
      </c>
      <c r="BE29">
        <f t="shared" si="7"/>
        <v>0.65270670596198999</v>
      </c>
      <c r="BF29">
        <f t="shared" si="44"/>
        <v>0</v>
      </c>
      <c r="BG29">
        <f t="shared" si="45"/>
        <v>0</v>
      </c>
      <c r="BH29">
        <f t="shared" si="8"/>
        <v>0.16107734925880537</v>
      </c>
      <c r="BI29">
        <f t="shared" si="9"/>
        <v>0</v>
      </c>
      <c r="BJ29">
        <f t="shared" si="10"/>
        <v>0</v>
      </c>
      <c r="BK29">
        <f t="shared" si="11"/>
        <v>4.062564213208226E-5</v>
      </c>
      <c r="BL29">
        <f t="shared" si="46"/>
        <v>0</v>
      </c>
      <c r="BM29">
        <f t="shared" si="12"/>
        <v>8.3069944068542739E-6</v>
      </c>
      <c r="BN29">
        <f t="shared" si="13"/>
        <v>0</v>
      </c>
      <c r="BO29">
        <f t="shared" si="14"/>
        <v>0.1075</v>
      </c>
      <c r="BP29">
        <f t="shared" si="15"/>
        <v>4.4969649583600245E-2</v>
      </c>
      <c r="BQ29">
        <f t="shared" si="16"/>
        <v>0.17109692350782729</v>
      </c>
    </row>
    <row r="30" spans="1:69" x14ac:dyDescent="0.25">
      <c r="A30" s="1" t="s">
        <v>21</v>
      </c>
      <c r="B30">
        <f t="shared" ca="1" si="2"/>
        <v>18.299643941405265</v>
      </c>
      <c r="C30" t="s">
        <v>465</v>
      </c>
      <c r="D30">
        <f t="shared" si="17"/>
        <v>118</v>
      </c>
      <c r="E30">
        <f t="shared" si="18"/>
        <v>977.43</v>
      </c>
      <c r="F30">
        <f t="shared" si="19"/>
        <v>9.02</v>
      </c>
      <c r="G30">
        <f t="shared" si="20"/>
        <v>10.84</v>
      </c>
      <c r="H30">
        <f t="shared" si="21"/>
        <v>-2.31</v>
      </c>
      <c r="I30">
        <f t="shared" si="22"/>
        <v>2.21</v>
      </c>
      <c r="J30">
        <f t="shared" si="23"/>
        <v>-1.68</v>
      </c>
      <c r="K30">
        <f t="shared" si="24"/>
        <v>1.52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>
        <f t="shared" si="5"/>
        <v>48</v>
      </c>
      <c r="Q30">
        <f t="shared" ca="1" si="25"/>
        <v>42.532968000000096</v>
      </c>
      <c r="R30">
        <f t="shared" ca="1" si="26"/>
        <v>15.747097999999999</v>
      </c>
      <c r="S30">
        <f t="shared" si="27"/>
        <v>50</v>
      </c>
      <c r="T30">
        <f t="shared" ca="1" si="28"/>
        <v>-22.936999000000014</v>
      </c>
      <c r="U30">
        <f t="shared" ca="1" si="29"/>
        <v>14.773144</v>
      </c>
      <c r="V30">
        <f t="shared" si="30"/>
        <v>48</v>
      </c>
      <c r="W30">
        <f t="shared" ca="1" si="31"/>
        <v>18.272968000000105</v>
      </c>
      <c r="X30">
        <f t="shared" ca="1" si="32"/>
        <v>15.747097999999999</v>
      </c>
      <c r="Y30">
        <f>GetFollowingCarRow($B$45:$E$54,L30,$E$15,E30)</f>
        <v>50</v>
      </c>
      <c r="Z30">
        <f t="shared" ca="1" si="33"/>
        <v>-47.196999000000005</v>
      </c>
      <c r="AA30">
        <f t="shared" ca="1" si="34"/>
        <v>14.773144</v>
      </c>
      <c r="AB30">
        <f t="shared" si="35"/>
        <v>-3.0199999999999996</v>
      </c>
      <c r="AC30">
        <f t="shared" si="36"/>
        <v>24.259999999999991</v>
      </c>
      <c r="AD30">
        <f t="shared" si="37"/>
        <v>-112.65512778235782</v>
      </c>
      <c r="AE30">
        <f t="shared" si="38"/>
        <v>2733.0133999999998</v>
      </c>
      <c r="AF30">
        <f t="shared" si="39"/>
        <v>24.44724933402528</v>
      </c>
      <c r="AG30">
        <f>GetSmallestNormalDistance($B$45:$E$54,AB30,AC30,AF30,$L$15,L30)</f>
        <v>98.893912457263923</v>
      </c>
      <c r="AH30">
        <f t="shared" si="6"/>
        <v>0.59151939543181642</v>
      </c>
      <c r="AI30">
        <f>IF(G30&lt;=0,1,0)</f>
        <v>0</v>
      </c>
      <c r="AJ30">
        <f>IF(G30&lt;0,1,0)</f>
        <v>0</v>
      </c>
      <c r="AK30">
        <f>MAX(($B$3-G30)/(G30 + 1),0) / $B$3</f>
        <v>4.1314287897699774E-2</v>
      </c>
      <c r="AL30">
        <f>IF(H30+ABS(K30)&lt;0,Logistic(SQRT(H30^2+K30^2)/$B$4),0)</f>
        <v>0.17112649213049816</v>
      </c>
      <c r="AM30">
        <f>IF(G30&gt;$B$3,1,0)</f>
        <v>0</v>
      </c>
      <c r="AN30">
        <f>IF(H30&gt;$B$4,1,0)</f>
        <v>0</v>
      </c>
      <c r="AO30">
        <f>ABS(H30)/$B$4</f>
        <v>0.28875000000000001</v>
      </c>
      <c r="AP30">
        <f>Logistic(I30/$B$5)</f>
        <v>0.13725324545231515</v>
      </c>
      <c r="AQ30">
        <f>IF(I30&gt;$B$5,1,0)</f>
        <v>0</v>
      </c>
      <c r="AR30">
        <f>Logistic(ABS(F30-O30)/($B$6/2))</f>
        <v>0.24021286468618039</v>
      </c>
      <c r="AS30">
        <f>IF(OR(F30&lt;M30,F30&gt;N30),1,0)</f>
        <v>0</v>
      </c>
      <c r="AT30">
        <f>ABS(K30)/$B$4</f>
        <v>0.19</v>
      </c>
      <c r="AU30">
        <f t="shared" ca="1" si="40"/>
        <v>2.0282349177701171E-2</v>
      </c>
      <c r="AV30">
        <f ca="1">IF(AND(L30&lt;&gt;$L$15,$Q$15&gt;Safety_Distance),1,0)</f>
        <v>0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0.41682788629147538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</v>
      </c>
      <c r="BA30">
        <f t="shared" ca="1" si="41"/>
        <v>0</v>
      </c>
      <c r="BB30">
        <f t="shared" ca="1" si="42"/>
        <v>0</v>
      </c>
      <c r="BC30">
        <f t="shared" si="43"/>
        <v>0</v>
      </c>
      <c r="BE30">
        <f t="shared" si="7"/>
        <v>0.59151939543181642</v>
      </c>
      <c r="BF30">
        <f t="shared" si="44"/>
        <v>0</v>
      </c>
      <c r="BG30">
        <f t="shared" si="45"/>
        <v>0</v>
      </c>
      <c r="BH30">
        <f t="shared" si="8"/>
        <v>0.41227134052536818</v>
      </c>
      <c r="BI30">
        <f t="shared" si="9"/>
        <v>0</v>
      </c>
      <c r="BJ30">
        <f t="shared" si="10"/>
        <v>0</v>
      </c>
      <c r="BK30">
        <f t="shared" si="11"/>
        <v>8.5161701152150007E-2</v>
      </c>
      <c r="BL30">
        <f t="shared" si="46"/>
        <v>0</v>
      </c>
      <c r="BM30">
        <f t="shared" si="12"/>
        <v>7.2809451619940027E-2</v>
      </c>
      <c r="BN30">
        <f t="shared" si="13"/>
        <v>0</v>
      </c>
      <c r="BO30">
        <f t="shared" si="14"/>
        <v>0.19</v>
      </c>
      <c r="BP30">
        <f t="shared" si="15"/>
        <v>0.143380169464913</v>
      </c>
      <c r="BQ30">
        <f t="shared" si="16"/>
        <v>0.44526785544938502</v>
      </c>
    </row>
    <row r="31" spans="1:69" x14ac:dyDescent="0.25">
      <c r="A31" s="1" t="s">
        <v>20</v>
      </c>
      <c r="B31">
        <f t="shared" ca="1" si="2"/>
        <v>185.53871019142369</v>
      </c>
      <c r="C31" t="s">
        <v>464</v>
      </c>
      <c r="D31">
        <f t="shared" si="17"/>
        <v>135</v>
      </c>
      <c r="E31">
        <f t="shared" si="18"/>
        <v>943.24</v>
      </c>
      <c r="F31">
        <f t="shared" si="19"/>
        <v>6</v>
      </c>
      <c r="G31">
        <f t="shared" si="20"/>
        <v>-28.14</v>
      </c>
      <c r="H31">
        <f t="shared" si="21"/>
        <v>-11.7</v>
      </c>
      <c r="I31">
        <f t="shared" si="22"/>
        <v>11.61</v>
      </c>
      <c r="J31">
        <f t="shared" si="23"/>
        <v>-0.06</v>
      </c>
      <c r="K31">
        <f t="shared" si="24"/>
        <v>3.42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>
        <f t="shared" si="5"/>
        <v>48</v>
      </c>
      <c r="Q31">
        <f t="shared" ca="1" si="25"/>
        <v>42.532968000000096</v>
      </c>
      <c r="R31">
        <f t="shared" ca="1" si="26"/>
        <v>15.747097999999999</v>
      </c>
      <c r="S31">
        <f t="shared" si="27"/>
        <v>50</v>
      </c>
      <c r="T31">
        <f t="shared" ca="1" si="28"/>
        <v>-22.936999000000014</v>
      </c>
      <c r="U31">
        <f t="shared" ca="1" si="29"/>
        <v>14.773144</v>
      </c>
      <c r="V31">
        <f t="shared" si="30"/>
        <v>48</v>
      </c>
      <c r="W31">
        <f t="shared" ca="1" si="31"/>
        <v>52.462968000000046</v>
      </c>
      <c r="X31">
        <f t="shared" ca="1" si="32"/>
        <v>15.747097999999999</v>
      </c>
      <c r="Y31">
        <f>GetFollowingCarRow($B$45:$E$54,L31,$E$15,E31)</f>
        <v>50</v>
      </c>
      <c r="Z31">
        <f t="shared" ca="1" si="33"/>
        <v>-13.006999000000064</v>
      </c>
      <c r="AA31">
        <f t="shared" ca="1" si="34"/>
        <v>14.773144</v>
      </c>
      <c r="AB31">
        <f t="shared" si="35"/>
        <v>0</v>
      </c>
      <c r="AC31">
        <f t="shared" si="36"/>
        <v>-9.92999999999995</v>
      </c>
      <c r="AD31">
        <f t="shared" si="37"/>
        <v>6</v>
      </c>
      <c r="AE31">
        <f t="shared" si="38"/>
        <v>59.5799999999997</v>
      </c>
      <c r="AF31">
        <f t="shared" si="39"/>
        <v>9.92999999999995</v>
      </c>
      <c r="AG31">
        <f>GetSmallestNormalDistance($B$45:$E$54,AB31,AC31,AF31,$L$15,L31)</f>
        <v>5.8751059999999997</v>
      </c>
      <c r="AH31">
        <f t="shared" si="6"/>
        <v>0.69106946983293061</v>
      </c>
      <c r="AI31">
        <f>IF(G31&lt;=0,1,0)</f>
        <v>1</v>
      </c>
      <c r="AJ31">
        <f>IF(G31&lt;0,1,0)</f>
        <v>1</v>
      </c>
      <c r="AK31">
        <f>MAX(($B$3-G31)/(G31 + 1),0) / $B$3</f>
        <v>0</v>
      </c>
      <c r="AL31">
        <f>IF(H31+ABS(K31)&lt;0,Logistic(SQRT(H31^2+K31^2)/$B$4),0)</f>
        <v>0.64216543482032762</v>
      </c>
      <c r="AM31">
        <f>IF(G31&gt;$B$3,1,0)</f>
        <v>0</v>
      </c>
      <c r="AN31">
        <f>IF(H31&gt;$B$4,1,0)</f>
        <v>0</v>
      </c>
      <c r="AO31">
        <f>ABS(H31)/$B$4</f>
        <v>1.4624999999999999</v>
      </c>
      <c r="AP31">
        <f>Logistic(I31/$B$5)</f>
        <v>0.62038147131357013</v>
      </c>
      <c r="AQ31">
        <f>IF(I31&gt;$B$5,1,0)</f>
        <v>1</v>
      </c>
      <c r="AR31">
        <f>Logistic(ABS(F31-O31)/($B$6/2))</f>
        <v>0.76159415595576485</v>
      </c>
      <c r="AS31">
        <f>IF(OR(F31&lt;M31,F31&gt;N31),1,0)</f>
        <v>1</v>
      </c>
      <c r="AT31">
        <f>ABS(K31)/$B$4</f>
        <v>0.42749999999999999</v>
      </c>
      <c r="AU31">
        <f t="shared" ca="1" si="40"/>
        <v>0</v>
      </c>
      <c r="AV31">
        <f ca="1">IF(AND(L31&lt;&gt;$L$15,$Q$15&gt;Safety_Distance),1,0)</f>
        <v>0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0.94655017819249032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0.96968994161788735</v>
      </c>
      <c r="BA31">
        <f t="shared" ca="1" si="41"/>
        <v>0</v>
      </c>
      <c r="BB31">
        <f t="shared" ca="1" si="42"/>
        <v>0</v>
      </c>
      <c r="BC31">
        <f t="shared" si="43"/>
        <v>0</v>
      </c>
      <c r="BE31">
        <f t="shared" si="7"/>
        <v>0.69106946983293061</v>
      </c>
      <c r="BF31">
        <f t="shared" si="44"/>
        <v>1</v>
      </c>
      <c r="BG31">
        <f t="shared" si="45"/>
        <v>1</v>
      </c>
      <c r="BH31">
        <f t="shared" si="8"/>
        <v>-0.72082439447019098</v>
      </c>
      <c r="BI31">
        <f t="shared" si="9"/>
        <v>0</v>
      </c>
      <c r="BJ31">
        <f t="shared" si="10"/>
        <v>0</v>
      </c>
      <c r="BK31">
        <f t="shared" si="11"/>
        <v>1.3719585483018688</v>
      </c>
      <c r="BL31">
        <f t="shared" si="46"/>
        <v>1</v>
      </c>
      <c r="BM31">
        <f t="shared" si="12"/>
        <v>1.3647057611759601</v>
      </c>
      <c r="BN31">
        <f t="shared" si="13"/>
        <v>0.5</v>
      </c>
      <c r="BO31">
        <f t="shared" si="14"/>
        <v>0.42749999999999999</v>
      </c>
      <c r="BP31">
        <f t="shared" si="15"/>
        <v>0.62382949099951679</v>
      </c>
      <c r="BQ31">
        <f t="shared" si="16"/>
        <v>-0.70493502881028269</v>
      </c>
    </row>
    <row r="32" spans="1:69" x14ac:dyDescent="0.25">
      <c r="A32" s="1" t="s">
        <v>37</v>
      </c>
      <c r="B32">
        <f t="shared" ca="1" si="2"/>
        <v>4.4851633870246399</v>
      </c>
      <c r="C32" t="s">
        <v>463</v>
      </c>
      <c r="D32">
        <f t="shared" si="17"/>
        <v>115</v>
      </c>
      <c r="E32">
        <f t="shared" si="18"/>
        <v>981.51</v>
      </c>
      <c r="F32">
        <f t="shared" si="19"/>
        <v>2.97</v>
      </c>
      <c r="G32">
        <f t="shared" si="20"/>
        <v>16.989999999999998</v>
      </c>
      <c r="H32">
        <f t="shared" si="21"/>
        <v>-0.46</v>
      </c>
      <c r="I32">
        <f t="shared" si="22"/>
        <v>0.36</v>
      </c>
      <c r="J32">
        <f t="shared" si="23"/>
        <v>2.34</v>
      </c>
      <c r="K32">
        <f t="shared" si="24"/>
        <v>0.85</v>
      </c>
      <c r="L32">
        <f t="shared" si="3"/>
        <v>1</v>
      </c>
      <c r="M32">
        <f t="shared" si="0"/>
        <v>0</v>
      </c>
      <c r="N32">
        <f t="shared" si="1"/>
        <v>4</v>
      </c>
      <c r="O32">
        <f t="shared" si="4"/>
        <v>2</v>
      </c>
      <c r="P32">
        <f t="shared" si="5"/>
        <v>56</v>
      </c>
      <c r="Q32">
        <f t="shared" ca="1" si="25"/>
        <v>5.6083500000000868</v>
      </c>
      <c r="R32">
        <f t="shared" ca="1" si="26"/>
        <v>15.452786</v>
      </c>
      <c r="S32">
        <f t="shared" si="27"/>
        <v>52</v>
      </c>
      <c r="T32">
        <f t="shared" ca="1" si="28"/>
        <v>-19.667663999999945</v>
      </c>
      <c r="U32">
        <f t="shared" ca="1" si="29"/>
        <v>17.804622999999999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>
        <f>GetFollowingCarRow($B$45:$E$54,L32,$E$15,E32)</f>
        <v>52</v>
      </c>
      <c r="Z32">
        <f t="shared" ca="1" si="33"/>
        <v>-48.007663999999977</v>
      </c>
      <c r="AA32">
        <f t="shared" ca="1" si="34"/>
        <v>17.804622999999999</v>
      </c>
      <c r="AB32">
        <f t="shared" si="35"/>
        <v>3.03</v>
      </c>
      <c r="AC32">
        <f t="shared" si="36"/>
        <v>28.340000000000032</v>
      </c>
      <c r="AD32">
        <f t="shared" si="37"/>
        <v>107.90914255469288</v>
      </c>
      <c r="AE32">
        <f t="shared" si="38"/>
        <v>-3058.1450999999997</v>
      </c>
      <c r="AF32">
        <f t="shared" si="39"/>
        <v>28.501517503459386</v>
      </c>
      <c r="AG32">
        <f>GetSmallestNormalDistance($B$45:$E$54,AB32,AC32,AF32,$L$15,L32)</f>
        <v>100.48566935856594</v>
      </c>
      <c r="AH32">
        <f t="shared" si="6"/>
        <v>0.57166996608511722</v>
      </c>
      <c r="AI32">
        <f>IF(G32&lt;=0,1,0)</f>
        <v>0</v>
      </c>
      <c r="AJ32">
        <f>IF(G32&lt;0,1,0)</f>
        <v>0</v>
      </c>
      <c r="AK32">
        <f>MAX(($B$3-G32)/(G32 + 1),0) / $B$3</f>
        <v>1.1080613955077151E-2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5.7500000000000002E-2</v>
      </c>
      <c r="AP32">
        <f>Logistic(I32/$B$5)</f>
        <v>2.2496203893709644E-2</v>
      </c>
      <c r="AQ32">
        <f>IF(I32&gt;$B$5,1,0)</f>
        <v>0</v>
      </c>
      <c r="AR32">
        <f>Logistic(ABS(F32-O32)/($B$6/2))</f>
        <v>0.23785570960038072</v>
      </c>
      <c r="AS32">
        <f>IF(OR(F32&lt;M32,F32&gt;N32),1,0)</f>
        <v>0</v>
      </c>
      <c r="AT32">
        <f>ABS(K32)/$B$4</f>
        <v>0.10625</v>
      </c>
      <c r="AU32">
        <f t="shared" ca="1" si="40"/>
        <v>0</v>
      </c>
      <c r="AV32">
        <f ca="1">IF(AND(L32&lt;&gt;$L$15,$Q$15&gt;Safety_Distance),1,0)</f>
        <v>0</v>
      </c>
      <c r="AW32">
        <f ca="1">MAX(1-(IF(Q32/(G32-R32)&gt;0,Q32/(G32-R32),Collision_Time_Buffer)/Collision_Time_Buffer),0)*IF($L$15&lt;&gt;L32,Lane_Change_Multiplier,1)</f>
        <v>0.6351614023811849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1"/>
        <v>0</v>
      </c>
      <c r="BB32">
        <f t="shared" ca="1" si="42"/>
        <v>0</v>
      </c>
      <c r="BC32">
        <f t="shared" si="43"/>
        <v>0</v>
      </c>
      <c r="BE32">
        <f t="shared" si="7"/>
        <v>0.57166996608511722</v>
      </c>
      <c r="BF32">
        <f t="shared" si="44"/>
        <v>0</v>
      </c>
      <c r="BG32">
        <f t="shared" si="45"/>
        <v>0</v>
      </c>
      <c r="BH32">
        <f t="shared" si="8"/>
        <v>0.11702664494050603</v>
      </c>
      <c r="BI32">
        <f t="shared" si="9"/>
        <v>0</v>
      </c>
      <c r="BJ32">
        <f t="shared" si="10"/>
        <v>0</v>
      </c>
      <c r="BK32">
        <f t="shared" si="11"/>
        <v>7.6093396652138699E-8</v>
      </c>
      <c r="BL32">
        <f t="shared" si="46"/>
        <v>0</v>
      </c>
      <c r="BM32">
        <f t="shared" si="12"/>
        <v>6.0716397445059452E-10</v>
      </c>
      <c r="BN32">
        <f t="shared" si="13"/>
        <v>0</v>
      </c>
      <c r="BO32">
        <f t="shared" si="14"/>
        <v>0.10625</v>
      </c>
      <c r="BP32">
        <f t="shared" si="15"/>
        <v>2.8742081394120451E-2</v>
      </c>
      <c r="BQ32">
        <f t="shared" si="16"/>
        <v>0.12384592443909008</v>
      </c>
    </row>
    <row r="33" spans="1:69" x14ac:dyDescent="0.25">
      <c r="A33" s="1" t="s">
        <v>38</v>
      </c>
      <c r="B33">
        <f t="shared" ca="1" si="2"/>
        <v>14.955425492139076</v>
      </c>
      <c r="C33" t="s">
        <v>462</v>
      </c>
      <c r="D33">
        <f t="shared" si="17"/>
        <v>107</v>
      </c>
      <c r="E33">
        <f t="shared" si="18"/>
        <v>975.58</v>
      </c>
      <c r="F33">
        <f t="shared" si="19"/>
        <v>2.98</v>
      </c>
      <c r="G33">
        <f t="shared" si="20"/>
        <v>12.73</v>
      </c>
      <c r="H33">
        <f t="shared" si="21"/>
        <v>-2</v>
      </c>
      <c r="I33">
        <f t="shared" si="22"/>
        <v>1.91</v>
      </c>
      <c r="J33">
        <f t="shared" si="23"/>
        <v>2.2799999999999998</v>
      </c>
      <c r="K33">
        <f t="shared" si="24"/>
        <v>1.5</v>
      </c>
      <c r="L33">
        <f t="shared" si="3"/>
        <v>1</v>
      </c>
      <c r="M33">
        <f t="shared" si="0"/>
        <v>0</v>
      </c>
      <c r="N33">
        <f t="shared" si="1"/>
        <v>4</v>
      </c>
      <c r="O33">
        <f t="shared" si="4"/>
        <v>2</v>
      </c>
      <c r="P33">
        <f t="shared" si="5"/>
        <v>56</v>
      </c>
      <c r="Q33">
        <f t="shared" ca="1" si="25"/>
        <v>5.6083500000000868</v>
      </c>
      <c r="R33">
        <f t="shared" ca="1" si="26"/>
        <v>15.452786</v>
      </c>
      <c r="S33">
        <f t="shared" si="27"/>
        <v>52</v>
      </c>
      <c r="T33">
        <f t="shared" ca="1" si="28"/>
        <v>-19.667663999999945</v>
      </c>
      <c r="U33">
        <f t="shared" ca="1" si="29"/>
        <v>17.804622999999999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>
        <f>GetFollowingCarRow($B$45:$E$54,L33,$E$15,E33)</f>
        <v>52</v>
      </c>
      <c r="Z33">
        <f t="shared" ca="1" si="33"/>
        <v>-42.077664000000027</v>
      </c>
      <c r="AA33">
        <f t="shared" ca="1" si="34"/>
        <v>17.804622999999999</v>
      </c>
      <c r="AB33">
        <f t="shared" si="35"/>
        <v>3.02</v>
      </c>
      <c r="AC33">
        <f t="shared" si="36"/>
        <v>22.410000000000082</v>
      </c>
      <c r="AD33">
        <f t="shared" si="37"/>
        <v>134.45039714413161</v>
      </c>
      <c r="AE33">
        <f t="shared" si="38"/>
        <v>-3013.0334000000003</v>
      </c>
      <c r="AF33">
        <f t="shared" si="39"/>
        <v>22.612573935755382</v>
      </c>
      <c r="AG33">
        <f>GetSmallestNormalDistance($B$45:$E$54,AB33,AC33,AF33,$L$15,L33)</f>
        <v>124.72052383300648</v>
      </c>
      <c r="AH33">
        <f t="shared" si="6"/>
        <v>0.51535927800740966</v>
      </c>
      <c r="AI33">
        <f>IF(G33&lt;=0,1,0)</f>
        <v>0</v>
      </c>
      <c r="AJ33">
        <f>IF(G33&lt;0,1,0)</f>
        <v>0</v>
      </c>
      <c r="AK33">
        <f>MAX(($B$3-G33)/(G33 + 1),0) / $B$3</f>
        <v>2.9140149359568844E-2</v>
      </c>
      <c r="AL33">
        <f>IF(H33+ABS(K33)&lt;0,Logistic(SQRT(H33^2+K33^2)/$B$4),0)</f>
        <v>0.1549907303716235</v>
      </c>
      <c r="AM33">
        <f>IF(G33&gt;$B$3,1,0)</f>
        <v>0</v>
      </c>
      <c r="AN33">
        <f>IF(H33&gt;$B$4,1,0)</f>
        <v>0</v>
      </c>
      <c r="AO33">
        <f>ABS(H33)/$B$4</f>
        <v>0.25</v>
      </c>
      <c r="AP33">
        <f>Logistic(I33/$B$5)</f>
        <v>0.11881116692504984</v>
      </c>
      <c r="AQ33">
        <f>IF(I33&gt;$B$5,1,0)</f>
        <v>0</v>
      </c>
      <c r="AR33">
        <f>Logistic(ABS(F33-O33)/($B$6/2))</f>
        <v>0.24021286468618022</v>
      </c>
      <c r="AS33">
        <f>IF(OR(F33&lt;M33,F33&gt;N33),1,0)</f>
        <v>0</v>
      </c>
      <c r="AT33">
        <f>ABS(K33)/$B$4</f>
        <v>0.1875</v>
      </c>
      <c r="AU33">
        <f t="shared" ca="1" si="40"/>
        <v>0</v>
      </c>
      <c r="AV33">
        <f ca="1">IF(AND(L33&lt;&gt;$L$15,$Q$15&gt;Safety_Distance),1,0)</f>
        <v>0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0.6124310318224635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0.17082187189077813</v>
      </c>
      <c r="BA33">
        <f t="shared" ca="1" si="41"/>
        <v>0</v>
      </c>
      <c r="BB33">
        <f t="shared" ca="1" si="42"/>
        <v>0</v>
      </c>
      <c r="BC33">
        <f t="shared" si="43"/>
        <v>0</v>
      </c>
      <c r="BE33">
        <f t="shared" si="7"/>
        <v>0.51535927800740966</v>
      </c>
      <c r="BF33">
        <f t="shared" si="44"/>
        <v>0</v>
      </c>
      <c r="BG33">
        <f t="shared" si="45"/>
        <v>0</v>
      </c>
      <c r="BH33">
        <f t="shared" si="8"/>
        <v>0.29968818421869264</v>
      </c>
      <c r="BI33">
        <f t="shared" si="9"/>
        <v>0</v>
      </c>
      <c r="BJ33">
        <f t="shared" si="10"/>
        <v>0</v>
      </c>
      <c r="BK33">
        <f t="shared" si="11"/>
        <v>4.9787068367863944E-2</v>
      </c>
      <c r="BL33">
        <f t="shared" si="46"/>
        <v>0</v>
      </c>
      <c r="BM33">
        <f t="shared" si="12"/>
        <v>4.1234430684826739E-2</v>
      </c>
      <c r="BN33">
        <f t="shared" si="13"/>
        <v>0</v>
      </c>
      <c r="BO33">
        <f t="shared" si="14"/>
        <v>0.1875</v>
      </c>
      <c r="BP33">
        <f t="shared" si="15"/>
        <v>0.12435300177159621</v>
      </c>
      <c r="BQ33">
        <f t="shared" si="16"/>
        <v>0.32163012321027934</v>
      </c>
    </row>
    <row r="34" spans="1:69" x14ac:dyDescent="0.25">
      <c r="A34" s="1" t="s">
        <v>39</v>
      </c>
      <c r="B34">
        <f t="shared" ca="1" si="2"/>
        <v>189.47262519102526</v>
      </c>
      <c r="C34" t="s">
        <v>461</v>
      </c>
      <c r="D34">
        <f t="shared" si="17"/>
        <v>135</v>
      </c>
      <c r="E34">
        <f t="shared" si="18"/>
        <v>945.39</v>
      </c>
      <c r="F34">
        <f t="shared" si="19"/>
        <v>5.96</v>
      </c>
      <c r="G34">
        <f t="shared" si="20"/>
        <v>-26</v>
      </c>
      <c r="H34">
        <f t="shared" si="21"/>
        <v>-11.17</v>
      </c>
      <c r="I34">
        <f t="shared" si="22"/>
        <v>11.07</v>
      </c>
      <c r="J34">
        <f t="shared" si="23"/>
        <v>0.06</v>
      </c>
      <c r="K34">
        <f t="shared" si="24"/>
        <v>3.38</v>
      </c>
      <c r="L34">
        <f t="shared" si="3"/>
        <v>1</v>
      </c>
      <c r="M34">
        <f t="shared" si="0"/>
        <v>0</v>
      </c>
      <c r="N34">
        <f t="shared" si="1"/>
        <v>4</v>
      </c>
      <c r="O34">
        <f t="shared" si="4"/>
        <v>2</v>
      </c>
      <c r="P34">
        <f t="shared" si="5"/>
        <v>56</v>
      </c>
      <c r="Q34">
        <f t="shared" ca="1" si="25"/>
        <v>5.6083500000000868</v>
      </c>
      <c r="R34">
        <f t="shared" ca="1" si="26"/>
        <v>15.452786</v>
      </c>
      <c r="S34">
        <f t="shared" si="27"/>
        <v>52</v>
      </c>
      <c r="T34">
        <f t="shared" ca="1" si="28"/>
        <v>-19.667663999999945</v>
      </c>
      <c r="U34">
        <f t="shared" ca="1" si="29"/>
        <v>17.804622999999999</v>
      </c>
      <c r="V34">
        <f t="shared" si="30"/>
        <v>56</v>
      </c>
      <c r="W34">
        <f t="shared" ca="1" si="31"/>
        <v>13.388350000000059</v>
      </c>
      <c r="X34">
        <f t="shared" ca="1" si="32"/>
        <v>15.452786</v>
      </c>
      <c r="Y34">
        <f>GetFollowingCarRow($B$45:$E$54,L34,$E$15,E34)</f>
        <v>52</v>
      </c>
      <c r="Z34">
        <f t="shared" ca="1" si="33"/>
        <v>-11.887663999999972</v>
      </c>
      <c r="AA34">
        <f t="shared" ca="1" si="34"/>
        <v>17.804622999999999</v>
      </c>
      <c r="AB34">
        <f t="shared" si="35"/>
        <v>4.0000000000000036E-2</v>
      </c>
      <c r="AC34">
        <f t="shared" si="36"/>
        <v>-7.7799999999999727</v>
      </c>
      <c r="AD34">
        <f t="shared" si="37"/>
        <v>1.0993830334190022</v>
      </c>
      <c r="AE34">
        <f t="shared" si="38"/>
        <v>8.5531999999998067</v>
      </c>
      <c r="AF34">
        <f t="shared" si="39"/>
        <v>7.7801028270839439</v>
      </c>
      <c r="AG34">
        <f>GetSmallestNormalDistance($B$45:$E$54,AB34,AC34,AF34,$L$15,L34)</f>
        <v>0.67012488856190644</v>
      </c>
      <c r="AH34">
        <f t="shared" si="6"/>
        <v>0.69106946983293061</v>
      </c>
      <c r="AI34">
        <f>IF(G34&lt;=0,1,0)</f>
        <v>1</v>
      </c>
      <c r="AJ34">
        <f>IF(G34&lt;0,1,0)</f>
        <v>1</v>
      </c>
      <c r="AK34">
        <f>MAX(($B$3-G34)/(G34 + 1),0) / $B$3</f>
        <v>0</v>
      </c>
      <c r="AL34">
        <f>IF(H34+ABS(K34)&lt;0,Logistic(SQRT(H34^2+K34^2)/$B$4),0)</f>
        <v>0.62269004600337929</v>
      </c>
      <c r="AM34">
        <f>IF(G34&gt;$B$3,1,0)</f>
        <v>0</v>
      </c>
      <c r="AN34">
        <f>IF(H34&gt;$B$4,1,0)</f>
        <v>0</v>
      </c>
      <c r="AO34">
        <f>ABS(H34)/$B$4</f>
        <v>1.39625</v>
      </c>
      <c r="AP34">
        <f>Logistic(I34/$B$5)</f>
        <v>0.59918518292454737</v>
      </c>
      <c r="AQ34">
        <f>IF(I34&gt;$B$5,1,0)</f>
        <v>1</v>
      </c>
      <c r="AR34">
        <f>Logistic(ABS(F34-O34)/($B$6/2))</f>
        <v>0.75736232421652627</v>
      </c>
      <c r="AS34">
        <f>IF(OR(F34&lt;M34,F34&gt;N34),1,0)</f>
        <v>1</v>
      </c>
      <c r="AT34">
        <f>ABS(K34)/$B$4</f>
        <v>0.42249999999999999</v>
      </c>
      <c r="AU34">
        <f t="shared" ca="1" si="40"/>
        <v>3.8484028166305549E-2</v>
      </c>
      <c r="AV34">
        <f ca="1">IF(AND(L34&lt;&gt;$L$15,$Q$15&gt;Safety_Distance),1,0)</f>
        <v>0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0.9551013964895898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0.97286207896367471</v>
      </c>
      <c r="BA34">
        <f t="shared" ca="1" si="41"/>
        <v>0</v>
      </c>
      <c r="BB34">
        <f t="shared" ca="1" si="42"/>
        <v>0</v>
      </c>
      <c r="BC34">
        <f t="shared" si="43"/>
        <v>0</v>
      </c>
      <c r="BE34">
        <f t="shared" si="7"/>
        <v>0.69106946983293061</v>
      </c>
      <c r="BF34">
        <f t="shared" si="44"/>
        <v>1</v>
      </c>
      <c r="BG34">
        <f t="shared" si="45"/>
        <v>1</v>
      </c>
      <c r="BH34">
        <f t="shared" si="8"/>
        <v>-0.7372372935510052</v>
      </c>
      <c r="BI34">
        <f t="shared" si="9"/>
        <v>0</v>
      </c>
      <c r="BJ34">
        <f t="shared" si="10"/>
        <v>0</v>
      </c>
      <c r="BK34">
        <f t="shared" si="11"/>
        <v>1.3281618011212977</v>
      </c>
      <c r="BL34">
        <f t="shared" si="46"/>
        <v>1</v>
      </c>
      <c r="BM34">
        <f t="shared" si="12"/>
        <v>1.3195966300389994</v>
      </c>
      <c r="BN34">
        <f t="shared" si="13"/>
        <v>0.49</v>
      </c>
      <c r="BO34">
        <f t="shared" si="14"/>
        <v>0.42249999999999999</v>
      </c>
      <c r="BP34">
        <f t="shared" si="15"/>
        <v>0.60317629160324659</v>
      </c>
      <c r="BQ34">
        <f t="shared" si="16"/>
        <v>-0.72020795750034183</v>
      </c>
    </row>
    <row r="35" spans="1:69" x14ac:dyDescent="0.25">
      <c r="A35" s="1" t="s">
        <v>82</v>
      </c>
      <c r="B35">
        <f t="shared" ca="1" si="2"/>
        <v>5.2735041734693429</v>
      </c>
      <c r="C35" t="s">
        <v>460</v>
      </c>
      <c r="D35">
        <f t="shared" si="17"/>
        <v>117</v>
      </c>
      <c r="E35">
        <f t="shared" si="18"/>
        <v>981.5</v>
      </c>
      <c r="F35">
        <f t="shared" si="19"/>
        <v>2.97</v>
      </c>
      <c r="G35">
        <f t="shared" si="20"/>
        <v>16.11</v>
      </c>
      <c r="H35">
        <f t="shared" si="21"/>
        <v>-0.71</v>
      </c>
      <c r="I35">
        <f t="shared" si="22"/>
        <v>0.62</v>
      </c>
      <c r="J35">
        <f t="shared" si="23"/>
        <v>2.2200000000000002</v>
      </c>
      <c r="K35">
        <f t="shared" si="24"/>
        <v>0.85</v>
      </c>
      <c r="L35">
        <f t="shared" si="3"/>
        <v>1</v>
      </c>
      <c r="M35">
        <f t="shared" si="0"/>
        <v>0</v>
      </c>
      <c r="N35">
        <f t="shared" si="1"/>
        <v>4</v>
      </c>
      <c r="O35">
        <f t="shared" si="4"/>
        <v>2</v>
      </c>
      <c r="P35">
        <f t="shared" si="5"/>
        <v>56</v>
      </c>
      <c r="Q35">
        <f t="shared" ca="1" si="25"/>
        <v>5.6083500000000868</v>
      </c>
      <c r="R35">
        <f t="shared" ca="1" si="26"/>
        <v>15.452786</v>
      </c>
      <c r="S35">
        <f t="shared" si="27"/>
        <v>52</v>
      </c>
      <c r="T35">
        <f t="shared" ca="1" si="28"/>
        <v>-19.667663999999945</v>
      </c>
      <c r="U35">
        <f t="shared" ca="1" si="29"/>
        <v>17.804622999999999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>
        <f>GetFollowingCarRow($B$45:$E$54,L35,$E$15,E35)</f>
        <v>52</v>
      </c>
      <c r="Z35">
        <f t="shared" ca="1" si="33"/>
        <v>-47.997663999999986</v>
      </c>
      <c r="AA35">
        <f t="shared" ca="1" si="34"/>
        <v>17.804622999999999</v>
      </c>
      <c r="AB35">
        <f t="shared" si="35"/>
        <v>3.03</v>
      </c>
      <c r="AC35">
        <f t="shared" si="36"/>
        <v>28.330000000000041</v>
      </c>
      <c r="AD35">
        <f t="shared" si="37"/>
        <v>107.94511471937859</v>
      </c>
      <c r="AE35">
        <f t="shared" si="38"/>
        <v>-3058.0850999999998</v>
      </c>
      <c r="AF35">
        <f t="shared" si="39"/>
        <v>28.49157419308386</v>
      </c>
      <c r="AG35">
        <f>GetSmallestNormalDistance($B$45:$E$54,AB35,AC35,AF35,$L$15,L35)</f>
        <v>100.51867592859089</v>
      </c>
      <c r="AH35">
        <f t="shared" si="6"/>
        <v>0.58497988288072877</v>
      </c>
      <c r="AI35">
        <f>IF(G35&lt;=0,1,0)</f>
        <v>0</v>
      </c>
      <c r="AJ35">
        <f>IF(G35&lt;0,1,0)</f>
        <v>0</v>
      </c>
      <c r="AK35">
        <f>MAX(($B$3-G35)/(G35 + 1),0) / $B$3</f>
        <v>1.4074258099308627E-2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8.8749999999999996E-2</v>
      </c>
      <c r="AP35">
        <f>Logistic(I35/$B$5)</f>
        <v>3.8730616459863913E-2</v>
      </c>
      <c r="AQ35">
        <f>IF(I35&gt;$B$5,1,0)</f>
        <v>0</v>
      </c>
      <c r="AR35">
        <f>Logistic(ABS(F35-O35)/($B$6/2))</f>
        <v>0.23785570960038072</v>
      </c>
      <c r="AS35">
        <f>IF(OR(F35&lt;M35,F35&gt;N35),1,0)</f>
        <v>0</v>
      </c>
      <c r="AT35">
        <f>ABS(K35)/$B$4</f>
        <v>0.10625</v>
      </c>
      <c r="AU35">
        <f t="shared" ca="1" si="40"/>
        <v>0</v>
      </c>
      <c r="AV35">
        <f ca="1">IF(AND(L35&lt;&gt;$L$15,$Q$15&gt;Safety_Distance),1,0)</f>
        <v>0</v>
      </c>
      <c r="AW35">
        <f ca="1">MAX(1-(IF(Q35/(G35-R35)&gt;0,Q35/(G35-R35),Collision_Time_Buffer)/Collision_Time_Buffer),0)*IF($L$15&lt;&gt;L35,Lane_Change_Multiplier,1)</f>
        <v>0.1466478194317089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41"/>
        <v>0</v>
      </c>
      <c r="BB35">
        <f t="shared" ca="1" si="42"/>
        <v>0</v>
      </c>
      <c r="BC35">
        <f t="shared" si="43"/>
        <v>0</v>
      </c>
      <c r="BE35">
        <f t="shared" si="7"/>
        <v>0.58497988288072877</v>
      </c>
      <c r="BF35">
        <f t="shared" si="44"/>
        <v>0</v>
      </c>
      <c r="BG35">
        <f t="shared" si="45"/>
        <v>0</v>
      </c>
      <c r="BH35">
        <f t="shared" si="8"/>
        <v>0.14822774513476691</v>
      </c>
      <c r="BI35">
        <f t="shared" si="9"/>
        <v>0</v>
      </c>
      <c r="BJ35">
        <f t="shared" si="10"/>
        <v>0</v>
      </c>
      <c r="BK35">
        <f t="shared" si="11"/>
        <v>3.4740457297736573E-5</v>
      </c>
      <c r="BL35">
        <f t="shared" si="46"/>
        <v>0</v>
      </c>
      <c r="BM35">
        <f t="shared" si="12"/>
        <v>6.7685355676739947E-6</v>
      </c>
      <c r="BN35">
        <f t="shared" si="13"/>
        <v>0</v>
      </c>
      <c r="BO35">
        <f t="shared" si="14"/>
        <v>0.10625</v>
      </c>
      <c r="BP35">
        <f t="shared" si="15"/>
        <v>4.4345896051946845E-2</v>
      </c>
      <c r="BQ35">
        <f t="shared" si="16"/>
        <v>0.1572806543504168</v>
      </c>
    </row>
    <row r="36" spans="1:69" x14ac:dyDescent="0.25">
      <c r="A36" s="1" t="s">
        <v>83</v>
      </c>
      <c r="B36">
        <f t="shared" ca="1" si="2"/>
        <v>16.963165910920821</v>
      </c>
      <c r="C36" t="s">
        <v>459</v>
      </c>
      <c r="D36">
        <f t="shared" si="17"/>
        <v>109</v>
      </c>
      <c r="E36">
        <f t="shared" si="18"/>
        <v>975.52</v>
      </c>
      <c r="F36">
        <f t="shared" si="19"/>
        <v>2.99</v>
      </c>
      <c r="G36">
        <f t="shared" si="20"/>
        <v>11.81</v>
      </c>
      <c r="H36">
        <f t="shared" si="21"/>
        <v>-2.2599999999999998</v>
      </c>
      <c r="I36">
        <f t="shared" si="22"/>
        <v>2.16</v>
      </c>
      <c r="J36">
        <f t="shared" si="23"/>
        <v>2.12</v>
      </c>
      <c r="K36">
        <f t="shared" si="24"/>
        <v>1.5</v>
      </c>
      <c r="L36">
        <f t="shared" si="3"/>
        <v>1</v>
      </c>
      <c r="M36">
        <f t="shared" si="0"/>
        <v>0</v>
      </c>
      <c r="N36">
        <f t="shared" si="1"/>
        <v>4</v>
      </c>
      <c r="O36">
        <f t="shared" si="4"/>
        <v>2</v>
      </c>
      <c r="P36">
        <f t="shared" si="5"/>
        <v>56</v>
      </c>
      <c r="Q36">
        <f t="shared" ca="1" si="25"/>
        <v>5.6083500000000868</v>
      </c>
      <c r="R36">
        <f t="shared" ca="1" si="26"/>
        <v>15.452786</v>
      </c>
      <c r="S36">
        <f t="shared" si="27"/>
        <v>52</v>
      </c>
      <c r="T36">
        <f t="shared" ca="1" si="28"/>
        <v>-19.667663999999945</v>
      </c>
      <c r="U36">
        <f t="shared" ca="1" si="29"/>
        <v>17.804622999999999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>
        <f>GetFollowingCarRow($B$45:$E$54,L36,$E$15,E36)</f>
        <v>52</v>
      </c>
      <c r="Z36">
        <f t="shared" ca="1" si="33"/>
        <v>-42.017663999999968</v>
      </c>
      <c r="AA36">
        <f t="shared" ca="1" si="34"/>
        <v>17.804622999999999</v>
      </c>
      <c r="AB36">
        <f t="shared" si="35"/>
        <v>3.01</v>
      </c>
      <c r="AC36">
        <f t="shared" si="36"/>
        <v>22.350000000000023</v>
      </c>
      <c r="AD36">
        <f t="shared" si="37"/>
        <v>134.36875615212514</v>
      </c>
      <c r="AE36">
        <f t="shared" si="38"/>
        <v>-3003.1417000000001</v>
      </c>
      <c r="AF36">
        <f t="shared" si="39"/>
        <v>22.551775983279033</v>
      </c>
      <c r="AG36">
        <f>GetSmallestNormalDistance($B$45:$E$54,AB36,AC36,AF36,$L$15,L36)</f>
        <v>124.646366795866</v>
      </c>
      <c r="AH36">
        <f t="shared" si="6"/>
        <v>0.5298956075275294</v>
      </c>
      <c r="AI36">
        <f>IF(G36&lt;=0,1,0)</f>
        <v>0</v>
      </c>
      <c r="AJ36">
        <f>IF(G36&lt;0,1,0)</f>
        <v>0</v>
      </c>
      <c r="AK36">
        <f>MAX(($B$3-G36)/(G36 + 1),0) / $B$3</f>
        <v>3.4617453229650194E-2</v>
      </c>
      <c r="AL36">
        <f>IF(H36+ABS(K36)&lt;0,Logistic(SQRT(H36^2+K36^2)/$B$4),0)</f>
        <v>0.16792492026667438</v>
      </c>
      <c r="AM36">
        <f>IF(G36&gt;$B$3,1,0)</f>
        <v>0</v>
      </c>
      <c r="AN36">
        <f>IF(H36&gt;$B$4,1,0)</f>
        <v>0</v>
      </c>
      <c r="AO36">
        <f>ABS(H36)/$B$4</f>
        <v>0.28249999999999997</v>
      </c>
      <c r="AP36">
        <f>Logistic(I36/$B$5)</f>
        <v>0.1341858099309087</v>
      </c>
      <c r="AQ36">
        <f>IF(I36&gt;$B$5,1,0)</f>
        <v>0</v>
      </c>
      <c r="AR36">
        <f>Logistic(ABS(F36-O36)/($B$6/2))</f>
        <v>0.2425671903821357</v>
      </c>
      <c r="AS36">
        <f>IF(OR(F36&lt;M36,F36&gt;N36),1,0)</f>
        <v>0</v>
      </c>
      <c r="AT36">
        <f>ABS(K36)/$B$4</f>
        <v>0.1875</v>
      </c>
      <c r="AU36">
        <f t="shared" ca="1" si="40"/>
        <v>0</v>
      </c>
      <c r="AV36">
        <f ca="1">IF(AND(L36&lt;&gt;$L$15,$Q$15&gt;Safety_Distance),1,0)</f>
        <v>0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0.67191157809256818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0.29907745658067275</v>
      </c>
      <c r="BA36">
        <f t="shared" ca="1" si="41"/>
        <v>0</v>
      </c>
      <c r="BB36">
        <f t="shared" ca="1" si="42"/>
        <v>0</v>
      </c>
      <c r="BC36">
        <f t="shared" si="43"/>
        <v>0</v>
      </c>
      <c r="BE36">
        <f t="shared" si="7"/>
        <v>0.5298956075275294</v>
      </c>
      <c r="BF36">
        <f t="shared" si="44"/>
        <v>0</v>
      </c>
      <c r="BG36">
        <f t="shared" si="45"/>
        <v>0</v>
      </c>
      <c r="BH36">
        <f t="shared" si="8"/>
        <v>0.35162006561933118</v>
      </c>
      <c r="BI36">
        <f t="shared" si="9"/>
        <v>0</v>
      </c>
      <c r="BJ36">
        <f t="shared" si="10"/>
        <v>0</v>
      </c>
      <c r="BK36">
        <f t="shared" si="11"/>
        <v>7.8880359680857215E-2</v>
      </c>
      <c r="BL36">
        <f t="shared" si="46"/>
        <v>0</v>
      </c>
      <c r="BM36">
        <f t="shared" si="12"/>
        <v>6.695706380792725E-2</v>
      </c>
      <c r="BN36">
        <f t="shared" si="13"/>
        <v>0</v>
      </c>
      <c r="BO36">
        <f t="shared" si="14"/>
        <v>0.1875</v>
      </c>
      <c r="BP36">
        <f t="shared" si="15"/>
        <v>0.1403180507636704</v>
      </c>
      <c r="BQ36">
        <f t="shared" si="16"/>
        <v>0.37857156459421543</v>
      </c>
    </row>
    <row r="37" spans="1:69" x14ac:dyDescent="0.25">
      <c r="A37" s="1" t="s">
        <v>84</v>
      </c>
      <c r="B37">
        <f t="shared" ca="1" si="2"/>
        <v>189.00317465943871</v>
      </c>
      <c r="C37" t="s">
        <v>458</v>
      </c>
      <c r="D37">
        <f t="shared" si="17"/>
        <v>135</v>
      </c>
      <c r="E37">
        <f t="shared" si="18"/>
        <v>944.36</v>
      </c>
      <c r="F37">
        <f t="shared" si="19"/>
        <v>5.96</v>
      </c>
      <c r="G37">
        <f t="shared" si="20"/>
        <v>-27.03</v>
      </c>
      <c r="H37">
        <f t="shared" si="21"/>
        <v>-11.43</v>
      </c>
      <c r="I37">
        <f t="shared" si="22"/>
        <v>11.33</v>
      </c>
      <c r="J37">
        <f t="shared" si="23"/>
        <v>0.06</v>
      </c>
      <c r="K37">
        <f t="shared" si="24"/>
        <v>3.38</v>
      </c>
      <c r="L37">
        <f t="shared" si="3"/>
        <v>1</v>
      </c>
      <c r="M37">
        <f t="shared" si="0"/>
        <v>0</v>
      </c>
      <c r="N37">
        <f t="shared" si="1"/>
        <v>4</v>
      </c>
      <c r="O37">
        <f t="shared" si="4"/>
        <v>2</v>
      </c>
      <c r="P37">
        <f t="shared" si="5"/>
        <v>56</v>
      </c>
      <c r="Q37">
        <f t="shared" ca="1" si="25"/>
        <v>5.6083500000000868</v>
      </c>
      <c r="R37">
        <f t="shared" ca="1" si="26"/>
        <v>15.452786</v>
      </c>
      <c r="S37">
        <f t="shared" si="27"/>
        <v>52</v>
      </c>
      <c r="T37">
        <f t="shared" ca="1" si="28"/>
        <v>-19.667663999999945</v>
      </c>
      <c r="U37">
        <f t="shared" ca="1" si="29"/>
        <v>17.804622999999999</v>
      </c>
      <c r="V37">
        <f t="shared" si="30"/>
        <v>56</v>
      </c>
      <c r="W37">
        <f t="shared" ca="1" si="31"/>
        <v>14.418350000000032</v>
      </c>
      <c r="X37">
        <f t="shared" ca="1" si="32"/>
        <v>15.452786</v>
      </c>
      <c r="Y37">
        <f>GetFollowingCarRow($B$45:$E$54,L37,$E$15,E37)</f>
        <v>52</v>
      </c>
      <c r="Z37">
        <f t="shared" ca="1" si="33"/>
        <v>-10.857664</v>
      </c>
      <c r="AA37">
        <f t="shared" ca="1" si="34"/>
        <v>17.804622999999999</v>
      </c>
      <c r="AB37">
        <f t="shared" si="35"/>
        <v>4.0000000000000036E-2</v>
      </c>
      <c r="AC37">
        <f t="shared" si="36"/>
        <v>-8.8099999999999454</v>
      </c>
      <c r="AD37">
        <f t="shared" si="37"/>
        <v>1.6723269012485504</v>
      </c>
      <c r="AE37">
        <f t="shared" si="38"/>
        <v>14.733199999999638</v>
      </c>
      <c r="AF37">
        <f t="shared" si="39"/>
        <v>8.8100908054343599</v>
      </c>
      <c r="AG37">
        <f>GetSmallestNormalDistance($B$45:$E$54,AB37,AC37,AF37,$L$15,L37)</f>
        <v>1.2876630241997069</v>
      </c>
      <c r="AH37">
        <f t="shared" si="6"/>
        <v>0.69106946983293061</v>
      </c>
      <c r="AI37">
        <f>IF(G37&lt;=0,1,0)</f>
        <v>1</v>
      </c>
      <c r="AJ37">
        <f>IF(G37&lt;0,1,0)</f>
        <v>1</v>
      </c>
      <c r="AK37">
        <f>MAX(($B$3-G37)/(G37 + 1),0) / $B$3</f>
        <v>0</v>
      </c>
      <c r="AL37">
        <f>IF(H37+ABS(K37)&lt;0,Logistic(SQRT(H37^2+K37^2)/$B$4),0)</f>
        <v>0.63212962856748467</v>
      </c>
      <c r="AM37">
        <f>IF(G37&gt;$B$3,1,0)</f>
        <v>0</v>
      </c>
      <c r="AN37">
        <f>IF(H37&gt;$B$4,1,0)</f>
        <v>0</v>
      </c>
      <c r="AO37">
        <f>ABS(H37)/$B$4</f>
        <v>1.42875</v>
      </c>
      <c r="AP37">
        <f>Logistic(I37/$B$5)</f>
        <v>0.60949972299709931</v>
      </c>
      <c r="AQ37">
        <f>IF(I37&gt;$B$5,1,0)</f>
        <v>1</v>
      </c>
      <c r="AR37">
        <f>Logistic(ABS(F37-O37)/($B$6/2))</f>
        <v>0.75736232421652627</v>
      </c>
      <c r="AS37">
        <f>IF(OR(F37&lt;M37,F37&gt;N37),1,0)</f>
        <v>1</v>
      </c>
      <c r="AT37">
        <f>ABS(K37)/$B$4</f>
        <v>0.42249999999999999</v>
      </c>
      <c r="AU37">
        <f t="shared" ca="1" si="40"/>
        <v>3.3686375865986391E-2</v>
      </c>
      <c r="AV37">
        <f ca="1">IF(AND(L37&lt;&gt;$L$15,$Q$15&gt;Safety_Distance),1,0)</f>
        <v>0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0.95613286633412764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0.97578285870720938</v>
      </c>
      <c r="BA37">
        <f t="shared" ca="1" si="41"/>
        <v>0</v>
      </c>
      <c r="BB37">
        <f t="shared" ca="1" si="42"/>
        <v>0</v>
      </c>
      <c r="BC37">
        <f t="shared" si="43"/>
        <v>0</v>
      </c>
      <c r="BE37">
        <f t="shared" si="7"/>
        <v>0.69106946983293061</v>
      </c>
      <c r="BF37">
        <f t="shared" si="44"/>
        <v>1</v>
      </c>
      <c r="BG37">
        <f t="shared" si="45"/>
        <v>1</v>
      </c>
      <c r="BH37">
        <f t="shared" si="8"/>
        <v>-0.72910558685871385</v>
      </c>
      <c r="BI37">
        <f t="shared" si="9"/>
        <v>0</v>
      </c>
      <c r="BJ37">
        <f t="shared" si="10"/>
        <v>0</v>
      </c>
      <c r="BK37">
        <f t="shared" si="11"/>
        <v>1.3499769106257178</v>
      </c>
      <c r="BL37">
        <f t="shared" si="46"/>
        <v>1</v>
      </c>
      <c r="BM37">
        <f t="shared" si="12"/>
        <v>1.3416631130246424</v>
      </c>
      <c r="BN37">
        <f t="shared" si="13"/>
        <v>0.49</v>
      </c>
      <c r="BO37">
        <f t="shared" si="14"/>
        <v>0.42249999999999999</v>
      </c>
      <c r="BP37">
        <f t="shared" si="15"/>
        <v>0.61341295313733935</v>
      </c>
      <c r="BQ37">
        <f t="shared" si="16"/>
        <v>-0.71263953506937994</v>
      </c>
    </row>
    <row r="38" spans="1:69" x14ac:dyDescent="0.25">
      <c r="A38" s="1" t="s">
        <v>19</v>
      </c>
      <c r="B38">
        <f t="shared" ca="1" si="2"/>
        <v>5.246724880205285</v>
      </c>
      <c r="C38" t="s">
        <v>457</v>
      </c>
      <c r="D38">
        <f t="shared" si="17"/>
        <v>117</v>
      </c>
      <c r="E38">
        <f t="shared" si="18"/>
        <v>981.52</v>
      </c>
      <c r="F38">
        <f t="shared" si="19"/>
        <v>2.97</v>
      </c>
      <c r="G38">
        <f t="shared" si="20"/>
        <v>16.14</v>
      </c>
      <c r="H38">
        <f t="shared" si="21"/>
        <v>-0.71</v>
      </c>
      <c r="I38">
        <f t="shared" si="22"/>
        <v>0.61</v>
      </c>
      <c r="J38">
        <f t="shared" si="23"/>
        <v>2.2200000000000002</v>
      </c>
      <c r="K38">
        <f t="shared" si="24"/>
        <v>0.85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>
        <f t="shared" si="5"/>
        <v>56</v>
      </c>
      <c r="Q38">
        <f t="shared" ca="1" si="25"/>
        <v>5.6083500000000868</v>
      </c>
      <c r="R38">
        <f t="shared" ca="1" si="26"/>
        <v>15.452786</v>
      </c>
      <c r="S38">
        <f t="shared" si="27"/>
        <v>52</v>
      </c>
      <c r="T38">
        <f t="shared" ca="1" si="28"/>
        <v>-19.667663999999945</v>
      </c>
      <c r="U38">
        <f t="shared" ca="1" si="29"/>
        <v>17.804622999999999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>
        <f>GetFollowingCarRow($B$45:$E$54,L38,$E$15,E38)</f>
        <v>52</v>
      </c>
      <c r="Z38">
        <f t="shared" ca="1" si="33"/>
        <v>-48.017663999999968</v>
      </c>
      <c r="AA38">
        <f t="shared" ca="1" si="34"/>
        <v>17.804622999999999</v>
      </c>
      <c r="AB38">
        <f t="shared" si="35"/>
        <v>3.03</v>
      </c>
      <c r="AC38">
        <f t="shared" si="36"/>
        <v>28.350000000000023</v>
      </c>
      <c r="AD38">
        <f t="shared" si="37"/>
        <v>107.87319576719567</v>
      </c>
      <c r="AE38">
        <f t="shared" si="38"/>
        <v>-3058.2050999999997</v>
      </c>
      <c r="AF38">
        <f t="shared" si="39"/>
        <v>28.511460853488398</v>
      </c>
      <c r="AG38">
        <f>GetSmallestNormalDistance($B$45:$E$54,AB38,AC38,AF38,$L$15,L38)</f>
        <v>100.45268567077231</v>
      </c>
      <c r="AH38">
        <f>Logistic((D38-$B$2)/$B$2)</f>
        <v>0.58497988288072877</v>
      </c>
      <c r="AI38">
        <f>IF(G38&lt;=0,1,0)</f>
        <v>0</v>
      </c>
      <c r="AJ38">
        <f>IF(G38&lt;0,1,0)</f>
        <v>0</v>
      </c>
      <c r="AK38">
        <f>MAX(($B$3-G38)/(G38 + 1),0) / $B$3</f>
        <v>1.3967140926252392E-2</v>
      </c>
      <c r="AL38">
        <f>IF(H38+ABS(K38)&lt;0,Logistic(SQRT(H38^2+K38^2)/$B$4),0)</f>
        <v>0</v>
      </c>
      <c r="AM38">
        <f>IF(G38&gt;$B$3,1,0)</f>
        <v>0</v>
      </c>
      <c r="AN38">
        <f>IF(H38&gt;$B$4,1,0)</f>
        <v>0</v>
      </c>
      <c r="AO38">
        <f>ABS(H38)/$B$4</f>
        <v>8.8749999999999996E-2</v>
      </c>
      <c r="AP38">
        <f>Logistic(I38/$B$5)</f>
        <v>3.8106538972214943E-2</v>
      </c>
      <c r="AQ38">
        <f>IF(I38&gt;$B$5,1,0)</f>
        <v>0</v>
      </c>
      <c r="AR38">
        <f>Logistic(ABS(F38-O38)/($B$6/2))</f>
        <v>0.23785570960038072</v>
      </c>
      <c r="AS38">
        <f>IF(OR(F38&lt;M38,F38&gt;N38),1,0)</f>
        <v>0</v>
      </c>
      <c r="AT38">
        <f>ABS(K38)/$B$4</f>
        <v>0.10625</v>
      </c>
      <c r="AU38">
        <f t="shared" ca="1" si="40"/>
        <v>0</v>
      </c>
      <c r="AV38">
        <f ca="1">IF(AND(L38&lt;&gt;$L$15,$Q$15&gt;Safety_Distance),1,0)</f>
        <v>0</v>
      </c>
      <c r="AW38">
        <f ca="1">MAX(1-(IF(Q38/(G38-R38)&gt;0,Q38/(G38-R38),Collision_Time_Buffer)/Collision_Time_Buffer),0)*IF($L$15&lt;&gt;L38,Lane_Change_Multiplier,1)</f>
        <v>0.18390050260907387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1"/>
        <v>0</v>
      </c>
      <c r="BB38">
        <f t="shared" ca="1" si="42"/>
        <v>0</v>
      </c>
      <c r="BC38">
        <f t="shared" si="43"/>
        <v>0</v>
      </c>
      <c r="BE38">
        <f>Logistic((D38-$B$2)/$B$2)</f>
        <v>0.58497988288072877</v>
      </c>
      <c r="BF38">
        <f t="shared" si="44"/>
        <v>0</v>
      </c>
      <c r="BG38">
        <f t="shared" si="45"/>
        <v>0</v>
      </c>
      <c r="BH38">
        <f>Logistic(($B$3-G38)/(G38+1))</f>
        <v>0.14711601598178517</v>
      </c>
      <c r="BI38">
        <f>IF(G38&gt;$B$3,1,0)</f>
        <v>0</v>
      </c>
      <c r="BJ38">
        <f>IF(H38&gt;$B$5,1,0)</f>
        <v>0</v>
      </c>
      <c r="BK38">
        <f>EXP(-($B$4-ABS(H38))/MAX(ABS(H38),0.000000001))</f>
        <v>3.4740457297736573E-5</v>
      </c>
      <c r="BL38">
        <f t="shared" si="46"/>
        <v>0</v>
      </c>
      <c r="BM38">
        <f>EXP(-($B$5-I38)/MAX(I38,0.000000001))</f>
        <v>5.4780897783779199E-6</v>
      </c>
      <c r="BN38">
        <f>IF(F38&gt;N38,(F38-N38)/$B$6,0)+IF(F38&lt;M38,(M38-F38)/$B$6,0)</f>
        <v>0</v>
      </c>
      <c r="BO38">
        <f>ABS(K38/$B$4)</f>
        <v>0.10625</v>
      </c>
      <c r="BP38">
        <f>Logistic(ABS(H38)/$B$4)</f>
        <v>4.4345896051946845E-2</v>
      </c>
      <c r="BQ38">
        <f>Logistic(($B$3-G38)/G38)</f>
        <v>0.15608654902967334</v>
      </c>
    </row>
    <row r="39" spans="1:69" x14ac:dyDescent="0.25">
      <c r="A39" s="1" t="s">
        <v>18</v>
      </c>
      <c r="B39">
        <f t="shared" ca="1" si="2"/>
        <v>16.920327057653118</v>
      </c>
      <c r="C39" t="s">
        <v>456</v>
      </c>
      <c r="D39">
        <f t="shared" si="17"/>
        <v>109</v>
      </c>
      <c r="E39">
        <f t="shared" si="18"/>
        <v>975.54</v>
      </c>
      <c r="F39">
        <f t="shared" si="19"/>
        <v>2.99</v>
      </c>
      <c r="G39">
        <f t="shared" si="20"/>
        <v>11.83</v>
      </c>
      <c r="H39">
        <f t="shared" si="21"/>
        <v>-2.25</v>
      </c>
      <c r="I39">
        <f t="shared" si="22"/>
        <v>2.16</v>
      </c>
      <c r="J39">
        <f t="shared" si="23"/>
        <v>2.12</v>
      </c>
      <c r="K39">
        <f t="shared" si="24"/>
        <v>1.5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>
        <f t="shared" si="5"/>
        <v>56</v>
      </c>
      <c r="Q39">
        <f t="shared" ca="1" si="25"/>
        <v>5.6083500000000868</v>
      </c>
      <c r="R39">
        <f t="shared" ca="1" si="26"/>
        <v>15.452786</v>
      </c>
      <c r="S39">
        <f t="shared" si="27"/>
        <v>52</v>
      </c>
      <c r="T39">
        <f t="shared" ca="1" si="28"/>
        <v>-19.667663999999945</v>
      </c>
      <c r="U39">
        <f t="shared" ca="1" si="29"/>
        <v>17.804622999999999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>
        <f>GetFollowingCarRow($B$45:$E$54,L39,$E$15,E39)</f>
        <v>52</v>
      </c>
      <c r="Z39">
        <f t="shared" ca="1" si="33"/>
        <v>-42.03766399999995</v>
      </c>
      <c r="AA39">
        <f t="shared" ca="1" si="34"/>
        <v>17.804622999999999</v>
      </c>
      <c r="AB39">
        <f t="shared" si="35"/>
        <v>3.01</v>
      </c>
      <c r="AC39">
        <f t="shared" si="36"/>
        <v>22.370000000000005</v>
      </c>
      <c r="AD39">
        <f t="shared" si="37"/>
        <v>134.25398748323641</v>
      </c>
      <c r="AE39">
        <f t="shared" si="38"/>
        <v>-3003.2616999999991</v>
      </c>
      <c r="AF39">
        <f t="shared" si="39"/>
        <v>22.571597196476819</v>
      </c>
      <c r="AG39">
        <f>GetSmallestNormalDistance($B$45:$E$54,AB39,AC39,AF39,$L$15,L39)</f>
        <v>124.54211453271832</v>
      </c>
      <c r="AH39">
        <f>Logistic((D39-$B$2)/$B$2)</f>
        <v>0.5298956075275294</v>
      </c>
      <c r="AI39">
        <f>IF(G39&lt;=0,1,0)</f>
        <v>0</v>
      </c>
      <c r="AJ39">
        <f>IF(G39&lt;0,1,0)</f>
        <v>0</v>
      </c>
      <c r="AK39">
        <f>MAX(($B$3-G39)/(G39 + 1),0) / $B$3</f>
        <v>3.4490028745363679E-2</v>
      </c>
      <c r="AL39">
        <f>IF(H39+ABS(K39)&lt;0,Logistic(SQRT(H39^2+K39^2)/$B$4),0)</f>
        <v>0.16741916444402674</v>
      </c>
      <c r="AM39">
        <f>IF(G39&gt;$B$3,1,0)</f>
        <v>0</v>
      </c>
      <c r="AN39">
        <f>IF(H39&gt;$B$4,1,0)</f>
        <v>0</v>
      </c>
      <c r="AO39">
        <f>ABS(H39)/$B$4</f>
        <v>0.28125</v>
      </c>
      <c r="AP39">
        <f>Logistic(I39/$B$5)</f>
        <v>0.1341858099309087</v>
      </c>
      <c r="AQ39">
        <f>IF(I39&gt;$B$5,1,0)</f>
        <v>0</v>
      </c>
      <c r="AR39">
        <f>Logistic(ABS(F39-O39)/($B$6/2))</f>
        <v>0.2425671903821357</v>
      </c>
      <c r="AS39">
        <f>IF(OR(F39&lt;M39,F39&gt;N39),1,0)</f>
        <v>0</v>
      </c>
      <c r="AT39">
        <f>ABS(K39)/$B$4</f>
        <v>0.1875</v>
      </c>
      <c r="AU39">
        <f t="shared" ca="1" si="40"/>
        <v>0</v>
      </c>
      <c r="AV39">
        <f ca="1">IF(AND(L39&lt;&gt;$L$15,$Q$15&gt;Safety_Distance),1,0)</f>
        <v>0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0.67081330487296109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0.29639637513530226</v>
      </c>
      <c r="BA39">
        <f t="shared" ca="1" si="41"/>
        <v>0</v>
      </c>
      <c r="BB39">
        <f t="shared" ca="1" si="42"/>
        <v>0</v>
      </c>
      <c r="BC39">
        <f t="shared" si="43"/>
        <v>0</v>
      </c>
      <c r="BE39">
        <f>Logistic((D39-$B$2)/$B$2)</f>
        <v>0.5298956075275294</v>
      </c>
      <c r="BF39">
        <f t="shared" si="44"/>
        <v>0</v>
      </c>
      <c r="BG39">
        <f t="shared" si="45"/>
        <v>0</v>
      </c>
      <c r="BH39">
        <f>Logistic(($B$3-G39)/(G39+1))</f>
        <v>0.35043468259119276</v>
      </c>
      <c r="BI39">
        <f>IF(G39&gt;$B$3,1,0)</f>
        <v>0</v>
      </c>
      <c r="BJ39">
        <f>IF(H39&gt;$B$5,1,0)</f>
        <v>0</v>
      </c>
      <c r="BK39">
        <f>EXP(-($B$4-ABS(H39))/MAX(ABS(H39),0.000000001))</f>
        <v>7.7649081703475897E-2</v>
      </c>
      <c r="BL39">
        <f t="shared" si="46"/>
        <v>0</v>
      </c>
      <c r="BM39">
        <f>EXP(-($B$5-I39)/MAX(I39,0.000000001))</f>
        <v>6.695706380792725E-2</v>
      </c>
      <c r="BN39">
        <f>IF(F39&gt;N39,(F39-N39)/$B$6,0)+IF(F39&lt;M39,(M39-F39)/$B$6,0)</f>
        <v>0</v>
      </c>
      <c r="BO39">
        <f>ABS(K39/$B$4)</f>
        <v>0.1875</v>
      </c>
      <c r="BP39">
        <f>Logistic(ABS(H39)/$B$4)</f>
        <v>0.1397053028283142</v>
      </c>
      <c r="BQ39">
        <f>Logistic(($B$3-G39)/G39)</f>
        <v>0.37726965560054965</v>
      </c>
    </row>
    <row r="40" spans="1:69" x14ac:dyDescent="0.25">
      <c r="A40" s="1" t="s">
        <v>17</v>
      </c>
      <c r="B40">
        <f t="shared" ca="1" si="2"/>
        <v>189.01594660822337</v>
      </c>
      <c r="C40" t="s">
        <v>455</v>
      </c>
      <c r="D40">
        <f t="shared" si="17"/>
        <v>135</v>
      </c>
      <c r="E40">
        <f t="shared" si="18"/>
        <v>944.39</v>
      </c>
      <c r="F40">
        <f t="shared" si="19"/>
        <v>5.96</v>
      </c>
      <c r="G40">
        <f t="shared" si="20"/>
        <v>-27</v>
      </c>
      <c r="H40">
        <f t="shared" si="21"/>
        <v>-11.42</v>
      </c>
      <c r="I40">
        <f t="shared" si="22"/>
        <v>11.32</v>
      </c>
      <c r="J40">
        <f t="shared" si="23"/>
        <v>0.06</v>
      </c>
      <c r="K40">
        <f t="shared" si="24"/>
        <v>3.38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>
        <f t="shared" si="5"/>
        <v>56</v>
      </c>
      <c r="Q40">
        <f t="shared" ca="1" si="25"/>
        <v>5.6083500000000868</v>
      </c>
      <c r="R40">
        <f t="shared" ca="1" si="26"/>
        <v>15.452786</v>
      </c>
      <c r="S40">
        <f t="shared" si="27"/>
        <v>52</v>
      </c>
      <c r="T40">
        <f t="shared" ca="1" si="28"/>
        <v>-19.667663999999945</v>
      </c>
      <c r="U40">
        <f t="shared" ca="1" si="29"/>
        <v>17.804622999999999</v>
      </c>
      <c r="V40">
        <f t="shared" si="30"/>
        <v>56</v>
      </c>
      <c r="W40">
        <f t="shared" ca="1" si="31"/>
        <v>14.388350000000059</v>
      </c>
      <c r="X40">
        <f t="shared" ca="1" si="32"/>
        <v>15.452786</v>
      </c>
      <c r="Y40">
        <f>GetFollowingCarRow($B$45:$E$54,L40,$E$15,E40)</f>
        <v>52</v>
      </c>
      <c r="Z40">
        <f t="shared" ca="1" si="33"/>
        <v>-10.887663999999972</v>
      </c>
      <c r="AA40">
        <f t="shared" ca="1" si="34"/>
        <v>17.804622999999999</v>
      </c>
      <c r="AB40">
        <f t="shared" si="35"/>
        <v>4.0000000000000036E-2</v>
      </c>
      <c r="AC40">
        <f t="shared" si="36"/>
        <v>-8.7799999999999727</v>
      </c>
      <c r="AD40">
        <f t="shared" si="37"/>
        <v>1.6575398633257237</v>
      </c>
      <c r="AE40">
        <f t="shared" si="38"/>
        <v>14.553199999999809</v>
      </c>
      <c r="AF40">
        <f t="shared" si="39"/>
        <v>8.7800911157003103</v>
      </c>
      <c r="AG40">
        <f>GetSmallestNormalDistance($B$45:$E$54,AB40,AC40,AF40,$L$15,L40)</f>
        <v>1.2717250188934057</v>
      </c>
      <c r="AH40">
        <f>Logistic((D40-$B$2)/$B$2)</f>
        <v>0.69106946983293061</v>
      </c>
      <c r="AI40">
        <f>IF(G40&lt;=0,1,0)</f>
        <v>1</v>
      </c>
      <c r="AJ40">
        <f>IF(G40&lt;0,1,0)</f>
        <v>1</v>
      </c>
      <c r="AK40">
        <f>MAX(($B$3-G40)/(G40 + 1),0) / $B$3</f>
        <v>0</v>
      </c>
      <c r="AL40">
        <f>IF(H40+ABS(K40)&lt;0,Logistic(SQRT(H40^2+K40^2)/$B$4),0)</f>
        <v>0.63176965152145992</v>
      </c>
      <c r="AM40">
        <f>IF(G40&gt;$B$3,1,0)</f>
        <v>0</v>
      </c>
      <c r="AN40">
        <f>IF(H40&gt;$B$4,1,0)</f>
        <v>0</v>
      </c>
      <c r="AO40">
        <f>ABS(H40)/$B$4</f>
        <v>1.4275</v>
      </c>
      <c r="AP40">
        <f>Logistic(I40/$B$5)</f>
        <v>0.60910675454712471</v>
      </c>
      <c r="AQ40">
        <f>IF(I40&gt;$B$5,1,0)</f>
        <v>1</v>
      </c>
      <c r="AR40">
        <f>Logistic(ABS(F40-O40)/($B$6/2))</f>
        <v>0.75736232421652627</v>
      </c>
      <c r="AS40">
        <f>IF(OR(F40&lt;M40,F40&gt;N40),1,0)</f>
        <v>1</v>
      </c>
      <c r="AT40">
        <f>ABS(K40)/$B$4</f>
        <v>0.42249999999999999</v>
      </c>
      <c r="AU40">
        <f t="shared" ca="1" si="40"/>
        <v>3.381703258200712E-2</v>
      </c>
      <c r="AV40">
        <f ca="1">IF(AND(L40&lt;&gt;$L$15,$Q$15&gt;Safety_Distance),1,0)</f>
        <v>0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0.95610349405238837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0.97569968616854563</v>
      </c>
      <c r="BA40">
        <f t="shared" ca="1" si="41"/>
        <v>0</v>
      </c>
      <c r="BB40">
        <f t="shared" ca="1" si="42"/>
        <v>0</v>
      </c>
      <c r="BC40">
        <f t="shared" si="43"/>
        <v>0</v>
      </c>
      <c r="BE40">
        <f>Logistic((D40-$B$2)/$B$2)</f>
        <v>0.69106946983293061</v>
      </c>
      <c r="BF40">
        <f t="shared" si="44"/>
        <v>1</v>
      </c>
      <c r="BG40">
        <f t="shared" si="45"/>
        <v>1</v>
      </c>
      <c r="BH40">
        <f>Logistic(($B$3-G40)/(G40+1))</f>
        <v>-0.7293361837302732</v>
      </c>
      <c r="BI40">
        <f>IF(G40&gt;$B$3,1,0)</f>
        <v>0</v>
      </c>
      <c r="BJ40">
        <f>IF(H40&gt;$B$5,1,0)</f>
        <v>0</v>
      </c>
      <c r="BK40">
        <f>EXP(-($B$4-ABS(H40))/MAX(ABS(H40),0.000000001))</f>
        <v>1.3491497860703392</v>
      </c>
      <c r="BL40">
        <f t="shared" si="46"/>
        <v>1</v>
      </c>
      <c r="BM40">
        <f>EXP(-($B$5-I40)/MAX(I40,0.000000001))</f>
        <v>1.3408265056463453</v>
      </c>
      <c r="BN40">
        <f>IF(F40&gt;N40,(F40-N40)/$B$6,0)+IF(F40&lt;M40,(M40-F40)/$B$6,0)</f>
        <v>0.49</v>
      </c>
      <c r="BO40">
        <f>ABS(K40/$B$4)</f>
        <v>0.42249999999999999</v>
      </c>
      <c r="BP40">
        <f>Logistic(ABS(H40)/$B$4)</f>
        <v>0.61302297583433485</v>
      </c>
      <c r="BQ40">
        <f>Logistic(($B$3-G40)/G40)</f>
        <v>-0.7128541128857504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1075.669674</v>
      </c>
      <c r="C45">
        <v>6.4424939999999999</v>
      </c>
      <c r="D45">
        <v>17.286677000000001</v>
      </c>
      <c r="E45">
        <v>2</v>
      </c>
    </row>
    <row r="46" spans="1:69" x14ac:dyDescent="0.25">
      <c r="B46">
        <v>1027.3659709999999</v>
      </c>
      <c r="C46">
        <v>5.9522209999999998</v>
      </c>
      <c r="D46">
        <v>16.914245000000001</v>
      </c>
      <c r="E46">
        <v>2</v>
      </c>
    </row>
    <row r="47" spans="1:69" x14ac:dyDescent="0.25">
      <c r="B47">
        <v>931.44250599999998</v>
      </c>
      <c r="C47">
        <v>5.8801550000000002</v>
      </c>
      <c r="D47">
        <v>19.518436999999999</v>
      </c>
      <c r="E47">
        <v>2</v>
      </c>
    </row>
    <row r="48" spans="1:69" x14ac:dyDescent="0.25">
      <c r="B48">
        <v>995.70296800000006</v>
      </c>
      <c r="C48">
        <v>10.043900000000001</v>
      </c>
      <c r="D48">
        <v>15.747097999999999</v>
      </c>
      <c r="E48">
        <v>3</v>
      </c>
    </row>
    <row r="49" spans="2:5" x14ac:dyDescent="0.25">
      <c r="B49">
        <v>977.04517099999998</v>
      </c>
      <c r="C49">
        <v>6.0643500000000001</v>
      </c>
      <c r="D49">
        <v>16.492387999999998</v>
      </c>
      <c r="E49">
        <v>2</v>
      </c>
    </row>
    <row r="50" spans="2:5" x14ac:dyDescent="0.25">
      <c r="B50">
        <v>930.23300099999994</v>
      </c>
      <c r="C50">
        <v>9.9727300000000003</v>
      </c>
      <c r="D50">
        <v>14.773144</v>
      </c>
      <c r="E50">
        <v>3</v>
      </c>
    </row>
    <row r="51" spans="2:5" x14ac:dyDescent="0.25">
      <c r="B51">
        <v>879.76710700000001</v>
      </c>
      <c r="C51">
        <v>9.8603679999999994</v>
      </c>
      <c r="D51">
        <v>12.455295</v>
      </c>
      <c r="E51">
        <v>3</v>
      </c>
    </row>
    <row r="52" spans="2:5" x14ac:dyDescent="0.25">
      <c r="B52">
        <v>933.50233600000001</v>
      </c>
      <c r="C52">
        <v>1.822149</v>
      </c>
      <c r="D52">
        <v>17.804622999999999</v>
      </c>
      <c r="E52">
        <v>1</v>
      </c>
    </row>
    <row r="53" spans="2:5" x14ac:dyDescent="0.25">
      <c r="B53">
        <v>909.49576200000001</v>
      </c>
      <c r="C53">
        <v>10.12866</v>
      </c>
      <c r="D53">
        <v>15.734802999999999</v>
      </c>
      <c r="E53">
        <v>3</v>
      </c>
    </row>
    <row r="54" spans="2:5" x14ac:dyDescent="0.25">
      <c r="B54">
        <v>890.26190099999997</v>
      </c>
      <c r="C54">
        <v>5.8751059999999997</v>
      </c>
      <c r="D54">
        <v>19.819286999999999</v>
      </c>
      <c r="E54">
        <v>2</v>
      </c>
    </row>
    <row r="55" spans="2:5" x14ac:dyDescent="0.25">
      <c r="B55">
        <v>850.51510199999996</v>
      </c>
      <c r="C55">
        <v>9.9304860000000001</v>
      </c>
      <c r="D55">
        <v>19.236003</v>
      </c>
      <c r="E55">
        <v>3</v>
      </c>
    </row>
    <row r="56" spans="2:5" x14ac:dyDescent="0.25">
      <c r="B56">
        <v>958.77835000000005</v>
      </c>
      <c r="C56">
        <v>2.0700219999999998</v>
      </c>
      <c r="D56">
        <v>15.452786</v>
      </c>
      <c r="E56">
        <v>1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BQ56"/>
  <sheetViews>
    <sheetView topLeftCell="A25" zoomScale="90" zoomScaleNormal="90" workbookViewId="0">
      <selection activeCell="G20" sqref="G20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2</v>
      </c>
    </row>
    <row r="12" spans="1:69" x14ac:dyDescent="0.25">
      <c r="A12" t="s">
        <v>183</v>
      </c>
      <c r="B12">
        <f ca="1">INDEX(A16:F40,MATCH(MIN(B16:B40),B16:B40,0),5)</f>
        <v>752.76</v>
      </c>
      <c r="C12">
        <f ca="1">INDEX(A16:F40,MATCH(MIN(B16:B40),B16:B40,0),6)</f>
        <v>1.89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482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748.5</v>
      </c>
      <c r="F15">
        <f>VALUE(MID(C15,FIND("d[",C15)+2,FIND("]",C15,FIND("d[",C15))-(FIND("d[",C15)+2)))</f>
        <v>1.89</v>
      </c>
      <c r="G15">
        <f>VALUE(MID(C15,FIND("s_dot[",C15)+6,FIND("]",C15,FIND("s_dot[",C15))-(FIND("s_dot[",C15)+6)))</f>
        <v>17.559999999999999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0.75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1</v>
      </c>
      <c r="M15">
        <f t="shared" ref="M15:M37" si="0">$B$6*(L15-1)</f>
        <v>0</v>
      </c>
      <c r="N15">
        <f t="shared" ref="N15:N37" si="1">$B$6*L15</f>
        <v>4</v>
      </c>
      <c r="O15">
        <f>(N15+M15)/2</f>
        <v>2</v>
      </c>
      <c r="P15">
        <f>GetLeadingCarRow($B$45:$E$56,L15,$E$15, $E$15)</f>
        <v>55</v>
      </c>
      <c r="Q15">
        <f ca="1">IFERROR(INDIRECT(CONCATENATE("B", P15))-$E$15,1000000)</f>
        <v>49.559039999999982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2.5628445637999815</v>
      </c>
      <c r="C16" t="s">
        <v>498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752.59</v>
      </c>
      <c r="F16">
        <f>VALUE(MID(C16,FIND("d[",C16)+2,FIND("]",C16,FIND("d[",C16))-(FIND("d[",C16)+2)))</f>
        <v>1.89</v>
      </c>
      <c r="G16">
        <f>VALUE(MID(C16,FIND("s_dot[",C16)+6,FIND("]",C16,FIND("s_dot[",C16))-(FIND("s_dot[",C16)+6)))</f>
        <v>17.25</v>
      </c>
      <c r="H16">
        <f>VALUE(MID(C16,FIND("s_dot2[",C16)+7,FIND("]",C16,FIND("s_dot2[",C16))-(FIND("s_dot2[",C16)+7)))</f>
        <v>-2.12</v>
      </c>
      <c r="I16">
        <f>VALUE(MID(C16,FIND("s_dot3[",C16)+7,FIND("]",C16,FIND("s_dot3[",C16))-(FIND("s_dot3[",C16)+7)))</f>
        <v>2.81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1</v>
      </c>
      <c r="M16">
        <f t="shared" si="0"/>
        <v>0</v>
      </c>
      <c r="N16">
        <f t="shared" si="1"/>
        <v>4</v>
      </c>
      <c r="O16">
        <f t="shared" ref="O16:O40" si="4">(N16+M16)/2</f>
        <v>2</v>
      </c>
      <c r="P16">
        <f t="shared" ref="P16:P40" si="5">GetLeadingCarRow($B$45:$E$56,L16,$E$15, $E$15)</f>
        <v>55</v>
      </c>
      <c r="Q16">
        <f ca="1">IFERROR(INDIRECT(CONCATENATE("B", P16))-$E$15,1000000)</f>
        <v>49.559039999999982</v>
      </c>
      <c r="R16">
        <f ca="1">IFERROR(INDIRECT(CONCATENATE("D", P16)),100)</f>
        <v>16.842486999999998</v>
      </c>
      <c r="S16">
        <f>GetFollowingCarRow($B$45:$E$56,L16,$E$15, $E$15)</f>
        <v>56</v>
      </c>
      <c r="T16">
        <f ca="1">IFERROR(INDIRECT(CONCATENATE("B", S16))-$E$15,1000000)</f>
        <v>-33.816711000000055</v>
      </c>
      <c r="U16">
        <f ca="1">IFERROR(INDIRECT(CONCATENATE("D", S16)),100)</f>
        <v>14.660932000000001</v>
      </c>
      <c r="V16">
        <f>GetLeadingCarRow($B$45:$E$56,L16,$E$15,E16)</f>
        <v>55</v>
      </c>
      <c r="W16">
        <f ca="1">IFERROR(INDIRECT(CONCATENATE("B", V16))-E16,1000000000)</f>
        <v>45.46903999999995</v>
      </c>
      <c r="X16">
        <f ca="1">IFERROR(INDIRECT(CONCATENATE("D", V16)),100)</f>
        <v>16.842486999999998</v>
      </c>
      <c r="Y16">
        <f>GetFollowingCarRow($B$45:$E$56,L16,$E$15,E16)</f>
        <v>56</v>
      </c>
      <c r="Z16">
        <f ca="1">IFERROR(INDIRECT(CONCATENATE("B", Y16))-E16,1000000000)</f>
        <v>-37.906711000000087</v>
      </c>
      <c r="AA16">
        <f ca="1">IFERROR(INDIRECT(CONCATENATE("D", Y16)),100)</f>
        <v>14.660932000000001</v>
      </c>
      <c r="AB16">
        <f>$F$15-F16</f>
        <v>0</v>
      </c>
      <c r="AC16">
        <f>E16-$E$15</f>
        <v>4.0900000000000318</v>
      </c>
      <c r="AD16">
        <f>$F$15-(-AB16/AC16)*$E$15</f>
        <v>1.89</v>
      </c>
      <c r="AE16">
        <f>AD16*-AC16</f>
        <v>-7.7301000000000597</v>
      </c>
      <c r="AF16">
        <f>SQRT(AB16^2+AC16^2)</f>
        <v>4.0900000000000318</v>
      </c>
      <c r="AG16">
        <f>GetSmallestNormalDistance($B$45:$E$54,AB16,AC16,AF16,$L$15,L16)</f>
        <v>1.8540650000000001</v>
      </c>
      <c r="AH16">
        <f t="shared" ref="AH16:AH37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1.0251378255199926E-2</v>
      </c>
      <c r="AL16">
        <f>IF(H16+ABS(K16)&lt;0,Logistic(SQRT(H16^2+K16^2)/$B$4),0)</f>
        <v>0.13173000579096333</v>
      </c>
      <c r="AM16">
        <f>IF(G16&gt;$B$3,1,0)</f>
        <v>0</v>
      </c>
      <c r="AN16">
        <f>IF(H16&gt;$B$4,1,0)</f>
        <v>0</v>
      </c>
      <c r="AO16">
        <f>ABS(H16)/$B$4</f>
        <v>0.26500000000000001</v>
      </c>
      <c r="AP16">
        <f>Logistic(I16/$B$5)</f>
        <v>0.17384133561122272</v>
      </c>
      <c r="AQ16">
        <f>IF(I16&gt;$B$5,1,0)</f>
        <v>0</v>
      </c>
      <c r="AR16">
        <f>Logistic(ABS(F16-O16)/($B$6/2))</f>
        <v>2.7493069804709887E-2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7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7" si="8">Logistic(($B$3-G16)/(G16+1))</f>
        <v>0.10834022785997344</v>
      </c>
      <c r="BI16">
        <f t="shared" ref="BI16:BI37" si="9">IF(G16&gt;$B$3,1,0)</f>
        <v>0</v>
      </c>
      <c r="BJ16">
        <f t="shared" ref="BJ16:BJ37" si="10">IF(H16&gt;$B$5,1,0)</f>
        <v>0</v>
      </c>
      <c r="BK16">
        <f t="shared" ref="BK16:BK37" si="11">EXP(-($B$4-ABS(H16))/MAX(ABS(H16),0.000000001))</f>
        <v>6.243776953783646E-2</v>
      </c>
      <c r="BL16">
        <f>IF(G16&lt;ABS(H16),1,0)</f>
        <v>0</v>
      </c>
      <c r="BM16">
        <f t="shared" ref="BM16:BM37" si="12">EXP(-($B$5-I16)/MAX(I16,0.000000001))</f>
        <v>0.15771351484539992</v>
      </c>
      <c r="BN16">
        <f t="shared" ref="BN16:BN37" si="13">IF(F16&gt;N16,(F16-N16)/$B$6,0)+IF(F16&lt;M16,(M16-F16)/$B$6,0)</f>
        <v>0</v>
      </c>
      <c r="BO16">
        <f t="shared" ref="BO16:BO37" si="14">ABS(K16/$B$4)</f>
        <v>0</v>
      </c>
      <c r="BP16">
        <f t="shared" ref="BP16:BP37" si="15">Logistic(ABS(H16)/$B$4)</f>
        <v>0.13173000579096333</v>
      </c>
      <c r="BQ16">
        <f t="shared" ref="BQ16:BQ37" si="16">Logistic(($B$3-G16)/G16)</f>
        <v>0.11456722242485678</v>
      </c>
    </row>
    <row r="17" spans="1:69" x14ac:dyDescent="0.25">
      <c r="A17" s="1" t="s">
        <v>15</v>
      </c>
      <c r="B17">
        <f t="shared" ca="1" si="2"/>
        <v>2.3766572246046853</v>
      </c>
      <c r="C17" t="s">
        <v>497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752.65</v>
      </c>
      <c r="F17">
        <f t="shared" ref="F17:F40" si="19">VALUE(MID(C17,FIND("d[",C17)+2,FIND("]",C17,FIND("d[",C17))-(FIND("d[",C17)+2)))</f>
        <v>1.89</v>
      </c>
      <c r="G17">
        <f t="shared" ref="G17:G40" si="20">VALUE(MID(C17,FIND("s_dot[",C17)+6,FIND("]",C17,FIND("s_dot[",C17))-(FIND("s_dot[",C17)+6)))</f>
        <v>17.489999999999998</v>
      </c>
      <c r="H17">
        <f t="shared" ref="H17:H40" si="21">VALUE(MID(C17,FIND("s_dot2[",C17)+7,FIND("]",C17,FIND("s_dot2[",C17))-(FIND("s_dot2[",C17)+7)))</f>
        <v>-0.5</v>
      </c>
      <c r="I17">
        <f t="shared" ref="I17:I40" si="22">VALUE(MID(C17,FIND("s_dot3[",C17)+7,FIND("]",C17,FIND("s_dot3[",C17))-(FIND("s_dot3[",C17)+7)))</f>
        <v>1.19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1</v>
      </c>
      <c r="M17">
        <f t="shared" si="0"/>
        <v>0</v>
      </c>
      <c r="N17">
        <f t="shared" si="1"/>
        <v>4</v>
      </c>
      <c r="O17">
        <f t="shared" si="4"/>
        <v>2</v>
      </c>
      <c r="P17">
        <f t="shared" si="5"/>
        <v>55</v>
      </c>
      <c r="Q17">
        <f t="shared" ref="Q17:Q40" ca="1" si="25">IFERROR(INDIRECT(CONCATENATE("B", P17))-$E$15,1000000)</f>
        <v>49.559039999999982</v>
      </c>
      <c r="R17">
        <f t="shared" ref="R17:R40" ca="1" si="26">IFERROR(INDIRECT(CONCATENATE("D", P17)),100)</f>
        <v>16.842486999999998</v>
      </c>
      <c r="S17">
        <f t="shared" ref="S17:S40" si="27">GetFollowingCarRow($B$45:$E$56,L17,$E$15, $E$15)</f>
        <v>56</v>
      </c>
      <c r="T17">
        <f t="shared" ref="T17:T40" ca="1" si="28">IFERROR(INDIRECT(CONCATENATE("B", S17))-$E$15,1000000)</f>
        <v>-33.816711000000055</v>
      </c>
      <c r="U17">
        <f t="shared" ref="U17:U40" ca="1" si="29">IFERROR(INDIRECT(CONCATENATE("D", S17)),100)</f>
        <v>14.660932000000001</v>
      </c>
      <c r="V17">
        <f t="shared" ref="V17:V40" si="30">GetLeadingCarRow($B$45:$E$56,L17,$E$15,E17)</f>
        <v>55</v>
      </c>
      <c r="W17">
        <f t="shared" ref="W17:W40" ca="1" si="31">IFERROR(INDIRECT(CONCATENATE("B", V17))-E17,1000000000)</f>
        <v>45.409040000000005</v>
      </c>
      <c r="X17">
        <f t="shared" ref="X17:X40" ca="1" si="32">IFERROR(INDIRECT(CONCATENATE("D", V17)),100)</f>
        <v>16.842486999999998</v>
      </c>
      <c r="Y17">
        <f>GetFollowingCarRow($B$45:$E$54,L17,$E$15,E17)</f>
        <v>51</v>
      </c>
      <c r="Z17">
        <f t="shared" ref="Z17:Z40" ca="1" si="33">IFERROR(INDIRECT(CONCATENATE("B", Y17))-E17,1000000000)</f>
        <v>-71.447826999999961</v>
      </c>
      <c r="AA17">
        <f t="shared" ref="AA17:AA40" ca="1" si="34">IFERROR(INDIRECT(CONCATENATE("D", Y17)),100)</f>
        <v>11.841449000000001</v>
      </c>
      <c r="AB17">
        <f t="shared" ref="AB17:AB40" si="35">$F$15-F17</f>
        <v>0</v>
      </c>
      <c r="AC17">
        <f t="shared" ref="AC17:AC40" si="36">E17-$E$15</f>
        <v>4.1499999999999773</v>
      </c>
      <c r="AD17">
        <f t="shared" ref="AD17:AD40" si="37">$F$15-(-AB17/AC17)*$E$15</f>
        <v>1.89</v>
      </c>
      <c r="AE17">
        <f t="shared" ref="AE17:AE40" si="38">AD17*-AC17</f>
        <v>-7.8434999999999571</v>
      </c>
      <c r="AF17">
        <f t="shared" ref="AF17:AF40" si="39">SQRT(AB17^2+AC17^2)</f>
        <v>4.1499999999999773</v>
      </c>
      <c r="AG17">
        <f>GetSmallestNormalDistance($B$45:$E$54,AB17,AC17,AF17,$L$15,L17)</f>
        <v>1.8540650000000001</v>
      </c>
      <c r="AH17">
        <f t="shared" si="6"/>
        <v>0</v>
      </c>
      <c r="AI17">
        <f>IF(G17&lt;=0,1,0)</f>
        <v>0</v>
      </c>
      <c r="AJ17">
        <f>IF(G17&lt;0,1,0)</f>
        <v>0</v>
      </c>
      <c r="AK17">
        <f>MAX(($B$3-G17)/(G17 + 1),0) / $B$3</f>
        <v>9.5066288984187418E-3</v>
      </c>
      <c r="AL17">
        <f>IF(H17+ABS(K17)&lt;0,Logistic(SQRT(H17^2+K17^2)/$B$4),0)</f>
        <v>3.1239831446031246E-2</v>
      </c>
      <c r="AM17">
        <f>IF(G17&gt;$B$3,1,0)</f>
        <v>0</v>
      </c>
      <c r="AN17">
        <f>IF(H17&gt;$B$4,1,0)</f>
        <v>0</v>
      </c>
      <c r="AO17">
        <f>ABS(H17)/$B$4</f>
        <v>6.25E-2</v>
      </c>
      <c r="AP17">
        <f>Logistic(I17/$B$5)</f>
        <v>7.4238164172181459E-2</v>
      </c>
      <c r="AQ17">
        <f>IF(I17&gt;$B$5,1,0)</f>
        <v>0</v>
      </c>
      <c r="AR17">
        <f>Logistic(ABS(F17-O17)/($B$6/2))</f>
        <v>2.7493069804709887E-2</v>
      </c>
      <c r="AS17">
        <f>IF(OR(F17&lt;M17,F17&gt;N17),1,0)</f>
        <v>0</v>
      </c>
      <c r="AT17">
        <f>ABS(K17)/$B$4</f>
        <v>0</v>
      </c>
      <c r="AU17">
        <f t="shared" ref="AU17:AU40" ca="1" si="40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1">IF(OR(ABS(Q17)&lt;$B$8,ABS(W17)&lt;$B$8),1,0)</f>
        <v>0</v>
      </c>
      <c r="BB17">
        <f t="shared" ref="BB17:BB40" ca="1" si="42">IF(OR(ABS(T17)&lt;$B$8,ABS(Z17)&lt;$B$8),1,0)</f>
        <v>0</v>
      </c>
      <c r="BC17">
        <f t="shared" ref="BC17:BC40" si="43">IFERROR(IF(P17=Y17,1,0),0)</f>
        <v>0</v>
      </c>
      <c r="BE17">
        <f t="shared" si="7"/>
        <v>0</v>
      </c>
      <c r="BF17">
        <f t="shared" ref="BF17:BF40" si="44">IF(G17&lt;=0,1,0)</f>
        <v>0</v>
      </c>
      <c r="BG17">
        <f t="shared" ref="BG17:BG40" si="45">IF(G17&lt;0,1,0)</f>
        <v>0</v>
      </c>
      <c r="BH17">
        <f t="shared" si="8"/>
        <v>0.10052465717717603</v>
      </c>
      <c r="BI17">
        <f t="shared" si="9"/>
        <v>0</v>
      </c>
      <c r="BJ17">
        <f t="shared" si="10"/>
        <v>0</v>
      </c>
      <c r="BK17">
        <f t="shared" si="11"/>
        <v>3.0590232050182579E-7</v>
      </c>
      <c r="BL17">
        <f t="shared" ref="BL17:BL40" si="46">IF(G17&lt;ABS(H17),1,0)</f>
        <v>0</v>
      </c>
      <c r="BM17">
        <f t="shared" si="12"/>
        <v>3.2709033590641741E-3</v>
      </c>
      <c r="BN17">
        <f t="shared" si="13"/>
        <v>0</v>
      </c>
      <c r="BO17">
        <f t="shared" si="14"/>
        <v>0</v>
      </c>
      <c r="BP17">
        <f t="shared" si="15"/>
        <v>3.1239831446031246E-2</v>
      </c>
      <c r="BQ17">
        <f t="shared" si="16"/>
        <v>0.10623003807356268</v>
      </c>
    </row>
    <row r="18" spans="1:69" x14ac:dyDescent="0.25">
      <c r="A18" s="1" t="s">
        <v>14</v>
      </c>
      <c r="B18">
        <f t="shared" ca="1" si="2"/>
        <v>2.1432009144323891</v>
      </c>
      <c r="C18" t="s">
        <v>496</v>
      </c>
      <c r="D18">
        <f t="shared" si="17"/>
        <v>50</v>
      </c>
      <c r="E18">
        <f t="shared" si="18"/>
        <v>752.72</v>
      </c>
      <c r="F18">
        <f t="shared" si="19"/>
        <v>1.89</v>
      </c>
      <c r="G18">
        <f t="shared" si="20"/>
        <v>17.8</v>
      </c>
      <c r="H18">
        <f t="shared" si="21"/>
        <v>1.6</v>
      </c>
      <c r="I18">
        <f t="shared" si="22"/>
        <v>0.91</v>
      </c>
      <c r="J18">
        <f t="shared" si="23"/>
        <v>0</v>
      </c>
      <c r="K18">
        <f t="shared" si="24"/>
        <v>0</v>
      </c>
      <c r="L18">
        <f t="shared" si="3"/>
        <v>1</v>
      </c>
      <c r="M18">
        <f t="shared" si="0"/>
        <v>0</v>
      </c>
      <c r="N18">
        <f t="shared" si="1"/>
        <v>4</v>
      </c>
      <c r="O18">
        <f t="shared" si="4"/>
        <v>2</v>
      </c>
      <c r="P18">
        <f t="shared" si="5"/>
        <v>55</v>
      </c>
      <c r="Q18">
        <f t="shared" ca="1" si="25"/>
        <v>49.559039999999982</v>
      </c>
      <c r="R18">
        <f t="shared" ca="1" si="26"/>
        <v>16.842486999999998</v>
      </c>
      <c r="S18">
        <f t="shared" si="27"/>
        <v>56</v>
      </c>
      <c r="T18">
        <f t="shared" ca="1" si="28"/>
        <v>-33.816711000000055</v>
      </c>
      <c r="U18">
        <f t="shared" ca="1" si="29"/>
        <v>14.660932000000001</v>
      </c>
      <c r="V18">
        <f t="shared" si="30"/>
        <v>55</v>
      </c>
      <c r="W18">
        <f t="shared" ca="1" si="31"/>
        <v>45.339039999999954</v>
      </c>
      <c r="X18">
        <f t="shared" ca="1" si="32"/>
        <v>16.842486999999998</v>
      </c>
      <c r="Y18">
        <f>GetFollowingCarRow($B$45:$E$54,L18,$E$15,E18)</f>
        <v>51</v>
      </c>
      <c r="Z18">
        <f t="shared" ca="1" si="33"/>
        <v>-71.517827000000011</v>
      </c>
      <c r="AA18">
        <f t="shared" ca="1" si="34"/>
        <v>11.841449000000001</v>
      </c>
      <c r="AB18">
        <f t="shared" si="35"/>
        <v>0</v>
      </c>
      <c r="AC18">
        <f t="shared" si="36"/>
        <v>4.2200000000000273</v>
      </c>
      <c r="AD18">
        <f t="shared" si="37"/>
        <v>1.89</v>
      </c>
      <c r="AE18">
        <f t="shared" si="38"/>
        <v>-7.9758000000000511</v>
      </c>
      <c r="AF18">
        <f t="shared" si="39"/>
        <v>4.2200000000000273</v>
      </c>
      <c r="AG18">
        <f>GetSmallestNormalDistance($B$45:$E$54,AB18,AC18,AF18,$L$15,L18)</f>
        <v>1.8540650000000001</v>
      </c>
      <c r="AH18">
        <f t="shared" si="6"/>
        <v>0</v>
      </c>
      <c r="AI18">
        <f>IF(G18&lt;=0,1,0)</f>
        <v>0</v>
      </c>
      <c r="AJ18">
        <f>IF(G18&lt;0,1,0)</f>
        <v>0</v>
      </c>
      <c r="AK18">
        <f>MAX(($B$3-G18)/(G18 + 1),0) / $B$3</f>
        <v>8.572803657729557E-3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0</v>
      </c>
      <c r="AO18">
        <f>ABS(H18)/$B$4</f>
        <v>0.2</v>
      </c>
      <c r="AP18">
        <f>Logistic(I18/$B$5)</f>
        <v>5.6813753481059173E-2</v>
      </c>
      <c r="AQ18">
        <f>IF(I18&gt;$B$5,1,0)</f>
        <v>0</v>
      </c>
      <c r="AR18">
        <f>Logistic(ABS(F18-O18)/($B$6/2))</f>
        <v>2.7493069804709887E-2</v>
      </c>
      <c r="AS18">
        <f>IF(OR(F18&lt;M18,F18&gt;N18),1,0)</f>
        <v>0</v>
      </c>
      <c r="AT18">
        <f>ABS(K18)/$B$4</f>
        <v>0</v>
      </c>
      <c r="AU18">
        <f t="shared" ca="1" si="40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41"/>
        <v>0</v>
      </c>
      <c r="BB18">
        <f t="shared" ca="1" si="42"/>
        <v>0</v>
      </c>
      <c r="BC18">
        <f t="shared" si="43"/>
        <v>0</v>
      </c>
      <c r="BE18">
        <f t="shared" si="7"/>
        <v>0</v>
      </c>
      <c r="BF18">
        <f t="shared" si="44"/>
        <v>0</v>
      </c>
      <c r="BG18">
        <f t="shared" si="45"/>
        <v>0</v>
      </c>
      <c r="BH18">
        <f t="shared" si="8"/>
        <v>9.0707436022226196E-2</v>
      </c>
      <c r="BI18">
        <f t="shared" si="9"/>
        <v>0</v>
      </c>
      <c r="BJ18">
        <f t="shared" si="10"/>
        <v>0</v>
      </c>
      <c r="BK18">
        <f t="shared" si="11"/>
        <v>1.8315638888734179E-2</v>
      </c>
      <c r="BL18">
        <f t="shared" si="46"/>
        <v>0</v>
      </c>
      <c r="BM18">
        <f t="shared" si="12"/>
        <v>4.1335292448507304E-4</v>
      </c>
      <c r="BN18">
        <f t="shared" si="13"/>
        <v>0</v>
      </c>
      <c r="BO18">
        <f t="shared" si="14"/>
        <v>0</v>
      </c>
      <c r="BP18">
        <f t="shared" si="15"/>
        <v>9.9667994624955847E-2</v>
      </c>
      <c r="BQ18">
        <f t="shared" si="16"/>
        <v>9.5772968916581644E-2</v>
      </c>
    </row>
    <row r="19" spans="1:69" x14ac:dyDescent="0.25">
      <c r="A19" s="1" t="s">
        <v>13</v>
      </c>
      <c r="B19">
        <f t="shared" ca="1" si="2"/>
        <v>2.0915465557035651</v>
      </c>
      <c r="C19" t="s">
        <v>495</v>
      </c>
      <c r="D19">
        <f t="shared" si="17"/>
        <v>50</v>
      </c>
      <c r="E19">
        <f t="shared" si="18"/>
        <v>752.74</v>
      </c>
      <c r="F19">
        <f t="shared" si="19"/>
        <v>1.89</v>
      </c>
      <c r="G19">
        <f t="shared" si="20"/>
        <v>17.87</v>
      </c>
      <c r="H19">
        <f t="shared" si="21"/>
        <v>2.09</v>
      </c>
      <c r="I19">
        <f t="shared" si="22"/>
        <v>1.4</v>
      </c>
      <c r="J19">
        <f t="shared" si="23"/>
        <v>0</v>
      </c>
      <c r="K19">
        <f t="shared" si="24"/>
        <v>0</v>
      </c>
      <c r="L19">
        <f t="shared" si="3"/>
        <v>1</v>
      </c>
      <c r="M19">
        <f t="shared" si="0"/>
        <v>0</v>
      </c>
      <c r="N19">
        <f t="shared" si="1"/>
        <v>4</v>
      </c>
      <c r="O19">
        <f t="shared" si="4"/>
        <v>2</v>
      </c>
      <c r="P19">
        <f t="shared" si="5"/>
        <v>55</v>
      </c>
      <c r="Q19">
        <f t="shared" ca="1" si="25"/>
        <v>49.559039999999982</v>
      </c>
      <c r="R19">
        <f t="shared" ca="1" si="26"/>
        <v>16.842486999999998</v>
      </c>
      <c r="S19">
        <f t="shared" si="27"/>
        <v>56</v>
      </c>
      <c r="T19">
        <f t="shared" ca="1" si="28"/>
        <v>-33.816711000000055</v>
      </c>
      <c r="U19">
        <f t="shared" ca="1" si="29"/>
        <v>14.660932000000001</v>
      </c>
      <c r="V19">
        <f t="shared" si="30"/>
        <v>55</v>
      </c>
      <c r="W19">
        <f t="shared" ca="1" si="31"/>
        <v>45.319039999999973</v>
      </c>
      <c r="X19">
        <f t="shared" ca="1" si="32"/>
        <v>16.842486999999998</v>
      </c>
      <c r="Y19">
        <f>GetFollowingCarRow($B$45:$E$54,L19,$E$15,E19)</f>
        <v>51</v>
      </c>
      <c r="Z19">
        <f t="shared" ca="1" si="33"/>
        <v>-71.537826999999993</v>
      </c>
      <c r="AA19">
        <f t="shared" ca="1" si="34"/>
        <v>11.841449000000001</v>
      </c>
      <c r="AB19">
        <f t="shared" si="35"/>
        <v>0</v>
      </c>
      <c r="AC19">
        <f t="shared" si="36"/>
        <v>4.2400000000000091</v>
      </c>
      <c r="AD19">
        <f t="shared" si="37"/>
        <v>1.89</v>
      </c>
      <c r="AE19">
        <f t="shared" si="38"/>
        <v>-8.0136000000000163</v>
      </c>
      <c r="AF19">
        <f t="shared" si="39"/>
        <v>4.2400000000000091</v>
      </c>
      <c r="AG19">
        <f>GetSmallestNormalDistance($B$45:$E$54,AB19,AC19,AF19,$L$15,L19)</f>
        <v>1.8540650000000001</v>
      </c>
      <c r="AH19">
        <f t="shared" si="6"/>
        <v>0</v>
      </c>
      <c r="AI19">
        <f>IF(G19&lt;=0,1,0)</f>
        <v>0</v>
      </c>
      <c r="AJ19">
        <f>IF(G19&lt;0,1,0)</f>
        <v>0</v>
      </c>
      <c r="AK19">
        <f>MAX(($B$3-G19)/(G19 + 1),0) / $B$3</f>
        <v>8.3661862228142595E-3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0</v>
      </c>
      <c r="AO19">
        <f>ABS(H19)/$B$4</f>
        <v>0.26124999999999998</v>
      </c>
      <c r="AP19">
        <f>Logistic(I19/$B$5)</f>
        <v>8.7277374474157732E-2</v>
      </c>
      <c r="AQ19">
        <f>IF(I19&gt;$B$5,1,0)</f>
        <v>0</v>
      </c>
      <c r="AR19">
        <f>Logistic(ABS(F19-O19)/($B$6/2))</f>
        <v>2.7493069804709887E-2</v>
      </c>
      <c r="AS19">
        <f>IF(OR(F19&lt;M19,F19&gt;N19),1,0)</f>
        <v>0</v>
      </c>
      <c r="AT19">
        <f>ABS(K19)/$B$4</f>
        <v>0</v>
      </c>
      <c r="AU19">
        <f t="shared" ca="1" si="40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41"/>
        <v>0</v>
      </c>
      <c r="BB19">
        <f t="shared" ca="1" si="42"/>
        <v>0</v>
      </c>
      <c r="BC19">
        <f t="shared" si="43"/>
        <v>0</v>
      </c>
      <c r="BE19">
        <f t="shared" si="7"/>
        <v>0</v>
      </c>
      <c r="BF19">
        <f t="shared" si="44"/>
        <v>0</v>
      </c>
      <c r="BG19">
        <f t="shared" si="45"/>
        <v>0</v>
      </c>
      <c r="BH19">
        <f t="shared" si="8"/>
        <v>8.8532833260852317E-2</v>
      </c>
      <c r="BI19">
        <f t="shared" si="9"/>
        <v>0</v>
      </c>
      <c r="BJ19">
        <f t="shared" si="10"/>
        <v>0</v>
      </c>
      <c r="BK19">
        <f t="shared" si="11"/>
        <v>5.9145711330084345E-2</v>
      </c>
      <c r="BL19">
        <f t="shared" si="46"/>
        <v>0</v>
      </c>
      <c r="BM19">
        <f t="shared" si="12"/>
        <v>8.9662682574367988E-3</v>
      </c>
      <c r="BN19">
        <f t="shared" si="13"/>
        <v>0</v>
      </c>
      <c r="BO19">
        <f t="shared" si="14"/>
        <v>0</v>
      </c>
      <c r="BP19">
        <f t="shared" si="15"/>
        <v>0.12988708925129167</v>
      </c>
      <c r="BQ19">
        <f t="shared" si="16"/>
        <v>9.3458969333650027E-2</v>
      </c>
    </row>
    <row r="20" spans="1:69" x14ac:dyDescent="0.25">
      <c r="A20" s="1" t="s">
        <v>12</v>
      </c>
      <c r="B20">
        <f t="shared" ca="1" si="2"/>
        <v>2.0184159024840556</v>
      </c>
      <c r="C20" t="s">
        <v>494</v>
      </c>
      <c r="D20">
        <f t="shared" si="17"/>
        <v>50</v>
      </c>
      <c r="E20">
        <f t="shared" si="18"/>
        <v>752.76</v>
      </c>
      <c r="F20">
        <f t="shared" si="19"/>
        <v>1.89</v>
      </c>
      <c r="G20">
        <f t="shared" si="20"/>
        <v>17.97</v>
      </c>
      <c r="H20">
        <f t="shared" si="21"/>
        <v>2.74</v>
      </c>
      <c r="I20">
        <f t="shared" si="22"/>
        <v>2.0499999999999998</v>
      </c>
      <c r="J20">
        <f t="shared" si="23"/>
        <v>0</v>
      </c>
      <c r="K20">
        <f t="shared" si="24"/>
        <v>0</v>
      </c>
      <c r="L20">
        <f t="shared" si="3"/>
        <v>1</v>
      </c>
      <c r="M20">
        <f t="shared" si="0"/>
        <v>0</v>
      </c>
      <c r="N20">
        <f t="shared" si="1"/>
        <v>4</v>
      </c>
      <c r="O20">
        <f t="shared" si="4"/>
        <v>2</v>
      </c>
      <c r="P20">
        <f t="shared" si="5"/>
        <v>55</v>
      </c>
      <c r="Q20">
        <f t="shared" ca="1" si="25"/>
        <v>49.559039999999982</v>
      </c>
      <c r="R20">
        <f t="shared" ca="1" si="26"/>
        <v>16.842486999999998</v>
      </c>
      <c r="S20">
        <f t="shared" si="27"/>
        <v>56</v>
      </c>
      <c r="T20">
        <f t="shared" ca="1" si="28"/>
        <v>-33.816711000000055</v>
      </c>
      <c r="U20">
        <f t="shared" ca="1" si="29"/>
        <v>14.660932000000001</v>
      </c>
      <c r="V20">
        <f t="shared" si="30"/>
        <v>55</v>
      </c>
      <c r="W20">
        <f t="shared" ca="1" si="31"/>
        <v>45.299039999999991</v>
      </c>
      <c r="X20">
        <f t="shared" ca="1" si="32"/>
        <v>16.842486999999998</v>
      </c>
      <c r="Y20">
        <f>GetFollowingCarRow($B$45:$E$54,L20,$E$15,E20)</f>
        <v>51</v>
      </c>
      <c r="Z20">
        <f t="shared" ca="1" si="33"/>
        <v>-71.557826999999975</v>
      </c>
      <c r="AA20">
        <f t="shared" ca="1" si="34"/>
        <v>11.841449000000001</v>
      </c>
      <c r="AB20">
        <f t="shared" si="35"/>
        <v>0</v>
      </c>
      <c r="AC20">
        <f t="shared" si="36"/>
        <v>4.2599999999999909</v>
      </c>
      <c r="AD20">
        <f t="shared" si="37"/>
        <v>1.89</v>
      </c>
      <c r="AE20">
        <f t="shared" si="38"/>
        <v>-8.0513999999999832</v>
      </c>
      <c r="AF20">
        <f t="shared" si="39"/>
        <v>4.2599999999999909</v>
      </c>
      <c r="AG20">
        <f>GetSmallestNormalDistance($B$45:$E$54,AB20,AC20,AF20,$L$15,L20)</f>
        <v>1.8540650000000001</v>
      </c>
      <c r="AH20">
        <f t="shared" si="6"/>
        <v>0</v>
      </c>
      <c r="AI20">
        <f>IF(G20&lt;=0,1,0)</f>
        <v>0</v>
      </c>
      <c r="AJ20">
        <f>IF(G20&lt;0,1,0)</f>
        <v>0</v>
      </c>
      <c r="AK20">
        <f>MAX(($B$3-G20)/(G20 + 1),0) / $B$3</f>
        <v>8.0736636099362213E-3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0</v>
      </c>
      <c r="AO20">
        <f>ABS(H20)/$B$4</f>
        <v>0.34250000000000003</v>
      </c>
      <c r="AP20">
        <f>Logistic(I20/$B$5)</f>
        <v>0.12742847265691032</v>
      </c>
      <c r="AQ20">
        <f>IF(I20&gt;$B$5,1,0)</f>
        <v>0</v>
      </c>
      <c r="AR20">
        <f>Logistic(ABS(F20-O20)/($B$6/2))</f>
        <v>2.7493069804709887E-2</v>
      </c>
      <c r="AS20">
        <f>IF(OR(F20&lt;M20,F20&gt;N20),1,0)</f>
        <v>0</v>
      </c>
      <c r="AT20">
        <f>ABS(K20)/$B$4</f>
        <v>0</v>
      </c>
      <c r="AU20">
        <f t="shared" ca="1" si="40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41"/>
        <v>0</v>
      </c>
      <c r="BB20">
        <f t="shared" ca="1" si="42"/>
        <v>0</v>
      </c>
      <c r="BC20">
        <f t="shared" si="43"/>
        <v>0</v>
      </c>
      <c r="BE20">
        <f t="shared" si="7"/>
        <v>0</v>
      </c>
      <c r="BF20">
        <f t="shared" si="44"/>
        <v>0</v>
      </c>
      <c r="BG20">
        <f t="shared" si="45"/>
        <v>0</v>
      </c>
      <c r="BH20">
        <f t="shared" si="8"/>
        <v>8.5452658589382002E-2</v>
      </c>
      <c r="BI20">
        <f t="shared" si="9"/>
        <v>0</v>
      </c>
      <c r="BJ20">
        <f t="shared" si="10"/>
        <v>0</v>
      </c>
      <c r="BK20">
        <f t="shared" si="11"/>
        <v>0.14664977333230336</v>
      </c>
      <c r="BL20">
        <f t="shared" si="46"/>
        <v>0</v>
      </c>
      <c r="BM20">
        <f t="shared" si="12"/>
        <v>5.4889180609847842E-2</v>
      </c>
      <c r="BN20">
        <f t="shared" si="13"/>
        <v>0</v>
      </c>
      <c r="BO20">
        <f t="shared" si="14"/>
        <v>0</v>
      </c>
      <c r="BP20">
        <f t="shared" si="15"/>
        <v>0.16959534943547402</v>
      </c>
      <c r="BQ20">
        <f t="shared" si="16"/>
        <v>9.0182808177466836E-2</v>
      </c>
    </row>
    <row r="21" spans="1:69" x14ac:dyDescent="0.25">
      <c r="A21" s="1" t="s">
        <v>33</v>
      </c>
      <c r="B21">
        <f t="shared" ca="1" si="2"/>
        <v>2.1952413708772855</v>
      </c>
      <c r="C21" t="s">
        <v>493</v>
      </c>
      <c r="D21">
        <f t="shared" si="17"/>
        <v>50</v>
      </c>
      <c r="E21">
        <f t="shared" si="18"/>
        <v>752.71</v>
      </c>
      <c r="F21">
        <f t="shared" si="19"/>
        <v>1.89</v>
      </c>
      <c r="G21">
        <f t="shared" si="20"/>
        <v>17.73</v>
      </c>
      <c r="H21">
        <f t="shared" si="21"/>
        <v>1.1200000000000001</v>
      </c>
      <c r="I21">
        <f t="shared" si="22"/>
        <v>0.43</v>
      </c>
      <c r="J21">
        <f t="shared" si="23"/>
        <v>0</v>
      </c>
      <c r="K21">
        <f t="shared" si="24"/>
        <v>0</v>
      </c>
      <c r="L21">
        <f t="shared" si="3"/>
        <v>1</v>
      </c>
      <c r="M21">
        <f t="shared" si="0"/>
        <v>0</v>
      </c>
      <c r="N21">
        <f t="shared" si="1"/>
        <v>4</v>
      </c>
      <c r="O21">
        <f t="shared" si="4"/>
        <v>2</v>
      </c>
      <c r="P21">
        <f t="shared" si="5"/>
        <v>55</v>
      </c>
      <c r="Q21">
        <f t="shared" ca="1" si="25"/>
        <v>49.559039999999982</v>
      </c>
      <c r="R21">
        <f t="shared" ca="1" si="26"/>
        <v>16.842486999999998</v>
      </c>
      <c r="S21">
        <f t="shared" si="27"/>
        <v>56</v>
      </c>
      <c r="T21">
        <f t="shared" ca="1" si="28"/>
        <v>-33.816711000000055</v>
      </c>
      <c r="U21">
        <f t="shared" ca="1" si="29"/>
        <v>14.660932000000001</v>
      </c>
      <c r="V21">
        <f t="shared" si="30"/>
        <v>55</v>
      </c>
      <c r="W21">
        <f t="shared" ca="1" si="31"/>
        <v>45.349039999999945</v>
      </c>
      <c r="X21">
        <f t="shared" ca="1" si="32"/>
        <v>16.842486999999998</v>
      </c>
      <c r="Y21">
        <f>GetFollowingCarRow($B$45:$E$54,L21,$E$15,E21)</f>
        <v>51</v>
      </c>
      <c r="Z21">
        <f t="shared" ca="1" si="33"/>
        <v>-71.50782700000002</v>
      </c>
      <c r="AA21">
        <f t="shared" ca="1" si="34"/>
        <v>11.841449000000001</v>
      </c>
      <c r="AB21">
        <f t="shared" si="35"/>
        <v>0</v>
      </c>
      <c r="AC21">
        <f t="shared" si="36"/>
        <v>4.2100000000000364</v>
      </c>
      <c r="AD21">
        <f t="shared" si="37"/>
        <v>1.89</v>
      </c>
      <c r="AE21">
        <f t="shared" si="38"/>
        <v>-7.9569000000000685</v>
      </c>
      <c r="AF21">
        <f t="shared" si="39"/>
        <v>4.2100000000000364</v>
      </c>
      <c r="AG21">
        <f>GetSmallestNormalDistance($B$45:$E$54,AB21,AC21,AF21,$L$15,L21)</f>
        <v>1.8540650000000001</v>
      </c>
      <c r="AH21">
        <f t="shared" si="6"/>
        <v>0</v>
      </c>
      <c r="AI21">
        <f>IF(G21&lt;=0,1,0)</f>
        <v>0</v>
      </c>
      <c r="AJ21">
        <f>IF(G21&lt;0,1,0)</f>
        <v>0</v>
      </c>
      <c r="AK21">
        <f>MAX(($B$3-G21)/(G21 + 1),0) / $B$3</f>
        <v>8.7809654835091424E-3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0</v>
      </c>
      <c r="AO21">
        <f>ABS(H21)/$B$4</f>
        <v>0.14000000000000001</v>
      </c>
      <c r="AP21">
        <f>Logistic(I21/$B$5)</f>
        <v>2.6868531572538715E-2</v>
      </c>
      <c r="AQ21">
        <f>IF(I21&gt;$B$5,1,0)</f>
        <v>0</v>
      </c>
      <c r="AR21">
        <f>Logistic(ABS(F21-O21)/($B$6/2))</f>
        <v>2.7493069804709887E-2</v>
      </c>
      <c r="AS21">
        <f>IF(OR(F21&lt;M21,F21&gt;N21),1,0)</f>
        <v>0</v>
      </c>
      <c r="AT21">
        <f>ABS(K21)/$B$4</f>
        <v>0</v>
      </c>
      <c r="AU21">
        <f t="shared" ca="1" si="40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1"/>
        <v>0</v>
      </c>
      <c r="BB21">
        <f t="shared" ca="1" si="42"/>
        <v>0</v>
      </c>
      <c r="BC21">
        <f t="shared" si="43"/>
        <v>0</v>
      </c>
      <c r="BE21">
        <f t="shared" si="7"/>
        <v>0</v>
      </c>
      <c r="BF21">
        <f t="shared" si="44"/>
        <v>0</v>
      </c>
      <c r="BG21">
        <f t="shared" si="45"/>
        <v>0</v>
      </c>
      <c r="BH21">
        <f t="shared" si="8"/>
        <v>9.2897418719980154E-2</v>
      </c>
      <c r="BI21">
        <f t="shared" si="9"/>
        <v>0</v>
      </c>
      <c r="BJ21">
        <f t="shared" si="10"/>
        <v>0</v>
      </c>
      <c r="BK21">
        <f t="shared" si="11"/>
        <v>2.1487754809097251E-3</v>
      </c>
      <c r="BL21">
        <f t="shared" si="46"/>
        <v>0</v>
      </c>
      <c r="BM21">
        <f t="shared" si="12"/>
        <v>2.2615028748792137E-8</v>
      </c>
      <c r="BN21">
        <f t="shared" si="13"/>
        <v>0</v>
      </c>
      <c r="BO21">
        <f t="shared" si="14"/>
        <v>0</v>
      </c>
      <c r="BP21">
        <f t="shared" si="15"/>
        <v>6.9885890316428959E-2</v>
      </c>
      <c r="BQ21">
        <f t="shared" si="16"/>
        <v>9.8104193316425684E-2</v>
      </c>
    </row>
    <row r="22" spans="1:69" x14ac:dyDescent="0.25">
      <c r="A22" s="1" t="s">
        <v>11</v>
      </c>
      <c r="B22">
        <f t="shared" ca="1" si="2"/>
        <v>2.3232596119470901</v>
      </c>
      <c r="C22" t="s">
        <v>492</v>
      </c>
      <c r="D22">
        <f t="shared" si="17"/>
        <v>50</v>
      </c>
      <c r="E22">
        <f t="shared" si="18"/>
        <v>752.67</v>
      </c>
      <c r="F22">
        <f t="shared" si="19"/>
        <v>1.89</v>
      </c>
      <c r="G22">
        <f t="shared" si="20"/>
        <v>17.559999999999999</v>
      </c>
      <c r="H22">
        <f t="shared" si="21"/>
        <v>0</v>
      </c>
      <c r="I22">
        <f t="shared" si="22"/>
        <v>0.69</v>
      </c>
      <c r="J22">
        <f t="shared" si="23"/>
        <v>0</v>
      </c>
      <c r="K22">
        <f t="shared" si="24"/>
        <v>0</v>
      </c>
      <c r="L22">
        <f t="shared" si="3"/>
        <v>1</v>
      </c>
      <c r="M22">
        <f t="shared" si="0"/>
        <v>0</v>
      </c>
      <c r="N22">
        <f t="shared" si="1"/>
        <v>4</v>
      </c>
      <c r="O22">
        <f t="shared" si="4"/>
        <v>2</v>
      </c>
      <c r="P22">
        <f t="shared" si="5"/>
        <v>55</v>
      </c>
      <c r="Q22">
        <f t="shared" ca="1" si="25"/>
        <v>49.559039999999982</v>
      </c>
      <c r="R22">
        <f t="shared" ca="1" si="26"/>
        <v>16.842486999999998</v>
      </c>
      <c r="S22">
        <f t="shared" si="27"/>
        <v>56</v>
      </c>
      <c r="T22">
        <f t="shared" ca="1" si="28"/>
        <v>-33.816711000000055</v>
      </c>
      <c r="U22">
        <f t="shared" ca="1" si="29"/>
        <v>14.660932000000001</v>
      </c>
      <c r="V22">
        <f t="shared" si="30"/>
        <v>55</v>
      </c>
      <c r="W22">
        <f t="shared" ca="1" si="31"/>
        <v>45.389040000000023</v>
      </c>
      <c r="X22">
        <f t="shared" ca="1" si="32"/>
        <v>16.842486999999998</v>
      </c>
      <c r="Y22">
        <f>GetFollowingCarRow($B$45:$E$54,L22,$E$15,E22)</f>
        <v>51</v>
      </c>
      <c r="Z22">
        <f t="shared" ca="1" si="33"/>
        <v>-71.467826999999943</v>
      </c>
      <c r="AA22">
        <f t="shared" ca="1" si="34"/>
        <v>11.841449000000001</v>
      </c>
      <c r="AB22">
        <f t="shared" si="35"/>
        <v>0</v>
      </c>
      <c r="AC22">
        <f t="shared" si="36"/>
        <v>4.1699999999999591</v>
      </c>
      <c r="AD22">
        <f t="shared" si="37"/>
        <v>1.89</v>
      </c>
      <c r="AE22">
        <f t="shared" si="38"/>
        <v>-7.8812999999999223</v>
      </c>
      <c r="AF22">
        <f t="shared" si="39"/>
        <v>4.1699999999999591</v>
      </c>
      <c r="AG22">
        <f>GetSmallestNormalDistance($B$45:$E$54,AB22,AC22,AF22,$L$15,L22)</f>
        <v>1.8540650000000001</v>
      </c>
      <c r="AH22">
        <f t="shared" si="6"/>
        <v>0</v>
      </c>
      <c r="AI22">
        <f>IF(G22&lt;=0,1,0)</f>
        <v>0</v>
      </c>
      <c r="AJ22">
        <f>IF(G22&lt;0,1,0)</f>
        <v>0</v>
      </c>
      <c r="AK22">
        <f>MAX(($B$3-G22)/(G22 + 1),0) / $B$3</f>
        <v>9.2930384477883602E-3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4.3098285741868241E-2</v>
      </c>
      <c r="AQ22">
        <f>IF(I22&gt;$B$5,1,0)</f>
        <v>0</v>
      </c>
      <c r="AR22">
        <f>Logistic(ABS(F22-O22)/($B$6/2))</f>
        <v>2.7493069804709887E-2</v>
      </c>
      <c r="AS22">
        <f>IF(OR(F22&lt;M22,F22&gt;N22),1,0)</f>
        <v>0</v>
      </c>
      <c r="AT22">
        <f>ABS(K22)/$B$4</f>
        <v>0</v>
      </c>
      <c r="AU22">
        <f t="shared" ca="1" si="40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1"/>
        <v>0</v>
      </c>
      <c r="BB22">
        <f t="shared" ca="1" si="42"/>
        <v>0</v>
      </c>
      <c r="BC22">
        <f t="shared" si="43"/>
        <v>0</v>
      </c>
      <c r="BE22">
        <f t="shared" si="7"/>
        <v>0</v>
      </c>
      <c r="BF22">
        <f t="shared" si="44"/>
        <v>0</v>
      </c>
      <c r="BG22">
        <f t="shared" si="45"/>
        <v>0</v>
      </c>
      <c r="BH22">
        <f t="shared" si="8"/>
        <v>9.8280855545824414E-2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6"/>
        <v>0</v>
      </c>
      <c r="BM22">
        <f t="shared" si="12"/>
        <v>2.5060869846333445E-5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0.10383847941327212</v>
      </c>
    </row>
    <row r="23" spans="1:69" x14ac:dyDescent="0.25">
      <c r="A23" s="1" t="s">
        <v>34</v>
      </c>
      <c r="B23">
        <f t="shared" ca="1" si="2"/>
        <v>123.9434841582907</v>
      </c>
      <c r="C23" t="s">
        <v>491</v>
      </c>
      <c r="D23">
        <f t="shared" si="17"/>
        <v>117</v>
      </c>
      <c r="E23">
        <f t="shared" si="18"/>
        <v>779.22</v>
      </c>
      <c r="F23">
        <f t="shared" si="19"/>
        <v>5.04</v>
      </c>
      <c r="G23">
        <f t="shared" si="20"/>
        <v>20.87</v>
      </c>
      <c r="H23">
        <f t="shared" si="21"/>
        <v>1.04</v>
      </c>
      <c r="I23">
        <f t="shared" si="22"/>
        <v>0.35</v>
      </c>
      <c r="J23">
        <f t="shared" si="23"/>
        <v>-2.4900000000000002</v>
      </c>
      <c r="K23">
        <f t="shared" si="24"/>
        <v>0.79</v>
      </c>
      <c r="L23">
        <f t="shared" si="3"/>
        <v>2</v>
      </c>
      <c r="M23">
        <f t="shared" si="0"/>
        <v>4</v>
      </c>
      <c r="N23">
        <f t="shared" si="1"/>
        <v>8</v>
      </c>
      <c r="O23">
        <f t="shared" si="4"/>
        <v>6</v>
      </c>
      <c r="P23">
        <f t="shared" si="5"/>
        <v>46</v>
      </c>
      <c r="Q23">
        <f t="shared" ca="1" si="25"/>
        <v>16.17190400000004</v>
      </c>
      <c r="R23">
        <f t="shared" ca="1" si="26"/>
        <v>15.846491</v>
      </c>
      <c r="S23">
        <f t="shared" si="27"/>
        <v>47</v>
      </c>
      <c r="T23">
        <f t="shared" ca="1" si="28"/>
        <v>-18.680706999999984</v>
      </c>
      <c r="U23">
        <f t="shared" ca="1" si="29"/>
        <v>19.727557000000001</v>
      </c>
      <c r="V23" t="e">
        <f t="shared" si="30"/>
        <v>#VALUE!</v>
      </c>
      <c r="W23">
        <f t="shared" ca="1" si="31"/>
        <v>1000000000</v>
      </c>
      <c r="X23">
        <f t="shared" ca="1" si="32"/>
        <v>100</v>
      </c>
      <c r="Y23">
        <f>GetFollowingCarRow($B$45:$E$54,L23,$E$15,E23)</f>
        <v>46</v>
      </c>
      <c r="Z23">
        <f t="shared" ca="1" si="33"/>
        <v>-14.548095999999987</v>
      </c>
      <c r="AA23">
        <f t="shared" ca="1" si="34"/>
        <v>15.846491</v>
      </c>
      <c r="AB23">
        <f t="shared" si="35"/>
        <v>-3.1500000000000004</v>
      </c>
      <c r="AC23">
        <f t="shared" si="36"/>
        <v>30.720000000000027</v>
      </c>
      <c r="AD23">
        <f t="shared" si="37"/>
        <v>-74.860488281249943</v>
      </c>
      <c r="AE23">
        <f t="shared" si="38"/>
        <v>2299.7142000000003</v>
      </c>
      <c r="AF23">
        <f t="shared" si="39"/>
        <v>30.881076729932875</v>
      </c>
      <c r="AG23">
        <f>GetSmallestNormalDistance($B$45:$E$54,AB23,AC23,AF23,$L$15,L23)</f>
        <v>64.115902880122931</v>
      </c>
      <c r="AH23">
        <f t="shared" si="6"/>
        <v>0.58497988288072877</v>
      </c>
      <c r="AI23">
        <f>IF(G23&lt;=0,1,0)</f>
        <v>0</v>
      </c>
      <c r="AJ23">
        <f>IF(G23&lt;0,1,0)</f>
        <v>0</v>
      </c>
      <c r="AK23">
        <f>MAX(($B$3-G23)/(G23 + 1),0) / $B$3</f>
        <v>7.541780385940869E-4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0.13</v>
      </c>
      <c r="AP23">
        <f>Logistic(I23/$B$5)</f>
        <v>2.1871511491288558E-2</v>
      </c>
      <c r="AQ23">
        <f>IF(I23&gt;$B$5,1,0)</f>
        <v>0</v>
      </c>
      <c r="AR23">
        <f>Logistic(ABS(F23-O23)/($B$6/2))</f>
        <v>0.23549574953849797</v>
      </c>
      <c r="AS23">
        <f>IF(OR(F23&lt;M23,F23&gt;N23),1,0)</f>
        <v>0</v>
      </c>
      <c r="AT23">
        <f>ABS(K23)/$B$4</f>
        <v>9.8750000000000004E-2</v>
      </c>
      <c r="AU23">
        <f t="shared" ca="1" si="40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0.67807554440531437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1"/>
        <v>0</v>
      </c>
      <c r="BB23">
        <f t="shared" ca="1" si="42"/>
        <v>0</v>
      </c>
      <c r="BC23">
        <f t="shared" si="43"/>
        <v>1</v>
      </c>
      <c r="BE23">
        <f t="shared" si="7"/>
        <v>0.58497988288072877</v>
      </c>
      <c r="BF23">
        <f t="shared" si="44"/>
        <v>0</v>
      </c>
      <c r="BG23">
        <f t="shared" si="45"/>
        <v>0</v>
      </c>
      <c r="BH23">
        <f t="shared" si="8"/>
        <v>8.0016582101084515E-3</v>
      </c>
      <c r="BI23">
        <f t="shared" si="9"/>
        <v>0</v>
      </c>
      <c r="BJ23">
        <f t="shared" si="10"/>
        <v>0</v>
      </c>
      <c r="BK23">
        <f t="shared" si="11"/>
        <v>1.2404169668409695E-3</v>
      </c>
      <c r="BL23">
        <f t="shared" si="46"/>
        <v>0</v>
      </c>
      <c r="BM23">
        <f t="shared" si="12"/>
        <v>3.2178327463103941E-10</v>
      </c>
      <c r="BN23">
        <f t="shared" si="13"/>
        <v>0</v>
      </c>
      <c r="BO23">
        <f t="shared" si="14"/>
        <v>9.8750000000000004E-2</v>
      </c>
      <c r="BP23">
        <f t="shared" si="15"/>
        <v>6.4908612774637511E-2</v>
      </c>
      <c r="BQ23">
        <f t="shared" si="16"/>
        <v>8.3850454511505412E-3</v>
      </c>
    </row>
    <row r="24" spans="1:69" x14ac:dyDescent="0.25">
      <c r="A24" s="1" t="s">
        <v>35</v>
      </c>
      <c r="B24">
        <f t="shared" ca="1" si="2"/>
        <v>130.49199027502183</v>
      </c>
      <c r="C24" t="s">
        <v>490</v>
      </c>
      <c r="D24">
        <f t="shared" si="17"/>
        <v>108</v>
      </c>
      <c r="E24">
        <f t="shared" si="18"/>
        <v>772.76</v>
      </c>
      <c r="F24">
        <f t="shared" si="19"/>
        <v>5.04</v>
      </c>
      <c r="G24">
        <f t="shared" si="20"/>
        <v>16.670000000000002</v>
      </c>
      <c r="H24">
        <f t="shared" si="21"/>
        <v>-0.32</v>
      </c>
      <c r="I24">
        <f t="shared" si="22"/>
        <v>1.01</v>
      </c>
      <c r="J24">
        <f t="shared" si="23"/>
        <v>-2.66</v>
      </c>
      <c r="K24">
        <f t="shared" si="24"/>
        <v>1.41</v>
      </c>
      <c r="L24">
        <f t="shared" si="3"/>
        <v>2</v>
      </c>
      <c r="M24">
        <f t="shared" si="0"/>
        <v>4</v>
      </c>
      <c r="N24">
        <f t="shared" si="1"/>
        <v>8</v>
      </c>
      <c r="O24">
        <f t="shared" si="4"/>
        <v>6</v>
      </c>
      <c r="P24">
        <f t="shared" si="5"/>
        <v>46</v>
      </c>
      <c r="Q24">
        <f t="shared" ca="1" si="25"/>
        <v>16.17190400000004</v>
      </c>
      <c r="R24">
        <f t="shared" ca="1" si="26"/>
        <v>15.846491</v>
      </c>
      <c r="S24">
        <f t="shared" si="27"/>
        <v>47</v>
      </c>
      <c r="T24">
        <f t="shared" ca="1" si="28"/>
        <v>-18.680706999999984</v>
      </c>
      <c r="U24">
        <f t="shared" ca="1" si="29"/>
        <v>19.727557000000001</v>
      </c>
      <c r="V24" t="e">
        <f t="shared" si="30"/>
        <v>#VALUE!</v>
      </c>
      <c r="W24">
        <f t="shared" ca="1" si="31"/>
        <v>1000000000</v>
      </c>
      <c r="X24">
        <f t="shared" ca="1" si="32"/>
        <v>100</v>
      </c>
      <c r="Y24">
        <f>GetFollowingCarRow($B$45:$E$54,L24,$E$15,E24)</f>
        <v>46</v>
      </c>
      <c r="Z24">
        <f t="shared" ca="1" si="33"/>
        <v>-8.0880959999999504</v>
      </c>
      <c r="AA24">
        <f t="shared" ca="1" si="34"/>
        <v>15.846491</v>
      </c>
      <c r="AB24">
        <f t="shared" si="35"/>
        <v>-3.1500000000000004</v>
      </c>
      <c r="AC24">
        <f t="shared" si="36"/>
        <v>24.259999999999991</v>
      </c>
      <c r="AD24">
        <f t="shared" si="37"/>
        <v>-95.297757625721403</v>
      </c>
      <c r="AE24">
        <f t="shared" si="38"/>
        <v>2311.9236000000005</v>
      </c>
      <c r="AF24">
        <f t="shared" si="39"/>
        <v>24.463648542275937</v>
      </c>
      <c r="AG24">
        <f>GetSmallestNormalDistance($B$45:$E$54,AB24,AC24,AF24,$L$15,L24)</f>
        <v>81.424705432131049</v>
      </c>
      <c r="AH24">
        <f t="shared" si="6"/>
        <v>0.52266542968582086</v>
      </c>
      <c r="AI24">
        <f>IF(G24&lt;=0,1,0)</f>
        <v>0</v>
      </c>
      <c r="AJ24">
        <f>IF(G24&lt;0,1,0)</f>
        <v>0</v>
      </c>
      <c r="AK24">
        <f>MAX(($B$3-G24)/(G24 + 1),0) / $B$3</f>
        <v>1.2134711836597964E-2</v>
      </c>
      <c r="AL24">
        <f>IF(H24+ABS(K24)&lt;0,Logistic(SQRT(H24^2+K24^2)/$B$4),0)</f>
        <v>0</v>
      </c>
      <c r="AM24">
        <f>IF(G24&gt;$B$3,1,0)</f>
        <v>0</v>
      </c>
      <c r="AN24">
        <f>IF(H24&gt;$B$4,1,0)</f>
        <v>0</v>
      </c>
      <c r="AO24">
        <f>ABS(H24)/$B$4</f>
        <v>0.04</v>
      </c>
      <c r="AP24">
        <f>Logistic(I24/$B$5)</f>
        <v>6.3041287317610231E-2</v>
      </c>
      <c r="AQ24">
        <f>IF(I24&gt;$B$5,1,0)</f>
        <v>0</v>
      </c>
      <c r="AR24">
        <f>Logistic(ABS(F24-O24)/($B$6/2))</f>
        <v>0.23549574953849797</v>
      </c>
      <c r="AS24">
        <f>IF(OR(F24&lt;M24,F24&gt;N24),1,0)</f>
        <v>0</v>
      </c>
      <c r="AT24">
        <f>ABS(K24)/$B$4</f>
        <v>0.17624999999999999</v>
      </c>
      <c r="AU24">
        <f t="shared" ca="1" si="40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0.38903160268148762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1"/>
        <v>0</v>
      </c>
      <c r="BB24">
        <f t="shared" ca="1" si="42"/>
        <v>0</v>
      </c>
      <c r="BC24">
        <f t="shared" si="43"/>
        <v>1</v>
      </c>
      <c r="BE24">
        <f t="shared" si="7"/>
        <v>0.52266542968582086</v>
      </c>
      <c r="BF24">
        <f t="shared" si="44"/>
        <v>0</v>
      </c>
      <c r="BG24">
        <f t="shared" si="45"/>
        <v>0</v>
      </c>
      <c r="BH24">
        <f t="shared" si="8"/>
        <v>0.12804257903686081</v>
      </c>
      <c r="BI24">
        <f t="shared" si="9"/>
        <v>0</v>
      </c>
      <c r="BJ24">
        <f t="shared" si="10"/>
        <v>0</v>
      </c>
      <c r="BK24">
        <f t="shared" si="11"/>
        <v>3.7751345442790977E-11</v>
      </c>
      <c r="BL24">
        <f t="shared" si="46"/>
        <v>0</v>
      </c>
      <c r="BM24">
        <f t="shared" si="12"/>
        <v>9.8704781076962571E-4</v>
      </c>
      <c r="BN24">
        <f t="shared" si="13"/>
        <v>0</v>
      </c>
      <c r="BO24">
        <f t="shared" si="14"/>
        <v>0.17624999999999999</v>
      </c>
      <c r="BP24">
        <f t="shared" si="15"/>
        <v>1.9997333759930947E-2</v>
      </c>
      <c r="BQ24">
        <f t="shared" si="16"/>
        <v>0.13563171132452445</v>
      </c>
    </row>
    <row r="25" spans="1:69" x14ac:dyDescent="0.25">
      <c r="A25" s="1" t="s">
        <v>36</v>
      </c>
      <c r="B25">
        <f t="shared" ca="1" si="2"/>
        <v>308.86780721783418</v>
      </c>
      <c r="C25" t="s">
        <v>489</v>
      </c>
      <c r="D25">
        <f t="shared" si="17"/>
        <v>137</v>
      </c>
      <c r="E25">
        <f t="shared" si="18"/>
        <v>750.07</v>
      </c>
      <c r="F25">
        <f t="shared" si="19"/>
        <v>1.94</v>
      </c>
      <c r="G25">
        <f t="shared" si="20"/>
        <v>-15.78</v>
      </c>
      <c r="H25">
        <f t="shared" si="21"/>
        <v>-8.3800000000000008</v>
      </c>
      <c r="I25">
        <f t="shared" si="22"/>
        <v>9.07</v>
      </c>
      <c r="J25">
        <f t="shared" si="23"/>
        <v>1.03</v>
      </c>
      <c r="K25">
        <f t="shared" si="24"/>
        <v>3.17</v>
      </c>
      <c r="L25">
        <f t="shared" si="3"/>
        <v>2</v>
      </c>
      <c r="M25">
        <f t="shared" si="0"/>
        <v>4</v>
      </c>
      <c r="N25">
        <f t="shared" si="1"/>
        <v>8</v>
      </c>
      <c r="O25">
        <f t="shared" si="4"/>
        <v>6</v>
      </c>
      <c r="P25">
        <f t="shared" si="5"/>
        <v>46</v>
      </c>
      <c r="Q25">
        <f t="shared" ca="1" si="25"/>
        <v>16.17190400000004</v>
      </c>
      <c r="R25">
        <f t="shared" ca="1" si="26"/>
        <v>15.846491</v>
      </c>
      <c r="S25">
        <f t="shared" si="27"/>
        <v>47</v>
      </c>
      <c r="T25">
        <f t="shared" ca="1" si="28"/>
        <v>-18.680706999999984</v>
      </c>
      <c r="U25">
        <f t="shared" ca="1" si="29"/>
        <v>19.727557000000001</v>
      </c>
      <c r="V25">
        <f t="shared" si="30"/>
        <v>46</v>
      </c>
      <c r="W25">
        <f t="shared" ca="1" si="31"/>
        <v>14.60190399999999</v>
      </c>
      <c r="X25">
        <f t="shared" ca="1" si="32"/>
        <v>15.846491</v>
      </c>
      <c r="Y25">
        <f>GetFollowingCarRow($B$45:$E$54,L25,$E$15,E25)</f>
        <v>47</v>
      </c>
      <c r="Z25">
        <f t="shared" ca="1" si="33"/>
        <v>-20.250707000000034</v>
      </c>
      <c r="AA25">
        <f t="shared" ca="1" si="34"/>
        <v>19.727557000000001</v>
      </c>
      <c r="AB25">
        <f t="shared" si="35"/>
        <v>-5.0000000000000044E-2</v>
      </c>
      <c r="AC25">
        <f t="shared" si="36"/>
        <v>1.57000000000005</v>
      </c>
      <c r="AD25">
        <f t="shared" si="37"/>
        <v>-21.947579617833657</v>
      </c>
      <c r="AE25">
        <f t="shared" si="38"/>
        <v>34.457699999999939</v>
      </c>
      <c r="AF25">
        <f t="shared" si="39"/>
        <v>1.5707959765673443</v>
      </c>
      <c r="AG25">
        <f>GetSmallestNormalDistance($B$45:$E$54,AB25,AC25,AF25,$L$15,L25)</f>
        <v>17.261763077120573</v>
      </c>
      <c r="AH25">
        <f t="shared" si="6"/>
        <v>0.70137413093831247</v>
      </c>
      <c r="AI25">
        <f>IF(G25&lt;=0,1,0)</f>
        <v>1</v>
      </c>
      <c r="AJ25">
        <f>IF(G25&lt;0,1,0)</f>
        <v>1</v>
      </c>
      <c r="AK25">
        <f>MAX(($B$3-G25)/(G25 + 1),0) / $B$3</f>
        <v>0</v>
      </c>
      <c r="AL25">
        <f>IF(H25+ABS(K25)&lt;0,Logistic(SQRT(H25^2+K25^2)/$B$4),0)</f>
        <v>0.50795595372365365</v>
      </c>
      <c r="AM25">
        <f>IF(G25&gt;$B$3,1,0)</f>
        <v>0</v>
      </c>
      <c r="AN25">
        <f>IF(H25&gt;$B$4,1,0)</f>
        <v>0</v>
      </c>
      <c r="AO25">
        <f>ABS(H25)/$B$4</f>
        <v>1.0475000000000001</v>
      </c>
      <c r="AP25">
        <f>Logistic(I25/$B$5)</f>
        <v>0.51306056837797531</v>
      </c>
      <c r="AQ25">
        <f>IF(I25&gt;$B$5,1,0)</f>
        <v>1</v>
      </c>
      <c r="AR25">
        <f>Logistic(ABS(F25-O25)/($B$6/2))</f>
        <v>0.76782215586201041</v>
      </c>
      <c r="AS25">
        <f>IF(OR(F25&lt;M25,F25&gt;N25),1,0)</f>
        <v>1</v>
      </c>
      <c r="AT25">
        <f>ABS(K25)/$B$4</f>
        <v>0.39624999999999999</v>
      </c>
      <c r="AU25">
        <f t="shared" ca="1" si="40"/>
        <v>3.2897899299128321E-2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0.94738948951064139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0.94296789553840599</v>
      </c>
      <c r="BA25">
        <f t="shared" ca="1" si="41"/>
        <v>0</v>
      </c>
      <c r="BB25">
        <f t="shared" ca="1" si="42"/>
        <v>0</v>
      </c>
      <c r="BC25">
        <f t="shared" si="43"/>
        <v>0</v>
      </c>
      <c r="BE25">
        <f t="shared" si="7"/>
        <v>0.70137413093831247</v>
      </c>
      <c r="BF25">
        <f t="shared" si="44"/>
        <v>1</v>
      </c>
      <c r="BG25">
        <f t="shared" si="45"/>
        <v>1</v>
      </c>
      <c r="BH25">
        <f t="shared" si="8"/>
        <v>-0.84875727463711947</v>
      </c>
      <c r="BI25">
        <f t="shared" si="9"/>
        <v>0</v>
      </c>
      <c r="BJ25">
        <f t="shared" si="10"/>
        <v>0</v>
      </c>
      <c r="BK25">
        <f t="shared" si="11"/>
        <v>1.0463899130997174</v>
      </c>
      <c r="BL25">
        <f t="shared" si="46"/>
        <v>1</v>
      </c>
      <c r="BM25">
        <f t="shared" si="12"/>
        <v>1.1252118556588866</v>
      </c>
      <c r="BN25">
        <f t="shared" si="13"/>
        <v>0.51500000000000001</v>
      </c>
      <c r="BO25">
        <f t="shared" si="14"/>
        <v>0.39624999999999999</v>
      </c>
      <c r="BP25">
        <f t="shared" si="15"/>
        <v>0.48058908333490036</v>
      </c>
      <c r="BQ25">
        <f t="shared" si="16"/>
        <v>-0.82503047960374143</v>
      </c>
    </row>
    <row r="26" spans="1:69" x14ac:dyDescent="0.25">
      <c r="A26" s="1" t="s">
        <v>79</v>
      </c>
      <c r="B26">
        <f t="shared" ca="1" si="2"/>
        <v>134.1675337221302</v>
      </c>
      <c r="C26" t="s">
        <v>488</v>
      </c>
      <c r="D26">
        <f t="shared" si="17"/>
        <v>130</v>
      </c>
      <c r="E26">
        <f t="shared" si="18"/>
        <v>778.95</v>
      </c>
      <c r="F26">
        <f t="shared" si="19"/>
        <v>5.01</v>
      </c>
      <c r="G26">
        <f t="shared" si="20"/>
        <v>15.24</v>
      </c>
      <c r="H26">
        <f t="shared" si="21"/>
        <v>-0.63</v>
      </c>
      <c r="I26">
        <f t="shared" si="22"/>
        <v>1.32</v>
      </c>
      <c r="J26">
        <f t="shared" si="23"/>
        <v>-1.83</v>
      </c>
      <c r="K26">
        <f t="shared" si="24"/>
        <v>0.79</v>
      </c>
      <c r="L26">
        <f t="shared" si="3"/>
        <v>2</v>
      </c>
      <c r="M26">
        <f t="shared" si="0"/>
        <v>4</v>
      </c>
      <c r="N26">
        <f t="shared" si="1"/>
        <v>8</v>
      </c>
      <c r="O26">
        <f t="shared" si="4"/>
        <v>6</v>
      </c>
      <c r="P26">
        <f t="shared" si="5"/>
        <v>46</v>
      </c>
      <c r="Q26">
        <f t="shared" ca="1" si="25"/>
        <v>16.17190400000004</v>
      </c>
      <c r="R26">
        <f t="shared" ca="1" si="26"/>
        <v>15.846491</v>
      </c>
      <c r="S26">
        <f t="shared" si="27"/>
        <v>47</v>
      </c>
      <c r="T26">
        <f t="shared" ca="1" si="28"/>
        <v>-18.680706999999984</v>
      </c>
      <c r="U26">
        <f t="shared" ca="1" si="29"/>
        <v>19.727557000000001</v>
      </c>
      <c r="V26" t="e">
        <f t="shared" si="30"/>
        <v>#VALUE!</v>
      </c>
      <c r="W26">
        <f t="shared" ca="1" si="31"/>
        <v>1000000000</v>
      </c>
      <c r="X26">
        <f t="shared" ca="1" si="32"/>
        <v>100</v>
      </c>
      <c r="Y26">
        <f>GetFollowingCarRow($B$45:$E$54,L26,$E$15,E26)</f>
        <v>46</v>
      </c>
      <c r="Z26">
        <f t="shared" ca="1" si="33"/>
        <v>-14.278096000000005</v>
      </c>
      <c r="AA26">
        <f t="shared" ca="1" si="34"/>
        <v>15.846491</v>
      </c>
      <c r="AB26">
        <f t="shared" si="35"/>
        <v>-3.12</v>
      </c>
      <c r="AC26">
        <f t="shared" si="36"/>
        <v>30.450000000000045</v>
      </c>
      <c r="AD26">
        <f t="shared" si="37"/>
        <v>-74.80359605911319</v>
      </c>
      <c r="AE26">
        <f t="shared" si="38"/>
        <v>2277.7694999999999</v>
      </c>
      <c r="AF26">
        <f t="shared" si="39"/>
        <v>30.609425019101597</v>
      </c>
      <c r="AG26">
        <f>GetSmallestNormalDistance($B$45:$E$54,AB26,AC26,AF26,$L$15,L26)</f>
        <v>64.06750297093815</v>
      </c>
      <c r="AH26">
        <f t="shared" si="6"/>
        <v>0.66403677026784902</v>
      </c>
      <c r="AI26">
        <f>IF(G26&lt;=0,1,0)</f>
        <v>0</v>
      </c>
      <c r="AJ26">
        <f>IF(G26&lt;0,1,0)</f>
        <v>0</v>
      </c>
      <c r="AK26">
        <f>MAX(($B$3-G26)/(G26 + 1),0) / $B$3</f>
        <v>1.7352808717493947E-2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7.8750000000000001E-2</v>
      </c>
      <c r="AP26">
        <f>Logistic(I26/$B$5)</f>
        <v>8.2313336300456105E-2</v>
      </c>
      <c r="AQ26">
        <f>IF(I26&gt;$B$5,1,0)</f>
        <v>0</v>
      </c>
      <c r="AR26">
        <f>Logistic(ABS(F26-O26)/($B$6/2))</f>
        <v>0.2425671903821357</v>
      </c>
      <c r="AS26">
        <f>IF(OR(F26&lt;M26,F26&gt;N26),1,0)</f>
        <v>0</v>
      </c>
      <c r="AT26">
        <f>ABS(K26)/$B$4</f>
        <v>9.8750000000000004E-2</v>
      </c>
      <c r="AU26">
        <f t="shared" ca="1" si="40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0.5837221231953158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1"/>
        <v>0</v>
      </c>
      <c r="BB26">
        <f t="shared" ca="1" si="42"/>
        <v>0</v>
      </c>
      <c r="BC26">
        <f t="shared" si="43"/>
        <v>1</v>
      </c>
      <c r="BE26">
        <f t="shared" si="7"/>
        <v>0.66403677026784902</v>
      </c>
      <c r="BF26">
        <f t="shared" si="44"/>
        <v>0</v>
      </c>
      <c r="BG26">
        <f t="shared" si="45"/>
        <v>0</v>
      </c>
      <c r="BH26">
        <f t="shared" si="8"/>
        <v>0.18206078661572508</v>
      </c>
      <c r="BI26">
        <f t="shared" si="9"/>
        <v>0</v>
      </c>
      <c r="BJ26">
        <f t="shared" si="10"/>
        <v>0</v>
      </c>
      <c r="BK26">
        <f t="shared" si="11"/>
        <v>8.3069944068542739E-6</v>
      </c>
      <c r="BL26">
        <f t="shared" si="46"/>
        <v>0</v>
      </c>
      <c r="BM26">
        <f t="shared" si="12"/>
        <v>6.3417148844215421E-3</v>
      </c>
      <c r="BN26">
        <f t="shared" si="13"/>
        <v>0</v>
      </c>
      <c r="BO26">
        <f t="shared" si="14"/>
        <v>9.8750000000000004E-2</v>
      </c>
      <c r="BP26">
        <f t="shared" si="15"/>
        <v>3.9354663734615832E-2</v>
      </c>
      <c r="BQ26">
        <f t="shared" si="16"/>
        <v>0.19371507578074137</v>
      </c>
    </row>
    <row r="27" spans="1:69" x14ac:dyDescent="0.25">
      <c r="A27" s="1" t="s">
        <v>80</v>
      </c>
      <c r="B27">
        <f t="shared" ca="1" si="2"/>
        <v>142.03537992323598</v>
      </c>
      <c r="C27" t="s">
        <v>487</v>
      </c>
      <c r="D27">
        <f t="shared" si="17"/>
        <v>122</v>
      </c>
      <c r="E27">
        <f t="shared" si="18"/>
        <v>772.57</v>
      </c>
      <c r="F27">
        <f t="shared" si="19"/>
        <v>5.01</v>
      </c>
      <c r="G27">
        <f t="shared" si="20"/>
        <v>10.86</v>
      </c>
      <c r="H27">
        <f t="shared" si="21"/>
        <v>-1.98</v>
      </c>
      <c r="I27">
        <f t="shared" si="22"/>
        <v>2.68</v>
      </c>
      <c r="J27">
        <f t="shared" si="23"/>
        <v>-1.74</v>
      </c>
      <c r="K27">
        <f t="shared" si="24"/>
        <v>1.41</v>
      </c>
      <c r="L27">
        <f t="shared" si="3"/>
        <v>2</v>
      </c>
      <c r="M27">
        <f t="shared" si="0"/>
        <v>4</v>
      </c>
      <c r="N27">
        <f t="shared" si="1"/>
        <v>8</v>
      </c>
      <c r="O27">
        <f t="shared" si="4"/>
        <v>6</v>
      </c>
      <c r="P27">
        <f t="shared" si="5"/>
        <v>46</v>
      </c>
      <c r="Q27">
        <f t="shared" ca="1" si="25"/>
        <v>16.17190400000004</v>
      </c>
      <c r="R27">
        <f t="shared" ca="1" si="26"/>
        <v>15.846491</v>
      </c>
      <c r="S27">
        <f t="shared" si="27"/>
        <v>47</v>
      </c>
      <c r="T27">
        <f t="shared" ca="1" si="28"/>
        <v>-18.680706999999984</v>
      </c>
      <c r="U27">
        <f t="shared" ca="1" si="29"/>
        <v>19.727557000000001</v>
      </c>
      <c r="V27" t="e">
        <f t="shared" si="30"/>
        <v>#VALUE!</v>
      </c>
      <c r="W27">
        <f t="shared" ca="1" si="31"/>
        <v>1000000000</v>
      </c>
      <c r="X27">
        <f t="shared" ca="1" si="32"/>
        <v>100</v>
      </c>
      <c r="Y27">
        <f>GetFollowingCarRow($B$45:$E$54,L27,$E$15,E27)</f>
        <v>46</v>
      </c>
      <c r="Z27">
        <f t="shared" ca="1" si="33"/>
        <v>-7.8980960000000096</v>
      </c>
      <c r="AA27">
        <f t="shared" ca="1" si="34"/>
        <v>15.846491</v>
      </c>
      <c r="AB27">
        <f t="shared" si="35"/>
        <v>-3.12</v>
      </c>
      <c r="AC27">
        <f t="shared" si="36"/>
        <v>24.07000000000005</v>
      </c>
      <c r="AD27">
        <f t="shared" si="37"/>
        <v>-95.132019110926265</v>
      </c>
      <c r="AE27">
        <f t="shared" si="38"/>
        <v>2289.8276999999998</v>
      </c>
      <c r="AF27">
        <f t="shared" si="39"/>
        <v>24.271367905414859</v>
      </c>
      <c r="AG27">
        <f>GetSmallestNormalDistance($B$45:$E$54,AB27,AC27,AF27,$L$15,L27)</f>
        <v>81.285009181944517</v>
      </c>
      <c r="AH27">
        <f t="shared" si="6"/>
        <v>0.61690930287706502</v>
      </c>
      <c r="AI27">
        <f>IF(G27&lt;=0,1,0)</f>
        <v>0</v>
      </c>
      <c r="AJ27">
        <f>IF(G27&lt;0,1,0)</f>
        <v>0</v>
      </c>
      <c r="AK27">
        <f>MAX(($B$3-G27)/(G27 + 1),0) / $B$3</f>
        <v>4.1165148536253145E-2</v>
      </c>
      <c r="AL27">
        <f>IF(H27+ABS(K27)&lt;0,Logistic(SQRT(H27^2+K27^2)/$B$4),0)</f>
        <v>0.15076319455975107</v>
      </c>
      <c r="AM27">
        <f>IF(G27&gt;$B$3,1,0)</f>
        <v>0</v>
      </c>
      <c r="AN27">
        <f>IF(H27&gt;$B$4,1,0)</f>
        <v>0</v>
      </c>
      <c r="AO27">
        <f>ABS(H27)/$B$4</f>
        <v>0.2475</v>
      </c>
      <c r="AP27">
        <f>Logistic(I27/$B$5)</f>
        <v>0.16595090840239901</v>
      </c>
      <c r="AQ27">
        <f>IF(I27&gt;$B$5,1,0)</f>
        <v>0</v>
      </c>
      <c r="AR27">
        <f>Logistic(ABS(F27-O27)/($B$6/2))</f>
        <v>0.2425671903821357</v>
      </c>
      <c r="AS27">
        <f>IF(OR(F27&lt;M27,F27&gt;N27),1,0)</f>
        <v>0</v>
      </c>
      <c r="AT27">
        <f>ABS(K27)/$B$4</f>
        <v>0.17624999999999999</v>
      </c>
      <c r="AU27">
        <f t="shared" ca="1" si="40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0.78933648805415091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0.84161014228241848</v>
      </c>
      <c r="BA27">
        <f t="shared" ca="1" si="41"/>
        <v>0</v>
      </c>
      <c r="BB27">
        <f t="shared" ca="1" si="42"/>
        <v>0</v>
      </c>
      <c r="BC27">
        <f t="shared" si="43"/>
        <v>1</v>
      </c>
      <c r="BE27">
        <f t="shared" si="7"/>
        <v>0.61690930287706502</v>
      </c>
      <c r="BF27">
        <f t="shared" si="44"/>
        <v>0</v>
      </c>
      <c r="BG27">
        <f t="shared" si="45"/>
        <v>0</v>
      </c>
      <c r="BH27">
        <f t="shared" si="8"/>
        <v>0.41095706710068214</v>
      </c>
      <c r="BI27">
        <f t="shared" si="9"/>
        <v>0</v>
      </c>
      <c r="BJ27">
        <f t="shared" si="10"/>
        <v>0</v>
      </c>
      <c r="BK27">
        <f t="shared" si="11"/>
        <v>4.7815566170084631E-2</v>
      </c>
      <c r="BL27">
        <f t="shared" si="46"/>
        <v>0</v>
      </c>
      <c r="BM27">
        <f t="shared" si="12"/>
        <v>0.13737036221485707</v>
      </c>
      <c r="BN27">
        <f t="shared" si="13"/>
        <v>0</v>
      </c>
      <c r="BO27">
        <f t="shared" si="14"/>
        <v>0.17624999999999999</v>
      </c>
      <c r="BP27">
        <f t="shared" si="15"/>
        <v>0.12312214067239109</v>
      </c>
      <c r="BQ27">
        <f t="shared" si="16"/>
        <v>0.44382152946513487</v>
      </c>
    </row>
    <row r="28" spans="1:69" x14ac:dyDescent="0.25">
      <c r="A28" s="1" t="s">
        <v>81</v>
      </c>
      <c r="B28">
        <f t="shared" ca="1" si="2"/>
        <v>306.96511251293708</v>
      </c>
      <c r="C28" t="s">
        <v>486</v>
      </c>
      <c r="D28">
        <f t="shared" si="17"/>
        <v>137</v>
      </c>
      <c r="E28">
        <f t="shared" si="18"/>
        <v>743.39</v>
      </c>
      <c r="F28">
        <f t="shared" si="19"/>
        <v>1.9</v>
      </c>
      <c r="G28">
        <f t="shared" si="20"/>
        <v>-22.42</v>
      </c>
      <c r="H28">
        <f t="shared" si="21"/>
        <v>-10.050000000000001</v>
      </c>
      <c r="I28">
        <f t="shared" si="22"/>
        <v>10.74</v>
      </c>
      <c r="J28">
        <f t="shared" si="23"/>
        <v>-0.05</v>
      </c>
      <c r="K28">
        <f t="shared" si="24"/>
        <v>3.17</v>
      </c>
      <c r="L28">
        <f t="shared" si="3"/>
        <v>2</v>
      </c>
      <c r="M28">
        <f t="shared" si="0"/>
        <v>4</v>
      </c>
      <c r="N28">
        <f t="shared" si="1"/>
        <v>8</v>
      </c>
      <c r="O28">
        <f t="shared" si="4"/>
        <v>6</v>
      </c>
      <c r="P28">
        <f t="shared" si="5"/>
        <v>46</v>
      </c>
      <c r="Q28">
        <f t="shared" ca="1" si="25"/>
        <v>16.17190400000004</v>
      </c>
      <c r="R28">
        <f t="shared" ca="1" si="26"/>
        <v>15.846491</v>
      </c>
      <c r="S28">
        <f t="shared" si="27"/>
        <v>47</v>
      </c>
      <c r="T28">
        <f t="shared" ca="1" si="28"/>
        <v>-18.680706999999984</v>
      </c>
      <c r="U28">
        <f t="shared" ca="1" si="29"/>
        <v>19.727557000000001</v>
      </c>
      <c r="V28">
        <f t="shared" si="30"/>
        <v>46</v>
      </c>
      <c r="W28">
        <f t="shared" ca="1" si="31"/>
        <v>21.281904000000054</v>
      </c>
      <c r="X28">
        <f t="shared" ca="1" si="32"/>
        <v>15.846491</v>
      </c>
      <c r="Y28">
        <f>GetFollowingCarRow($B$45:$E$54,L28,$E$15,E28)</f>
        <v>47</v>
      </c>
      <c r="Z28">
        <f t="shared" ca="1" si="33"/>
        <v>-13.57070699999997</v>
      </c>
      <c r="AA28">
        <f t="shared" ca="1" si="34"/>
        <v>19.727557000000001</v>
      </c>
      <c r="AB28">
        <f t="shared" si="35"/>
        <v>-1.0000000000000009E-2</v>
      </c>
      <c r="AC28">
        <f t="shared" si="36"/>
        <v>-5.1100000000000136</v>
      </c>
      <c r="AD28">
        <f t="shared" si="37"/>
        <v>3.3547749510763181</v>
      </c>
      <c r="AE28">
        <f t="shared" si="38"/>
        <v>17.142900000000029</v>
      </c>
      <c r="AF28">
        <f t="shared" si="39"/>
        <v>5.1100097847264578</v>
      </c>
      <c r="AG28">
        <f>GetSmallestNormalDistance($B$45:$E$54,AB28,AC28,AF28,$L$15,L28)</f>
        <v>3.1195049269075614</v>
      </c>
      <c r="AH28">
        <f t="shared" si="6"/>
        <v>0.70137413093831247</v>
      </c>
      <c r="AI28">
        <f>IF(G28&lt;=0,1,0)</f>
        <v>1</v>
      </c>
      <c r="AJ28">
        <f>IF(G28&lt;0,1,0)</f>
        <v>1</v>
      </c>
      <c r="AK28">
        <f>MAX(($B$3-G28)/(G28 + 1),0) / $B$3</f>
        <v>0</v>
      </c>
      <c r="AL28">
        <f>IF(H28+ABS(K28)&lt;0,Logistic(SQRT(H28^2+K28^2)/$B$4),0)</f>
        <v>0.5774514949465841</v>
      </c>
      <c r="AM28">
        <f>IF(G28&gt;$B$3,1,0)</f>
        <v>0</v>
      </c>
      <c r="AN28">
        <f>IF(H28&gt;$B$4,1,0)</f>
        <v>0</v>
      </c>
      <c r="AO28">
        <f>ABS(H28)/$B$4</f>
        <v>1.2562500000000001</v>
      </c>
      <c r="AP28">
        <f>Logistic(I28/$B$5)</f>
        <v>0.58580152981490963</v>
      </c>
      <c r="AQ28">
        <f>IF(I28&gt;$B$5,1,0)</f>
        <v>1</v>
      </c>
      <c r="AR28">
        <f>Logistic(ABS(F28-O28)/($B$6/2))</f>
        <v>0.77189523744041821</v>
      </c>
      <c r="AS28">
        <f>IF(OR(F28&lt;M28,F28&gt;N28),1,0)</f>
        <v>1</v>
      </c>
      <c r="AT28">
        <f>ABS(K28)/$B$4</f>
        <v>0.39624999999999999</v>
      </c>
      <c r="AU28">
        <f t="shared" ca="1" si="40"/>
        <v>1.3042117047088861E-2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0.95567784154132596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0.96780191316901243</v>
      </c>
      <c r="BA28">
        <f t="shared" ca="1" si="41"/>
        <v>0</v>
      </c>
      <c r="BB28">
        <f t="shared" ca="1" si="42"/>
        <v>0</v>
      </c>
      <c r="BC28">
        <f t="shared" si="43"/>
        <v>0</v>
      </c>
      <c r="BE28">
        <f t="shared" si="7"/>
        <v>0.70137413093831247</v>
      </c>
      <c r="BF28">
        <f t="shared" si="44"/>
        <v>1</v>
      </c>
      <c r="BG28">
        <f t="shared" si="45"/>
        <v>1</v>
      </c>
      <c r="BH28">
        <f t="shared" si="8"/>
        <v>-0.76932595284092686</v>
      </c>
      <c r="BI28">
        <f t="shared" si="9"/>
        <v>0</v>
      </c>
      <c r="BJ28">
        <f t="shared" si="10"/>
        <v>0</v>
      </c>
      <c r="BK28">
        <f t="shared" si="11"/>
        <v>1.2262737497556819</v>
      </c>
      <c r="BL28">
        <f t="shared" si="46"/>
        <v>1</v>
      </c>
      <c r="BM28">
        <f t="shared" si="12"/>
        <v>1.2906178314540784</v>
      </c>
      <c r="BN28">
        <f t="shared" si="13"/>
        <v>0.52500000000000002</v>
      </c>
      <c r="BO28">
        <f t="shared" si="14"/>
        <v>0.39624999999999999</v>
      </c>
      <c r="BP28">
        <f t="shared" si="15"/>
        <v>0.55675978150470118</v>
      </c>
      <c r="BQ28">
        <f t="shared" si="16"/>
        <v>-0.75012383243345482</v>
      </c>
    </row>
    <row r="29" spans="1:69" x14ac:dyDescent="0.25">
      <c r="A29" s="1" t="s">
        <v>22</v>
      </c>
      <c r="B29">
        <f t="shared" ca="1" si="2"/>
        <v>129.68445583781255</v>
      </c>
      <c r="C29" t="s">
        <v>485</v>
      </c>
      <c r="D29">
        <f t="shared" si="17"/>
        <v>125</v>
      </c>
      <c r="E29">
        <f t="shared" si="18"/>
        <v>778.9</v>
      </c>
      <c r="F29">
        <f t="shared" si="19"/>
        <v>5</v>
      </c>
      <c r="G29">
        <f t="shared" si="20"/>
        <v>17.04</v>
      </c>
      <c r="H29">
        <f t="shared" si="21"/>
        <v>-0.15</v>
      </c>
      <c r="I29">
        <f t="shared" si="22"/>
        <v>0.84</v>
      </c>
      <c r="J29">
        <f t="shared" si="23"/>
        <v>-2.0499999999999998</v>
      </c>
      <c r="K29">
        <f t="shared" si="24"/>
        <v>0.79</v>
      </c>
      <c r="L29">
        <f t="shared" si="3"/>
        <v>2</v>
      </c>
      <c r="M29">
        <f t="shared" si="0"/>
        <v>4</v>
      </c>
      <c r="N29">
        <f t="shared" si="1"/>
        <v>8</v>
      </c>
      <c r="O29">
        <f t="shared" si="4"/>
        <v>6</v>
      </c>
      <c r="P29">
        <f t="shared" si="5"/>
        <v>46</v>
      </c>
      <c r="Q29">
        <f t="shared" ca="1" si="25"/>
        <v>16.17190400000004</v>
      </c>
      <c r="R29">
        <f t="shared" ca="1" si="26"/>
        <v>15.846491</v>
      </c>
      <c r="S29">
        <f t="shared" si="27"/>
        <v>47</v>
      </c>
      <c r="T29">
        <f t="shared" ca="1" si="28"/>
        <v>-18.680706999999984</v>
      </c>
      <c r="U29">
        <f t="shared" ca="1" si="29"/>
        <v>19.727557000000001</v>
      </c>
      <c r="V29" t="e">
        <f t="shared" si="30"/>
        <v>#VALUE!</v>
      </c>
      <c r="W29">
        <f t="shared" ca="1" si="31"/>
        <v>1000000000</v>
      </c>
      <c r="X29">
        <f t="shared" ca="1" si="32"/>
        <v>100</v>
      </c>
      <c r="Y29">
        <f>GetFollowingCarRow($B$45:$E$54,L29,$E$15,E29)</f>
        <v>46</v>
      </c>
      <c r="Z29">
        <f t="shared" ca="1" si="33"/>
        <v>-14.228095999999937</v>
      </c>
      <c r="AA29">
        <f t="shared" ca="1" si="34"/>
        <v>15.846491</v>
      </c>
      <c r="AB29">
        <f t="shared" si="35"/>
        <v>-3.1100000000000003</v>
      </c>
      <c r="AC29">
        <f t="shared" si="36"/>
        <v>30.399999999999977</v>
      </c>
      <c r="AD29">
        <f t="shared" si="37"/>
        <v>-74.683519736842172</v>
      </c>
      <c r="AE29">
        <f t="shared" si="38"/>
        <v>2270.3790000000004</v>
      </c>
      <c r="AF29">
        <f t="shared" si="39"/>
        <v>30.558666528498893</v>
      </c>
      <c r="AG29">
        <f>GetSmallestNormalDistance($B$45:$E$54,AB29,AC29,AF29,$L$15,L29)</f>
        <v>63.96534682647421</v>
      </c>
      <c r="AH29">
        <f t="shared" si="6"/>
        <v>0.6351489523872873</v>
      </c>
      <c r="AI29">
        <f>IF(G29&lt;=0,1,0)</f>
        <v>0</v>
      </c>
      <c r="AJ29">
        <f>IF(G29&lt;0,1,0)</f>
        <v>0</v>
      </c>
      <c r="AK29">
        <f>MAX(($B$3-G29)/(G29 + 1),0) / $B$3</f>
        <v>1.0919289211742258E-2</v>
      </c>
      <c r="AL29">
        <f>IF(H29+ABS(K29)&lt;0,Logistic(SQRT(H29^2+K29^2)/$B$4),0)</f>
        <v>0</v>
      </c>
      <c r="AM29">
        <f>IF(G29&gt;$B$3,1,0)</f>
        <v>0</v>
      </c>
      <c r="AN29">
        <f>IF(H29&gt;$B$4,1,0)</f>
        <v>0</v>
      </c>
      <c r="AO29">
        <f>ABS(H29)/$B$4</f>
        <v>1.8749999999999999E-2</v>
      </c>
      <c r="AP29">
        <f>Logistic(I29/$B$5)</f>
        <v>5.2451818744137478E-2</v>
      </c>
      <c r="AQ29">
        <f>IF(I29&gt;$B$5,1,0)</f>
        <v>0</v>
      </c>
      <c r="AR29">
        <f>Logistic(ABS(F29-O29)/($B$6/2))</f>
        <v>0.24491866240370913</v>
      </c>
      <c r="AS29">
        <f>IF(OR(F29&lt;M29,F29&gt;N29),1,0)</f>
        <v>0</v>
      </c>
      <c r="AT29">
        <f>ABS(K29)/$B$4</f>
        <v>9.8750000000000004E-2</v>
      </c>
      <c r="AU29">
        <f t="shared" ca="1" si="40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0.30491866777151244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1"/>
        <v>0</v>
      </c>
      <c r="BB29">
        <f t="shared" ca="1" si="42"/>
        <v>0</v>
      </c>
      <c r="BC29">
        <f t="shared" si="43"/>
        <v>1</v>
      </c>
      <c r="BE29">
        <f t="shared" si="7"/>
        <v>0.6351489523872873</v>
      </c>
      <c r="BF29">
        <f t="shared" si="44"/>
        <v>0</v>
      </c>
      <c r="BG29">
        <f t="shared" si="45"/>
        <v>0</v>
      </c>
      <c r="BH29">
        <f t="shared" si="8"/>
        <v>0.11533809435609932</v>
      </c>
      <c r="BI29">
        <f t="shared" si="9"/>
        <v>0</v>
      </c>
      <c r="BJ29">
        <f t="shared" si="10"/>
        <v>0</v>
      </c>
      <c r="BK29">
        <f t="shared" si="11"/>
        <v>1.8703466827523275E-23</v>
      </c>
      <c r="BL29">
        <f t="shared" si="46"/>
        <v>0</v>
      </c>
      <c r="BM29">
        <f t="shared" si="12"/>
        <v>1.9868110146820475E-4</v>
      </c>
      <c r="BN29">
        <f t="shared" si="13"/>
        <v>0</v>
      </c>
      <c r="BO29">
        <f t="shared" si="14"/>
        <v>9.8750000000000004E-2</v>
      </c>
      <c r="BP29">
        <f t="shared" si="15"/>
        <v>9.3747253514524613E-3</v>
      </c>
      <c r="BQ29">
        <f t="shared" si="16"/>
        <v>0.12204121303941783</v>
      </c>
    </row>
    <row r="30" spans="1:69" x14ac:dyDescent="0.25">
      <c r="A30" s="1" t="s">
        <v>21</v>
      </c>
      <c r="B30">
        <f t="shared" ca="1" si="2"/>
        <v>138.28197899549173</v>
      </c>
      <c r="C30" t="s">
        <v>484</v>
      </c>
      <c r="D30">
        <f t="shared" si="17"/>
        <v>117</v>
      </c>
      <c r="E30">
        <f t="shared" si="18"/>
        <v>772.7</v>
      </c>
      <c r="F30">
        <f t="shared" si="19"/>
        <v>5.03</v>
      </c>
      <c r="G30">
        <f t="shared" si="20"/>
        <v>12.78</v>
      </c>
      <c r="H30">
        <f t="shared" si="21"/>
        <v>-1.51</v>
      </c>
      <c r="I30">
        <f t="shared" si="22"/>
        <v>2.2000000000000002</v>
      </c>
      <c r="J30">
        <f t="shared" si="23"/>
        <v>-2.04</v>
      </c>
      <c r="K30">
        <f t="shared" si="24"/>
        <v>1.41</v>
      </c>
      <c r="L30">
        <f t="shared" si="3"/>
        <v>2</v>
      </c>
      <c r="M30">
        <f t="shared" si="0"/>
        <v>4</v>
      </c>
      <c r="N30">
        <f t="shared" si="1"/>
        <v>8</v>
      </c>
      <c r="O30">
        <f t="shared" si="4"/>
        <v>6</v>
      </c>
      <c r="P30">
        <f t="shared" si="5"/>
        <v>46</v>
      </c>
      <c r="Q30">
        <f t="shared" ca="1" si="25"/>
        <v>16.17190400000004</v>
      </c>
      <c r="R30">
        <f t="shared" ca="1" si="26"/>
        <v>15.846491</v>
      </c>
      <c r="S30">
        <f t="shared" si="27"/>
        <v>47</v>
      </c>
      <c r="T30">
        <f t="shared" ca="1" si="28"/>
        <v>-18.680706999999984</v>
      </c>
      <c r="U30">
        <f t="shared" ca="1" si="29"/>
        <v>19.727557000000001</v>
      </c>
      <c r="V30" t="e">
        <f t="shared" si="30"/>
        <v>#VALUE!</v>
      </c>
      <c r="W30">
        <f t="shared" ca="1" si="31"/>
        <v>1000000000</v>
      </c>
      <c r="X30">
        <f t="shared" ca="1" si="32"/>
        <v>100</v>
      </c>
      <c r="Y30">
        <f>GetFollowingCarRow($B$45:$E$54,L30,$E$15,E30)</f>
        <v>46</v>
      </c>
      <c r="Z30">
        <f t="shared" ca="1" si="33"/>
        <v>-8.028096000000005</v>
      </c>
      <c r="AA30">
        <f t="shared" ca="1" si="34"/>
        <v>15.846491</v>
      </c>
      <c r="AB30">
        <f t="shared" si="35"/>
        <v>-3.1400000000000006</v>
      </c>
      <c r="AC30">
        <f t="shared" si="36"/>
        <v>24.200000000000045</v>
      </c>
      <c r="AD30">
        <f t="shared" si="37"/>
        <v>-95.229421487603133</v>
      </c>
      <c r="AE30">
        <f t="shared" si="38"/>
        <v>2304.5520000000001</v>
      </c>
      <c r="AF30">
        <f t="shared" si="39"/>
        <v>24.402860488065784</v>
      </c>
      <c r="AG30">
        <f>GetSmallestNormalDistance($B$45:$E$54,AB30,AC30,AF30,$L$15,L30)</f>
        <v>81.367108281057995</v>
      </c>
      <c r="AH30">
        <f t="shared" si="6"/>
        <v>0.58497988288072877</v>
      </c>
      <c r="AI30">
        <f>IF(G30&lt;=0,1,0)</f>
        <v>0</v>
      </c>
      <c r="AJ30">
        <f>IF(G30&lt;0,1,0)</f>
        <v>0</v>
      </c>
      <c r="AK30">
        <f>MAX(($B$3-G30)/(G30 + 1),0) / $B$3</f>
        <v>2.8863424022849984E-2</v>
      </c>
      <c r="AL30">
        <f>IF(H30+ABS(K30)&lt;0,Logistic(SQRT(H30^2+K30^2)/$B$4),0)</f>
        <v>0.12840978822562207</v>
      </c>
      <c r="AM30">
        <f>IF(G30&gt;$B$3,1,0)</f>
        <v>0</v>
      </c>
      <c r="AN30">
        <f>IF(H30&gt;$B$4,1,0)</f>
        <v>0</v>
      </c>
      <c r="AO30">
        <f>ABS(H30)/$B$4</f>
        <v>0.18875</v>
      </c>
      <c r="AP30">
        <f>Logistic(I30/$B$5)</f>
        <v>0.13663996695649619</v>
      </c>
      <c r="AQ30">
        <f>IF(I30&gt;$B$5,1,0)</f>
        <v>0</v>
      </c>
      <c r="AR30">
        <f>Logistic(ABS(F30-O30)/($B$6/2))</f>
        <v>0.23785570960038063</v>
      </c>
      <c r="AS30">
        <f>IF(OR(F30&lt;M30,F30&gt;N30),1,0)</f>
        <v>0</v>
      </c>
      <c r="AT30">
        <f>ABS(K30)/$B$4</f>
        <v>0.17624999999999999</v>
      </c>
      <c r="AU30">
        <f t="shared" ca="1" si="40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0.73111833411370386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0.73819926424046245</v>
      </c>
      <c r="BA30">
        <f t="shared" ca="1" si="41"/>
        <v>0</v>
      </c>
      <c r="BB30">
        <f t="shared" ca="1" si="42"/>
        <v>0</v>
      </c>
      <c r="BC30">
        <f t="shared" si="43"/>
        <v>1</v>
      </c>
      <c r="BE30">
        <f t="shared" si="7"/>
        <v>0.58497988288072877</v>
      </c>
      <c r="BF30">
        <f t="shared" si="44"/>
        <v>0</v>
      </c>
      <c r="BG30">
        <f t="shared" si="45"/>
        <v>0</v>
      </c>
      <c r="BH30">
        <f t="shared" si="8"/>
        <v>0.29701347860940097</v>
      </c>
      <c r="BI30">
        <f t="shared" si="9"/>
        <v>0</v>
      </c>
      <c r="BJ30">
        <f t="shared" si="10"/>
        <v>0</v>
      </c>
      <c r="BK30">
        <f t="shared" si="11"/>
        <v>1.3595543210831259E-2</v>
      </c>
      <c r="BL30">
        <f t="shared" si="46"/>
        <v>0</v>
      </c>
      <c r="BM30">
        <f t="shared" si="12"/>
        <v>7.1621237464503551E-2</v>
      </c>
      <c r="BN30">
        <f t="shared" si="13"/>
        <v>0</v>
      </c>
      <c r="BO30">
        <f t="shared" si="14"/>
        <v>0.17624999999999999</v>
      </c>
      <c r="BP30">
        <f t="shared" si="15"/>
        <v>9.409580655842828E-2</v>
      </c>
      <c r="BQ30">
        <f t="shared" si="16"/>
        <v>0.31870356753869744</v>
      </c>
    </row>
    <row r="31" spans="1:69" x14ac:dyDescent="0.25">
      <c r="A31" s="1" t="s">
        <v>20</v>
      </c>
      <c r="B31">
        <f t="shared" ca="1" si="2"/>
        <v>307.38136507806934</v>
      </c>
      <c r="C31" t="s">
        <v>483</v>
      </c>
      <c r="D31">
        <f t="shared" si="17"/>
        <v>137</v>
      </c>
      <c r="E31">
        <f t="shared" si="18"/>
        <v>745.31</v>
      </c>
      <c r="F31">
        <f t="shared" si="19"/>
        <v>1.9</v>
      </c>
      <c r="G31">
        <f t="shared" si="20"/>
        <v>-20.51</v>
      </c>
      <c r="H31">
        <f t="shared" si="21"/>
        <v>-9.57</v>
      </c>
      <c r="I31">
        <f t="shared" si="22"/>
        <v>10.26</v>
      </c>
      <c r="J31">
        <f t="shared" si="23"/>
        <v>-0.04</v>
      </c>
      <c r="K31">
        <f t="shared" si="24"/>
        <v>3.17</v>
      </c>
      <c r="L31">
        <f t="shared" si="3"/>
        <v>2</v>
      </c>
      <c r="M31">
        <f t="shared" si="0"/>
        <v>4</v>
      </c>
      <c r="N31">
        <f t="shared" si="1"/>
        <v>8</v>
      </c>
      <c r="O31">
        <f t="shared" si="4"/>
        <v>6</v>
      </c>
      <c r="P31">
        <f t="shared" si="5"/>
        <v>46</v>
      </c>
      <c r="Q31">
        <f t="shared" ca="1" si="25"/>
        <v>16.17190400000004</v>
      </c>
      <c r="R31">
        <f t="shared" ca="1" si="26"/>
        <v>15.846491</v>
      </c>
      <c r="S31">
        <f t="shared" si="27"/>
        <v>47</v>
      </c>
      <c r="T31">
        <f t="shared" ca="1" si="28"/>
        <v>-18.680706999999984</v>
      </c>
      <c r="U31">
        <f t="shared" ca="1" si="29"/>
        <v>19.727557000000001</v>
      </c>
      <c r="V31">
        <f t="shared" si="30"/>
        <v>46</v>
      </c>
      <c r="W31">
        <f t="shared" ca="1" si="31"/>
        <v>19.361904000000095</v>
      </c>
      <c r="X31">
        <f t="shared" ca="1" si="32"/>
        <v>15.846491</v>
      </c>
      <c r="Y31">
        <f>GetFollowingCarRow($B$45:$E$54,L31,$E$15,E31)</f>
        <v>47</v>
      </c>
      <c r="Z31">
        <f t="shared" ca="1" si="33"/>
        <v>-15.490706999999929</v>
      </c>
      <c r="AA31">
        <f t="shared" ca="1" si="34"/>
        <v>19.727557000000001</v>
      </c>
      <c r="AB31">
        <f t="shared" si="35"/>
        <v>-1.0000000000000009E-2</v>
      </c>
      <c r="AC31">
        <f t="shared" si="36"/>
        <v>-3.1900000000000546</v>
      </c>
      <c r="AD31">
        <f t="shared" si="37"/>
        <v>4.2363949843259805</v>
      </c>
      <c r="AE31">
        <f t="shared" si="38"/>
        <v>13.514100000000109</v>
      </c>
      <c r="AF31">
        <f t="shared" si="39"/>
        <v>3.1900156739427392</v>
      </c>
      <c r="AG31">
        <f>GetSmallestNormalDistance($B$45:$E$54,AB31,AC31,AF31,$L$15,L31)</f>
        <v>3.8811395195114469</v>
      </c>
      <c r="AH31">
        <f t="shared" si="6"/>
        <v>0.70137413093831247</v>
      </c>
      <c r="AI31">
        <f>IF(G31&lt;=0,1,0)</f>
        <v>1</v>
      </c>
      <c r="AJ31">
        <f>IF(G31&lt;0,1,0)</f>
        <v>1</v>
      </c>
      <c r="AK31">
        <f>MAX(($B$3-G31)/(G31 + 1),0) / $B$3</f>
        <v>0</v>
      </c>
      <c r="AL31">
        <f>IF(H31+ABS(K31)&lt;0,Logistic(SQRT(H31^2+K31^2)/$B$4),0)</f>
        <v>0.55811070037985888</v>
      </c>
      <c r="AM31">
        <f>IF(G31&gt;$B$3,1,0)</f>
        <v>0</v>
      </c>
      <c r="AN31">
        <f>IF(H31&gt;$B$4,1,0)</f>
        <v>0</v>
      </c>
      <c r="AO31">
        <f>ABS(H31)/$B$4</f>
        <v>1.19625</v>
      </c>
      <c r="AP31">
        <f>Logistic(I31/$B$5)</f>
        <v>0.56575006245662074</v>
      </c>
      <c r="AQ31">
        <f>IF(I31&gt;$B$5,1,0)</f>
        <v>1</v>
      </c>
      <c r="AR31">
        <f>Logistic(ABS(F31-O31)/($B$6/2))</f>
        <v>0.77189523744041821</v>
      </c>
      <c r="AS31">
        <f>IF(OR(F31&lt;M31,F31&gt;N31),1,0)</f>
        <v>1</v>
      </c>
      <c r="AT31">
        <f>ABS(K31)/$B$4</f>
        <v>0.39624999999999999</v>
      </c>
      <c r="AU31">
        <f t="shared" ca="1" si="40"/>
        <v>1.7415031521609923E-2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0.95357395330934236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0.96150187000667087</v>
      </c>
      <c r="BA31">
        <f t="shared" ca="1" si="41"/>
        <v>0</v>
      </c>
      <c r="BB31">
        <f t="shared" ca="1" si="42"/>
        <v>0</v>
      </c>
      <c r="BC31">
        <f t="shared" si="43"/>
        <v>0</v>
      </c>
      <c r="BE31">
        <f t="shared" si="7"/>
        <v>0.70137413093831247</v>
      </c>
      <c r="BF31">
        <f t="shared" si="44"/>
        <v>1</v>
      </c>
      <c r="BG31">
        <f t="shared" si="45"/>
        <v>1</v>
      </c>
      <c r="BH31">
        <f t="shared" si="8"/>
        <v>-0.78925450741084635</v>
      </c>
      <c r="BI31">
        <f t="shared" si="9"/>
        <v>0</v>
      </c>
      <c r="BJ31">
        <f t="shared" si="10"/>
        <v>0</v>
      </c>
      <c r="BK31">
        <f t="shared" si="11"/>
        <v>1.1782783368366461</v>
      </c>
      <c r="BL31">
        <f t="shared" si="46"/>
        <v>1</v>
      </c>
      <c r="BM31">
        <f t="shared" si="12"/>
        <v>1.2464168369200175</v>
      </c>
      <c r="BN31">
        <f t="shared" si="13"/>
        <v>0.52500000000000002</v>
      </c>
      <c r="BO31">
        <f t="shared" si="14"/>
        <v>0.39624999999999999</v>
      </c>
      <c r="BP31">
        <f t="shared" si="15"/>
        <v>0.53571401540064512</v>
      </c>
      <c r="BQ31">
        <f t="shared" si="16"/>
        <v>-0.76876805263369963</v>
      </c>
    </row>
    <row r="32" spans="1:69" x14ac:dyDescent="0.25">
      <c r="A32" s="1" t="s">
        <v>37</v>
      </c>
      <c r="B32">
        <f t="shared" si="2"/>
        <v>1000000</v>
      </c>
      <c r="D32" t="e">
        <f t="shared" si="17"/>
        <v>#VALUE!</v>
      </c>
      <c r="E32" t="e">
        <f t="shared" si="18"/>
        <v>#VALUE!</v>
      </c>
      <c r="F32" t="e">
        <f t="shared" si="19"/>
        <v>#VALUE!</v>
      </c>
      <c r="G32" t="e">
        <f t="shared" si="20"/>
        <v>#VALUE!</v>
      </c>
      <c r="H32" t="e">
        <f t="shared" si="21"/>
        <v>#VALUE!</v>
      </c>
      <c r="I32" t="e">
        <f t="shared" si="22"/>
        <v>#VALUE!</v>
      </c>
      <c r="J32" t="e">
        <f t="shared" si="23"/>
        <v>#VALUE!</v>
      </c>
      <c r="K32" t="e">
        <f t="shared" si="24"/>
        <v>#VALUE!</v>
      </c>
      <c r="L32" t="e">
        <f t="shared" si="3"/>
        <v>#VALUE!</v>
      </c>
      <c r="M32" t="e">
        <f t="shared" si="0"/>
        <v>#VALUE!</v>
      </c>
      <c r="N32" t="e">
        <f t="shared" si="1"/>
        <v>#VALUE!</v>
      </c>
      <c r="O32" t="e">
        <f t="shared" si="4"/>
        <v>#VALUE!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 t="e">
        <f t="shared" si="27"/>
        <v>#VALUE!</v>
      </c>
      <c r="T32">
        <f t="shared" ca="1" si="28"/>
        <v>1000000</v>
      </c>
      <c r="U32">
        <f t="shared" ca="1" si="29"/>
        <v>100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 t="e">
        <f>GetFollowingCarRow($B$45:$E$54,L32,$E$15,E32)</f>
        <v>#VALUE!</v>
      </c>
      <c r="Z32">
        <f t="shared" ca="1" si="33"/>
        <v>1000000000</v>
      </c>
      <c r="AA32">
        <f t="shared" ca="1" si="34"/>
        <v>100</v>
      </c>
      <c r="AB32" t="e">
        <f t="shared" si="35"/>
        <v>#VALUE!</v>
      </c>
      <c r="AC32" t="e">
        <f t="shared" si="36"/>
        <v>#VALUE!</v>
      </c>
      <c r="AD32" t="e">
        <f t="shared" si="37"/>
        <v>#VALUE!</v>
      </c>
      <c r="AE32" t="e">
        <f t="shared" si="38"/>
        <v>#VALUE!</v>
      </c>
      <c r="AF32" t="e">
        <f t="shared" si="39"/>
        <v>#VALUE!</v>
      </c>
      <c r="AG32" t="e">
        <f>GetSmallestNormalDistance($B$45:$E$54,AB32,AC32,AF32,$L$15,L32)</f>
        <v>#VALUE!</v>
      </c>
      <c r="AH32" t="e">
        <f t="shared" si="6"/>
        <v>#VALUE!</v>
      </c>
      <c r="AI32" t="e">
        <f>IF(G32&lt;=0,1,0)</f>
        <v>#VALUE!</v>
      </c>
      <c r="AJ32" t="e">
        <f>IF(G32&lt;0,1,0)</f>
        <v>#VALUE!</v>
      </c>
      <c r="AK32" t="e">
        <f>MAX(($B$3-G32)/(G32 + 1),0) / $B$3</f>
        <v>#VALUE!</v>
      </c>
      <c r="AL32" t="e">
        <f>IF(H32+ABS(K32)&lt;0,Logistic(SQRT(H32^2+K32^2)/$B$4),0)</f>
        <v>#VALUE!</v>
      </c>
      <c r="AM32" t="e">
        <f>IF(G32&gt;$B$3,1,0)</f>
        <v>#VALUE!</v>
      </c>
      <c r="AN32" t="e">
        <f>IF(H32&gt;$B$4,1,0)</f>
        <v>#VALUE!</v>
      </c>
      <c r="AO32" t="e">
        <f>ABS(H32)/$B$4</f>
        <v>#VALUE!</v>
      </c>
      <c r="AP32" t="e">
        <f>Logistic(I32/$B$5)</f>
        <v>#VALUE!</v>
      </c>
      <c r="AQ32" t="e">
        <f>IF(I32&gt;$B$5,1,0)</f>
        <v>#VALUE!</v>
      </c>
      <c r="AR32" t="e">
        <f>Logistic(ABS(F32-O32)/($B$6/2))</f>
        <v>#VALUE!</v>
      </c>
      <c r="AS32" t="e">
        <f>IF(OR(F32&lt;M32,F32&gt;N32),1,0)</f>
        <v>#VALUE!</v>
      </c>
      <c r="AT32" t="e">
        <f>ABS(K32)/$B$4</f>
        <v>#VALUE!</v>
      </c>
      <c r="AU32">
        <f t="shared" ca="1" si="40"/>
        <v>0</v>
      </c>
      <c r="AV32" t="e">
        <f ca="1">IF(AND(L32&lt;&gt;$L$15,$Q$15&gt;Safety_Distance),1,0)</f>
        <v>#VALUE!</v>
      </c>
      <c r="AW32" t="e">
        <f ca="1">MAX(1-(IF(Q32/(G32-R32)&gt;0,Q32/(G32-R32),Collision_Time_Buffer)/Collision_Time_Buffer),0)*IF($L$15&lt;&gt;L32,Lane_Change_Multiplier,1)</f>
        <v>#VALUE!</v>
      </c>
      <c r="AX32" t="e">
        <f ca="1">MAX(1-(IF(T32/(G32-U32)&gt;0,T32/(G32-U32),Collision_Time_Buffer)/Collision_Time_Buffer),0)*IF($L$15&lt;&gt;L32,Lane_Change_Multiplier,1)</f>
        <v>#VALUE!</v>
      </c>
      <c r="AY32" t="e">
        <f ca="1">MAX(1-(IF(W32/(G32-X32)&gt;0,W32/(G32-X32),Collision_Time_Buffer)/Collision_Time_Buffer),0)*IF($L$15&lt;&gt;L32,Lane_Change_Multiplier,1)</f>
        <v>#VALUE!</v>
      </c>
      <c r="AZ32" t="e">
        <f ca="1">MAX(1-(IF(Z32/(G32-AA32)&gt;0,Z32/(G32-AA32),Collision_Time_Buffer)/Collision_Time_Buffer),0)*IF($L$15&lt;&gt;L32,Lane_Change_Multiplier,1)</f>
        <v>#VALUE!</v>
      </c>
      <c r="BA32">
        <f t="shared" ca="1" si="41"/>
        <v>0</v>
      </c>
      <c r="BB32">
        <f t="shared" ca="1" si="42"/>
        <v>0</v>
      </c>
      <c r="BC32">
        <f t="shared" si="43"/>
        <v>0</v>
      </c>
      <c r="BE32" t="e">
        <f t="shared" si="7"/>
        <v>#VALUE!</v>
      </c>
      <c r="BF32" t="e">
        <f t="shared" si="44"/>
        <v>#VALUE!</v>
      </c>
      <c r="BG32" t="e">
        <f t="shared" si="45"/>
        <v>#VALUE!</v>
      </c>
      <c r="BH32" t="e">
        <f t="shared" si="8"/>
        <v>#VALUE!</v>
      </c>
      <c r="BI32" t="e">
        <f t="shared" si="9"/>
        <v>#VALUE!</v>
      </c>
      <c r="BJ32" t="e">
        <f t="shared" si="10"/>
        <v>#VALUE!</v>
      </c>
      <c r="BK32" t="e">
        <f t="shared" si="11"/>
        <v>#VALUE!</v>
      </c>
      <c r="BL32" t="e">
        <f t="shared" si="46"/>
        <v>#VALUE!</v>
      </c>
      <c r="BM32" t="e">
        <f t="shared" si="12"/>
        <v>#VALUE!</v>
      </c>
      <c r="BN32" t="e">
        <f t="shared" si="13"/>
        <v>#VALUE!</v>
      </c>
      <c r="BO32" t="e">
        <f t="shared" si="14"/>
        <v>#VALUE!</v>
      </c>
      <c r="BP32" t="e">
        <f t="shared" si="15"/>
        <v>#VALUE!</v>
      </c>
      <c r="BQ32" t="e">
        <f t="shared" si="16"/>
        <v>#VALUE!</v>
      </c>
    </row>
    <row r="33" spans="1:69" x14ac:dyDescent="0.25">
      <c r="A33" s="1" t="s">
        <v>38</v>
      </c>
      <c r="B33">
        <f t="shared" si="2"/>
        <v>1000000</v>
      </c>
      <c r="D33" t="e">
        <f t="shared" si="17"/>
        <v>#VALUE!</v>
      </c>
      <c r="E33" t="e">
        <f t="shared" si="18"/>
        <v>#VALUE!</v>
      </c>
      <c r="F33" t="e">
        <f t="shared" si="19"/>
        <v>#VALUE!</v>
      </c>
      <c r="G33" t="e">
        <f t="shared" si="20"/>
        <v>#VALUE!</v>
      </c>
      <c r="H33" t="e">
        <f t="shared" si="21"/>
        <v>#VALUE!</v>
      </c>
      <c r="I33" t="e">
        <f t="shared" si="22"/>
        <v>#VALUE!</v>
      </c>
      <c r="J33" t="e">
        <f t="shared" si="23"/>
        <v>#VALUE!</v>
      </c>
      <c r="K33" t="e">
        <f t="shared" si="24"/>
        <v>#VALUE!</v>
      </c>
      <c r="L33" t="e">
        <f t="shared" si="3"/>
        <v>#VALUE!</v>
      </c>
      <c r="M33" t="e">
        <f t="shared" si="0"/>
        <v>#VALUE!</v>
      </c>
      <c r="N33" t="e">
        <f t="shared" si="1"/>
        <v>#VALUE!</v>
      </c>
      <c r="O33" t="e">
        <f t="shared" si="4"/>
        <v>#VALUE!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 t="e">
        <f t="shared" si="27"/>
        <v>#VALUE!</v>
      </c>
      <c r="T33">
        <f t="shared" ca="1" si="28"/>
        <v>1000000</v>
      </c>
      <c r="U33">
        <f t="shared" ca="1" si="29"/>
        <v>100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 t="e">
        <f>GetFollowingCarRow($B$45:$E$54,L33,$E$15,E33)</f>
        <v>#VALUE!</v>
      </c>
      <c r="Z33">
        <f t="shared" ca="1" si="33"/>
        <v>1000000000</v>
      </c>
      <c r="AA33">
        <f t="shared" ca="1" si="34"/>
        <v>100</v>
      </c>
      <c r="AB33" t="e">
        <f t="shared" si="35"/>
        <v>#VALUE!</v>
      </c>
      <c r="AC33" t="e">
        <f t="shared" si="36"/>
        <v>#VALUE!</v>
      </c>
      <c r="AD33" t="e">
        <f t="shared" si="37"/>
        <v>#VALUE!</v>
      </c>
      <c r="AE33" t="e">
        <f t="shared" si="38"/>
        <v>#VALUE!</v>
      </c>
      <c r="AF33" t="e">
        <f t="shared" si="39"/>
        <v>#VALUE!</v>
      </c>
      <c r="AG33" t="e">
        <f>GetSmallestNormalDistance($B$45:$E$54,AB33,AC33,AF33,$L$15,L33)</f>
        <v>#VALUE!</v>
      </c>
      <c r="AH33" t="e">
        <f t="shared" si="6"/>
        <v>#VALUE!</v>
      </c>
      <c r="AI33" t="e">
        <f>IF(G33&lt;=0,1,0)</f>
        <v>#VALUE!</v>
      </c>
      <c r="AJ33" t="e">
        <f>IF(G33&lt;0,1,0)</f>
        <v>#VALUE!</v>
      </c>
      <c r="AK33" t="e">
        <f>MAX(($B$3-G33)/(G33 + 1),0) / $B$3</f>
        <v>#VALUE!</v>
      </c>
      <c r="AL33" t="e">
        <f>IF(H33+ABS(K33)&lt;0,Logistic(SQRT(H33^2+K33^2)/$B$4),0)</f>
        <v>#VALUE!</v>
      </c>
      <c r="AM33" t="e">
        <f>IF(G33&gt;$B$3,1,0)</f>
        <v>#VALUE!</v>
      </c>
      <c r="AN33" t="e">
        <f>IF(H33&gt;$B$4,1,0)</f>
        <v>#VALUE!</v>
      </c>
      <c r="AO33" t="e">
        <f>ABS(H33)/$B$4</f>
        <v>#VALUE!</v>
      </c>
      <c r="AP33" t="e">
        <f>Logistic(I33/$B$5)</f>
        <v>#VALUE!</v>
      </c>
      <c r="AQ33" t="e">
        <f>IF(I33&gt;$B$5,1,0)</f>
        <v>#VALUE!</v>
      </c>
      <c r="AR33" t="e">
        <f>Logistic(ABS(F33-O33)/($B$6/2))</f>
        <v>#VALUE!</v>
      </c>
      <c r="AS33" t="e">
        <f>IF(OR(F33&lt;M33,F33&gt;N33),1,0)</f>
        <v>#VALUE!</v>
      </c>
      <c r="AT33" t="e">
        <f>ABS(K33)/$B$4</f>
        <v>#VALUE!</v>
      </c>
      <c r="AU33">
        <f t="shared" ca="1" si="40"/>
        <v>0</v>
      </c>
      <c r="AV33" t="e">
        <f ca="1">IF(AND(L33&lt;&gt;$L$15,$Q$15&gt;Safety_Distance),1,0)</f>
        <v>#VALUE!</v>
      </c>
      <c r="AW33" t="e">
        <f ca="1">MAX(1-(IF(Q33/(G33-R33)&gt;0,Q33/(G33-R33),Collision_Time_Buffer)/Collision_Time_Buffer),0)*IF($L$15&lt;&gt;L33,Lane_Change_Multiplier,1)</f>
        <v>#VALUE!</v>
      </c>
      <c r="AX33" t="e">
        <f ca="1">MAX(1-(IF(T33/(G33-U33)&gt;0,T33/(G33-U33),Collision_Time_Buffer)/Collision_Time_Buffer),0)*IF($L$15&lt;&gt;L33,Lane_Change_Multiplier,1)</f>
        <v>#VALUE!</v>
      </c>
      <c r="AY33" t="e">
        <f ca="1">MAX(1-(IF(W33/(G33-X33)&gt;0,W33/(G33-X33),Collision_Time_Buffer)/Collision_Time_Buffer),0)*IF($L$15&lt;&gt;L33,Lane_Change_Multiplier,1)</f>
        <v>#VALUE!</v>
      </c>
      <c r="AZ33" t="e">
        <f ca="1">MAX(1-(IF(Z33/(G33-AA33)&gt;0,Z33/(G33-AA33),Collision_Time_Buffer)/Collision_Time_Buffer),0)*IF($L$15&lt;&gt;L33,Lane_Change_Multiplier,1)</f>
        <v>#VALUE!</v>
      </c>
      <c r="BA33">
        <f t="shared" ca="1" si="41"/>
        <v>0</v>
      </c>
      <c r="BB33">
        <f t="shared" ca="1" si="42"/>
        <v>0</v>
      </c>
      <c r="BC33">
        <f t="shared" si="43"/>
        <v>0</v>
      </c>
      <c r="BE33" t="e">
        <f t="shared" si="7"/>
        <v>#VALUE!</v>
      </c>
      <c r="BF33" t="e">
        <f t="shared" si="44"/>
        <v>#VALUE!</v>
      </c>
      <c r="BG33" t="e">
        <f t="shared" si="45"/>
        <v>#VALUE!</v>
      </c>
      <c r="BH33" t="e">
        <f t="shared" si="8"/>
        <v>#VALUE!</v>
      </c>
      <c r="BI33" t="e">
        <f t="shared" si="9"/>
        <v>#VALUE!</v>
      </c>
      <c r="BJ33" t="e">
        <f t="shared" si="10"/>
        <v>#VALUE!</v>
      </c>
      <c r="BK33" t="e">
        <f t="shared" si="11"/>
        <v>#VALUE!</v>
      </c>
      <c r="BL33" t="e">
        <f t="shared" si="46"/>
        <v>#VALUE!</v>
      </c>
      <c r="BM33" t="e">
        <f t="shared" si="12"/>
        <v>#VALUE!</v>
      </c>
      <c r="BN33" t="e">
        <f t="shared" si="13"/>
        <v>#VALUE!</v>
      </c>
      <c r="BO33" t="e">
        <f t="shared" si="14"/>
        <v>#VALUE!</v>
      </c>
      <c r="BP33" t="e">
        <f t="shared" si="15"/>
        <v>#VALUE!</v>
      </c>
      <c r="BQ33" t="e">
        <f t="shared" si="16"/>
        <v>#VALUE!</v>
      </c>
    </row>
    <row r="34" spans="1:69" x14ac:dyDescent="0.25">
      <c r="A34" s="1" t="s">
        <v>39</v>
      </c>
      <c r="B34">
        <f t="shared" si="2"/>
        <v>1000000</v>
      </c>
      <c r="D34" t="e">
        <f t="shared" si="17"/>
        <v>#VALUE!</v>
      </c>
      <c r="E34" t="e">
        <f t="shared" si="18"/>
        <v>#VALUE!</v>
      </c>
      <c r="F34" t="e">
        <f t="shared" si="19"/>
        <v>#VALUE!</v>
      </c>
      <c r="G34" t="e">
        <f t="shared" si="20"/>
        <v>#VALUE!</v>
      </c>
      <c r="H34" t="e">
        <f t="shared" si="21"/>
        <v>#VALUE!</v>
      </c>
      <c r="I34" t="e">
        <f t="shared" si="22"/>
        <v>#VALUE!</v>
      </c>
      <c r="J34" t="e">
        <f t="shared" si="23"/>
        <v>#VALUE!</v>
      </c>
      <c r="K34" t="e">
        <f t="shared" si="24"/>
        <v>#VALUE!</v>
      </c>
      <c r="L34" t="e">
        <f t="shared" si="3"/>
        <v>#VALUE!</v>
      </c>
      <c r="M34" t="e">
        <f t="shared" si="0"/>
        <v>#VALUE!</v>
      </c>
      <c r="N34" t="e">
        <f t="shared" si="1"/>
        <v>#VALUE!</v>
      </c>
      <c r="O34" t="e">
        <f t="shared" si="4"/>
        <v>#VALUE!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 t="e">
        <f t="shared" si="27"/>
        <v>#VALUE!</v>
      </c>
      <c r="T34">
        <f t="shared" ca="1" si="28"/>
        <v>1000000</v>
      </c>
      <c r="U34">
        <f t="shared" ca="1" si="29"/>
        <v>100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 t="e">
        <f>GetFollowingCarRow($B$45:$E$54,L34,$E$15,E34)</f>
        <v>#VALUE!</v>
      </c>
      <c r="Z34">
        <f t="shared" ca="1" si="33"/>
        <v>1000000000</v>
      </c>
      <c r="AA34">
        <f t="shared" ca="1" si="34"/>
        <v>100</v>
      </c>
      <c r="AB34" t="e">
        <f t="shared" si="35"/>
        <v>#VALUE!</v>
      </c>
      <c r="AC34" t="e">
        <f t="shared" si="36"/>
        <v>#VALUE!</v>
      </c>
      <c r="AD34" t="e">
        <f t="shared" si="37"/>
        <v>#VALUE!</v>
      </c>
      <c r="AE34" t="e">
        <f t="shared" si="38"/>
        <v>#VALUE!</v>
      </c>
      <c r="AF34" t="e">
        <f t="shared" si="39"/>
        <v>#VALUE!</v>
      </c>
      <c r="AG34" t="e">
        <f>GetSmallestNormalDistance($B$45:$E$54,AB34,AC34,AF34,$L$15,L34)</f>
        <v>#VALUE!</v>
      </c>
      <c r="AH34" t="e">
        <f t="shared" si="6"/>
        <v>#VALUE!</v>
      </c>
      <c r="AI34" t="e">
        <f>IF(G34&lt;=0,1,0)</f>
        <v>#VALUE!</v>
      </c>
      <c r="AJ34" t="e">
        <f>IF(G34&lt;0,1,0)</f>
        <v>#VALUE!</v>
      </c>
      <c r="AK34" t="e">
        <f>MAX(($B$3-G34)/(G34 + 1),0) / $B$3</f>
        <v>#VALUE!</v>
      </c>
      <c r="AL34" t="e">
        <f>IF(H34+ABS(K34)&lt;0,Logistic(SQRT(H34^2+K34^2)/$B$4),0)</f>
        <v>#VALUE!</v>
      </c>
      <c r="AM34" t="e">
        <f>IF(G34&gt;$B$3,1,0)</f>
        <v>#VALUE!</v>
      </c>
      <c r="AN34" t="e">
        <f>IF(H34&gt;$B$4,1,0)</f>
        <v>#VALUE!</v>
      </c>
      <c r="AO34" t="e">
        <f>ABS(H34)/$B$4</f>
        <v>#VALUE!</v>
      </c>
      <c r="AP34" t="e">
        <f>Logistic(I34/$B$5)</f>
        <v>#VALUE!</v>
      </c>
      <c r="AQ34" t="e">
        <f>IF(I34&gt;$B$5,1,0)</f>
        <v>#VALUE!</v>
      </c>
      <c r="AR34" t="e">
        <f>Logistic(ABS(F34-O34)/($B$6/2))</f>
        <v>#VALUE!</v>
      </c>
      <c r="AS34" t="e">
        <f>IF(OR(F34&lt;M34,F34&gt;N34),1,0)</f>
        <v>#VALUE!</v>
      </c>
      <c r="AT34" t="e">
        <f>ABS(K34)/$B$4</f>
        <v>#VALUE!</v>
      </c>
      <c r="AU34">
        <f t="shared" ca="1" si="40"/>
        <v>0</v>
      </c>
      <c r="AV34" t="e">
        <f ca="1">IF(AND(L34&lt;&gt;$L$15,$Q$15&gt;Safety_Distance),1,0)</f>
        <v>#VALUE!</v>
      </c>
      <c r="AW34" t="e">
        <f ca="1">MAX(1-(IF(Q34/(G34-R34)&gt;0,Q34/(G34-R34),Collision_Time_Buffer)/Collision_Time_Buffer),0)*IF($L$15&lt;&gt;L34,Lane_Change_Multiplier,1)</f>
        <v>#VALUE!</v>
      </c>
      <c r="AX34" t="e">
        <f ca="1">MAX(1-(IF(T34/(G34-U34)&gt;0,T34/(G34-U34),Collision_Time_Buffer)/Collision_Time_Buffer),0)*IF($L$15&lt;&gt;L34,Lane_Change_Multiplier,1)</f>
        <v>#VALUE!</v>
      </c>
      <c r="AY34" t="e">
        <f ca="1">MAX(1-(IF(W34/(G34-X34)&gt;0,W34/(G34-X34),Collision_Time_Buffer)/Collision_Time_Buffer),0)*IF($L$15&lt;&gt;L34,Lane_Change_Multiplier,1)</f>
        <v>#VALUE!</v>
      </c>
      <c r="AZ34" t="e">
        <f ca="1">MAX(1-(IF(Z34/(G34-AA34)&gt;0,Z34/(G34-AA34),Collision_Time_Buffer)/Collision_Time_Buffer),0)*IF($L$15&lt;&gt;L34,Lane_Change_Multiplier,1)</f>
        <v>#VALUE!</v>
      </c>
      <c r="BA34">
        <f t="shared" ca="1" si="41"/>
        <v>0</v>
      </c>
      <c r="BB34">
        <f t="shared" ca="1" si="42"/>
        <v>0</v>
      </c>
      <c r="BC34">
        <f t="shared" si="43"/>
        <v>0</v>
      </c>
      <c r="BE34" t="e">
        <f t="shared" si="7"/>
        <v>#VALUE!</v>
      </c>
      <c r="BF34" t="e">
        <f t="shared" si="44"/>
        <v>#VALUE!</v>
      </c>
      <c r="BG34" t="e">
        <f t="shared" si="45"/>
        <v>#VALUE!</v>
      </c>
      <c r="BH34" t="e">
        <f t="shared" si="8"/>
        <v>#VALUE!</v>
      </c>
      <c r="BI34" t="e">
        <f t="shared" si="9"/>
        <v>#VALUE!</v>
      </c>
      <c r="BJ34" t="e">
        <f t="shared" si="10"/>
        <v>#VALUE!</v>
      </c>
      <c r="BK34" t="e">
        <f t="shared" si="11"/>
        <v>#VALUE!</v>
      </c>
      <c r="BL34" t="e">
        <f t="shared" si="46"/>
        <v>#VALUE!</v>
      </c>
      <c r="BM34" t="e">
        <f t="shared" si="12"/>
        <v>#VALUE!</v>
      </c>
      <c r="BN34" t="e">
        <f t="shared" si="13"/>
        <v>#VALUE!</v>
      </c>
      <c r="BO34" t="e">
        <f t="shared" si="14"/>
        <v>#VALUE!</v>
      </c>
      <c r="BP34" t="e">
        <f t="shared" si="15"/>
        <v>#VALUE!</v>
      </c>
      <c r="BQ34" t="e">
        <f t="shared" si="16"/>
        <v>#VALUE!</v>
      </c>
    </row>
    <row r="35" spans="1:69" x14ac:dyDescent="0.25">
      <c r="A35" s="1" t="s">
        <v>82</v>
      </c>
      <c r="B35">
        <f t="shared" si="2"/>
        <v>1000000</v>
      </c>
      <c r="D35" t="e">
        <f t="shared" si="17"/>
        <v>#VALUE!</v>
      </c>
      <c r="E35" t="e">
        <f t="shared" si="18"/>
        <v>#VALUE!</v>
      </c>
      <c r="F35" t="e">
        <f t="shared" si="19"/>
        <v>#VALUE!</v>
      </c>
      <c r="G35" t="e">
        <f t="shared" si="20"/>
        <v>#VALUE!</v>
      </c>
      <c r="H35" t="e">
        <f t="shared" si="21"/>
        <v>#VALUE!</v>
      </c>
      <c r="I35" t="e">
        <f t="shared" si="22"/>
        <v>#VALUE!</v>
      </c>
      <c r="J35" t="e">
        <f t="shared" si="23"/>
        <v>#VALUE!</v>
      </c>
      <c r="K35" t="e">
        <f t="shared" si="24"/>
        <v>#VALUE!</v>
      </c>
      <c r="L35" t="e">
        <f t="shared" si="3"/>
        <v>#VALUE!</v>
      </c>
      <c r="M35" t="e">
        <f t="shared" si="0"/>
        <v>#VALUE!</v>
      </c>
      <c r="N35" t="e">
        <f t="shared" si="1"/>
        <v>#VALUE!</v>
      </c>
      <c r="O35" t="e">
        <f t="shared" si="4"/>
        <v>#VALUE!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 t="e">
        <f t="shared" si="27"/>
        <v>#VALUE!</v>
      </c>
      <c r="T35">
        <f t="shared" ca="1" si="28"/>
        <v>1000000</v>
      </c>
      <c r="U35">
        <f t="shared" ca="1" si="29"/>
        <v>100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 t="e">
        <f>GetFollowingCarRow($B$45:$E$54,L35,$E$15,E35)</f>
        <v>#VALUE!</v>
      </c>
      <c r="Z35">
        <f t="shared" ca="1" si="33"/>
        <v>1000000000</v>
      </c>
      <c r="AA35">
        <f t="shared" ca="1" si="34"/>
        <v>100</v>
      </c>
      <c r="AB35" t="e">
        <f t="shared" si="35"/>
        <v>#VALUE!</v>
      </c>
      <c r="AC35" t="e">
        <f t="shared" si="36"/>
        <v>#VALUE!</v>
      </c>
      <c r="AD35" t="e">
        <f t="shared" si="37"/>
        <v>#VALUE!</v>
      </c>
      <c r="AE35" t="e">
        <f t="shared" si="38"/>
        <v>#VALUE!</v>
      </c>
      <c r="AF35" t="e">
        <f t="shared" si="39"/>
        <v>#VALUE!</v>
      </c>
      <c r="AG35" t="e">
        <f>GetSmallestNormalDistance($B$45:$E$54,AB35,AC35,AF35,$L$15,L35)</f>
        <v>#VALUE!</v>
      </c>
      <c r="AH35" t="e">
        <f t="shared" si="6"/>
        <v>#VALUE!</v>
      </c>
      <c r="AI35" t="e">
        <f>IF(G35&lt;=0,1,0)</f>
        <v>#VALUE!</v>
      </c>
      <c r="AJ35" t="e">
        <f>IF(G35&lt;0,1,0)</f>
        <v>#VALUE!</v>
      </c>
      <c r="AK35" t="e">
        <f>MAX(($B$3-G35)/(G35 + 1),0) / $B$3</f>
        <v>#VALUE!</v>
      </c>
      <c r="AL35" t="e">
        <f>IF(H35+ABS(K35)&lt;0,Logistic(SQRT(H35^2+K35^2)/$B$4),0)</f>
        <v>#VALUE!</v>
      </c>
      <c r="AM35" t="e">
        <f>IF(G35&gt;$B$3,1,0)</f>
        <v>#VALUE!</v>
      </c>
      <c r="AN35" t="e">
        <f>IF(H35&gt;$B$4,1,0)</f>
        <v>#VALUE!</v>
      </c>
      <c r="AO35" t="e">
        <f>ABS(H35)/$B$4</f>
        <v>#VALUE!</v>
      </c>
      <c r="AP35" t="e">
        <f>Logistic(I35/$B$5)</f>
        <v>#VALUE!</v>
      </c>
      <c r="AQ35" t="e">
        <f>IF(I35&gt;$B$5,1,0)</f>
        <v>#VALUE!</v>
      </c>
      <c r="AR35" t="e">
        <f>Logistic(ABS(F35-O35)/($B$6/2))</f>
        <v>#VALUE!</v>
      </c>
      <c r="AS35" t="e">
        <f>IF(OR(F35&lt;M35,F35&gt;N35),1,0)</f>
        <v>#VALUE!</v>
      </c>
      <c r="AT35" t="e">
        <f>ABS(K35)/$B$4</f>
        <v>#VALUE!</v>
      </c>
      <c r="AU35">
        <f t="shared" ca="1" si="40"/>
        <v>0</v>
      </c>
      <c r="AV35" t="e">
        <f ca="1">IF(AND(L35&lt;&gt;$L$15,$Q$15&gt;Safety_Distance),1,0)</f>
        <v>#VALUE!</v>
      </c>
      <c r="AW35" t="e">
        <f ca="1">MAX(1-(IF(Q35/(G35-R35)&gt;0,Q35/(G35-R35),Collision_Time_Buffer)/Collision_Time_Buffer),0)*IF($L$15&lt;&gt;L35,Lane_Change_Multiplier,1)</f>
        <v>#VALUE!</v>
      </c>
      <c r="AX35" t="e">
        <f ca="1">MAX(1-(IF(T35/(G35-U35)&gt;0,T35/(G35-U35),Collision_Time_Buffer)/Collision_Time_Buffer),0)*IF($L$15&lt;&gt;L35,Lane_Change_Multiplier,1)</f>
        <v>#VALUE!</v>
      </c>
      <c r="AY35" t="e">
        <f ca="1">MAX(1-(IF(W35/(G35-X35)&gt;0,W35/(G35-X35),Collision_Time_Buffer)/Collision_Time_Buffer),0)*IF($L$15&lt;&gt;L35,Lane_Change_Multiplier,1)</f>
        <v>#VALUE!</v>
      </c>
      <c r="AZ35" t="e">
        <f ca="1">MAX(1-(IF(Z35/(G35-AA35)&gt;0,Z35/(G35-AA35),Collision_Time_Buffer)/Collision_Time_Buffer),0)*IF($L$15&lt;&gt;L35,Lane_Change_Multiplier,1)</f>
        <v>#VALUE!</v>
      </c>
      <c r="BA35">
        <f t="shared" ca="1" si="41"/>
        <v>0</v>
      </c>
      <c r="BB35">
        <f t="shared" ca="1" si="42"/>
        <v>0</v>
      </c>
      <c r="BC35">
        <f t="shared" si="43"/>
        <v>0</v>
      </c>
      <c r="BE35" t="e">
        <f t="shared" si="7"/>
        <v>#VALUE!</v>
      </c>
      <c r="BF35" t="e">
        <f t="shared" si="44"/>
        <v>#VALUE!</v>
      </c>
      <c r="BG35" t="e">
        <f t="shared" si="45"/>
        <v>#VALUE!</v>
      </c>
      <c r="BH35" t="e">
        <f t="shared" si="8"/>
        <v>#VALUE!</v>
      </c>
      <c r="BI35" t="e">
        <f t="shared" si="9"/>
        <v>#VALUE!</v>
      </c>
      <c r="BJ35" t="e">
        <f t="shared" si="10"/>
        <v>#VALUE!</v>
      </c>
      <c r="BK35" t="e">
        <f t="shared" si="11"/>
        <v>#VALUE!</v>
      </c>
      <c r="BL35" t="e">
        <f t="shared" si="46"/>
        <v>#VALUE!</v>
      </c>
      <c r="BM35" t="e">
        <f t="shared" si="12"/>
        <v>#VALUE!</v>
      </c>
      <c r="BN35" t="e">
        <f t="shared" si="13"/>
        <v>#VALUE!</v>
      </c>
      <c r="BO35" t="e">
        <f t="shared" si="14"/>
        <v>#VALUE!</v>
      </c>
      <c r="BP35" t="e">
        <f t="shared" si="15"/>
        <v>#VALUE!</v>
      </c>
      <c r="BQ35" t="e">
        <f t="shared" si="16"/>
        <v>#VALUE!</v>
      </c>
    </row>
    <row r="36" spans="1:69" x14ac:dyDescent="0.25">
      <c r="A36" s="1" t="s">
        <v>83</v>
      </c>
      <c r="B36">
        <f t="shared" si="2"/>
        <v>1000000</v>
      </c>
      <c r="D36" t="e">
        <f t="shared" si="17"/>
        <v>#VALUE!</v>
      </c>
      <c r="E36" t="e">
        <f t="shared" si="18"/>
        <v>#VALUE!</v>
      </c>
      <c r="F36" t="e">
        <f t="shared" si="19"/>
        <v>#VALUE!</v>
      </c>
      <c r="G36" t="e">
        <f t="shared" si="20"/>
        <v>#VALUE!</v>
      </c>
      <c r="H36" t="e">
        <f t="shared" si="21"/>
        <v>#VALUE!</v>
      </c>
      <c r="I36" t="e">
        <f t="shared" si="22"/>
        <v>#VALUE!</v>
      </c>
      <c r="J36" t="e">
        <f t="shared" si="23"/>
        <v>#VALUE!</v>
      </c>
      <c r="K36" t="e">
        <f t="shared" si="24"/>
        <v>#VALUE!</v>
      </c>
      <c r="L36" t="e">
        <f t="shared" si="3"/>
        <v>#VALUE!</v>
      </c>
      <c r="M36" t="e">
        <f t="shared" si="0"/>
        <v>#VALUE!</v>
      </c>
      <c r="N36" t="e">
        <f t="shared" si="1"/>
        <v>#VALUE!</v>
      </c>
      <c r="O36" t="e">
        <f t="shared" si="4"/>
        <v>#VALUE!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 t="e">
        <f t="shared" si="27"/>
        <v>#VALUE!</v>
      </c>
      <c r="T36">
        <f t="shared" ca="1" si="28"/>
        <v>1000000</v>
      </c>
      <c r="U36">
        <f t="shared" ca="1" si="29"/>
        <v>100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 t="e">
        <f>GetFollowingCarRow($B$45:$E$54,L36,$E$15,E36)</f>
        <v>#VALUE!</v>
      </c>
      <c r="Z36">
        <f t="shared" ca="1" si="33"/>
        <v>1000000000</v>
      </c>
      <c r="AA36">
        <f t="shared" ca="1" si="34"/>
        <v>100</v>
      </c>
      <c r="AB36" t="e">
        <f t="shared" si="35"/>
        <v>#VALUE!</v>
      </c>
      <c r="AC36" t="e">
        <f t="shared" si="36"/>
        <v>#VALUE!</v>
      </c>
      <c r="AD36" t="e">
        <f t="shared" si="37"/>
        <v>#VALUE!</v>
      </c>
      <c r="AE36" t="e">
        <f t="shared" si="38"/>
        <v>#VALUE!</v>
      </c>
      <c r="AF36" t="e">
        <f t="shared" si="39"/>
        <v>#VALUE!</v>
      </c>
      <c r="AG36" t="e">
        <f>GetSmallestNormalDistance($B$45:$E$54,AB36,AC36,AF36,$L$15,L36)</f>
        <v>#VALUE!</v>
      </c>
      <c r="AH36" t="e">
        <f t="shared" si="6"/>
        <v>#VALUE!</v>
      </c>
      <c r="AI36" t="e">
        <f>IF(G36&lt;=0,1,0)</f>
        <v>#VALUE!</v>
      </c>
      <c r="AJ36" t="e">
        <f>IF(G36&lt;0,1,0)</f>
        <v>#VALUE!</v>
      </c>
      <c r="AK36" t="e">
        <f>MAX(($B$3-G36)/(G36 + 1),0) / $B$3</f>
        <v>#VALUE!</v>
      </c>
      <c r="AL36" t="e">
        <f>IF(H36+ABS(K36)&lt;0,Logistic(SQRT(H36^2+K36^2)/$B$4),0)</f>
        <v>#VALUE!</v>
      </c>
      <c r="AM36" t="e">
        <f>IF(G36&gt;$B$3,1,0)</f>
        <v>#VALUE!</v>
      </c>
      <c r="AN36" t="e">
        <f>IF(H36&gt;$B$4,1,0)</f>
        <v>#VALUE!</v>
      </c>
      <c r="AO36" t="e">
        <f>ABS(H36)/$B$4</f>
        <v>#VALUE!</v>
      </c>
      <c r="AP36" t="e">
        <f>Logistic(I36/$B$5)</f>
        <v>#VALUE!</v>
      </c>
      <c r="AQ36" t="e">
        <f>IF(I36&gt;$B$5,1,0)</f>
        <v>#VALUE!</v>
      </c>
      <c r="AR36" t="e">
        <f>Logistic(ABS(F36-O36)/($B$6/2))</f>
        <v>#VALUE!</v>
      </c>
      <c r="AS36" t="e">
        <f>IF(OR(F36&lt;M36,F36&gt;N36),1,0)</f>
        <v>#VALUE!</v>
      </c>
      <c r="AT36" t="e">
        <f>ABS(K36)/$B$4</f>
        <v>#VALUE!</v>
      </c>
      <c r="AU36">
        <f t="shared" ca="1" si="40"/>
        <v>0</v>
      </c>
      <c r="AV36" t="e">
        <f ca="1">IF(AND(L36&lt;&gt;$L$15,$Q$15&gt;Safety_Distance),1,0)</f>
        <v>#VALUE!</v>
      </c>
      <c r="AW36" t="e">
        <f ca="1">MAX(1-(IF(Q36/(G36-R36)&gt;0,Q36/(G36-R36),Collision_Time_Buffer)/Collision_Time_Buffer),0)*IF($L$15&lt;&gt;L36,Lane_Change_Multiplier,1)</f>
        <v>#VALUE!</v>
      </c>
      <c r="AX36" t="e">
        <f ca="1">MAX(1-(IF(T36/(G36-U36)&gt;0,T36/(G36-U36),Collision_Time_Buffer)/Collision_Time_Buffer),0)*IF($L$15&lt;&gt;L36,Lane_Change_Multiplier,1)</f>
        <v>#VALUE!</v>
      </c>
      <c r="AY36" t="e">
        <f ca="1">MAX(1-(IF(W36/(G36-X36)&gt;0,W36/(G36-X36),Collision_Time_Buffer)/Collision_Time_Buffer),0)*IF($L$15&lt;&gt;L36,Lane_Change_Multiplier,1)</f>
        <v>#VALUE!</v>
      </c>
      <c r="AZ36" t="e">
        <f ca="1">MAX(1-(IF(Z36/(G36-AA36)&gt;0,Z36/(G36-AA36),Collision_Time_Buffer)/Collision_Time_Buffer),0)*IF($L$15&lt;&gt;L36,Lane_Change_Multiplier,1)</f>
        <v>#VALUE!</v>
      </c>
      <c r="BA36">
        <f t="shared" ca="1" si="41"/>
        <v>0</v>
      </c>
      <c r="BB36">
        <f t="shared" ca="1" si="42"/>
        <v>0</v>
      </c>
      <c r="BC36">
        <f t="shared" si="43"/>
        <v>0</v>
      </c>
      <c r="BE36" t="e">
        <f t="shared" si="7"/>
        <v>#VALUE!</v>
      </c>
      <c r="BF36" t="e">
        <f t="shared" si="44"/>
        <v>#VALUE!</v>
      </c>
      <c r="BG36" t="e">
        <f t="shared" si="45"/>
        <v>#VALUE!</v>
      </c>
      <c r="BH36" t="e">
        <f t="shared" si="8"/>
        <v>#VALUE!</v>
      </c>
      <c r="BI36" t="e">
        <f t="shared" si="9"/>
        <v>#VALUE!</v>
      </c>
      <c r="BJ36" t="e">
        <f t="shared" si="10"/>
        <v>#VALUE!</v>
      </c>
      <c r="BK36" t="e">
        <f t="shared" si="11"/>
        <v>#VALUE!</v>
      </c>
      <c r="BL36" t="e">
        <f t="shared" si="46"/>
        <v>#VALUE!</v>
      </c>
      <c r="BM36" t="e">
        <f t="shared" si="12"/>
        <v>#VALUE!</v>
      </c>
      <c r="BN36" t="e">
        <f t="shared" si="13"/>
        <v>#VALUE!</v>
      </c>
      <c r="BO36" t="e">
        <f t="shared" si="14"/>
        <v>#VALUE!</v>
      </c>
      <c r="BP36" t="e">
        <f t="shared" si="15"/>
        <v>#VALUE!</v>
      </c>
      <c r="BQ36" t="e">
        <f t="shared" si="16"/>
        <v>#VALUE!</v>
      </c>
    </row>
    <row r="37" spans="1:69" x14ac:dyDescent="0.25">
      <c r="A37" s="1" t="s">
        <v>84</v>
      </c>
      <c r="B37">
        <f t="shared" si="2"/>
        <v>1000000</v>
      </c>
      <c r="D37" t="e">
        <f t="shared" si="17"/>
        <v>#VALUE!</v>
      </c>
      <c r="E37" t="e">
        <f t="shared" si="18"/>
        <v>#VALUE!</v>
      </c>
      <c r="F37" t="e">
        <f t="shared" si="19"/>
        <v>#VALUE!</v>
      </c>
      <c r="G37" t="e">
        <f t="shared" si="20"/>
        <v>#VALUE!</v>
      </c>
      <c r="H37" t="e">
        <f t="shared" si="21"/>
        <v>#VALUE!</v>
      </c>
      <c r="I37" t="e">
        <f t="shared" si="22"/>
        <v>#VALUE!</v>
      </c>
      <c r="J37" t="e">
        <f t="shared" si="23"/>
        <v>#VALUE!</v>
      </c>
      <c r="K37" t="e">
        <f t="shared" si="24"/>
        <v>#VALUE!</v>
      </c>
      <c r="L37" t="e">
        <f t="shared" si="3"/>
        <v>#VALUE!</v>
      </c>
      <c r="M37" t="e">
        <f t="shared" si="0"/>
        <v>#VALUE!</v>
      </c>
      <c r="N37" t="e">
        <f t="shared" si="1"/>
        <v>#VALUE!</v>
      </c>
      <c r="O37" t="e">
        <f t="shared" si="4"/>
        <v>#VALUE!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 t="e">
        <f t="shared" si="27"/>
        <v>#VALUE!</v>
      </c>
      <c r="T37">
        <f t="shared" ca="1" si="28"/>
        <v>1000000</v>
      </c>
      <c r="U37">
        <f t="shared" ca="1" si="29"/>
        <v>100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 t="e">
        <f>GetFollowingCarRow($B$45:$E$54,L37,$E$15,E37)</f>
        <v>#VALUE!</v>
      </c>
      <c r="Z37">
        <f t="shared" ca="1" si="33"/>
        <v>1000000000</v>
      </c>
      <c r="AA37">
        <f t="shared" ca="1" si="34"/>
        <v>100</v>
      </c>
      <c r="AB37" t="e">
        <f t="shared" si="35"/>
        <v>#VALUE!</v>
      </c>
      <c r="AC37" t="e">
        <f t="shared" si="36"/>
        <v>#VALUE!</v>
      </c>
      <c r="AD37" t="e">
        <f t="shared" si="37"/>
        <v>#VALUE!</v>
      </c>
      <c r="AE37" t="e">
        <f t="shared" si="38"/>
        <v>#VALUE!</v>
      </c>
      <c r="AF37" t="e">
        <f t="shared" si="39"/>
        <v>#VALUE!</v>
      </c>
      <c r="AG37" t="e">
        <f>GetSmallestNormalDistance($B$45:$E$54,AB37,AC37,AF37,$L$15,L37)</f>
        <v>#VALUE!</v>
      </c>
      <c r="AH37" t="e">
        <f t="shared" si="6"/>
        <v>#VALUE!</v>
      </c>
      <c r="AI37" t="e">
        <f>IF(G37&lt;=0,1,0)</f>
        <v>#VALUE!</v>
      </c>
      <c r="AJ37" t="e">
        <f>IF(G37&lt;0,1,0)</f>
        <v>#VALUE!</v>
      </c>
      <c r="AK37" t="e">
        <f>MAX(($B$3-G37)/(G37 + 1),0) / $B$3</f>
        <v>#VALUE!</v>
      </c>
      <c r="AL37" t="e">
        <f>IF(H37+ABS(K37)&lt;0,Logistic(SQRT(H37^2+K37^2)/$B$4),0)</f>
        <v>#VALUE!</v>
      </c>
      <c r="AM37" t="e">
        <f>IF(G37&gt;$B$3,1,0)</f>
        <v>#VALUE!</v>
      </c>
      <c r="AN37" t="e">
        <f>IF(H37&gt;$B$4,1,0)</f>
        <v>#VALUE!</v>
      </c>
      <c r="AO37" t="e">
        <f>ABS(H37)/$B$4</f>
        <v>#VALUE!</v>
      </c>
      <c r="AP37" t="e">
        <f>Logistic(I37/$B$5)</f>
        <v>#VALUE!</v>
      </c>
      <c r="AQ37" t="e">
        <f>IF(I37&gt;$B$5,1,0)</f>
        <v>#VALUE!</v>
      </c>
      <c r="AR37" t="e">
        <f>Logistic(ABS(F37-O37)/($B$6/2))</f>
        <v>#VALUE!</v>
      </c>
      <c r="AS37" t="e">
        <f>IF(OR(F37&lt;M37,F37&gt;N37),1,0)</f>
        <v>#VALUE!</v>
      </c>
      <c r="AT37" t="e">
        <f>ABS(K37)/$B$4</f>
        <v>#VALUE!</v>
      </c>
      <c r="AU37">
        <f t="shared" ca="1" si="40"/>
        <v>0</v>
      </c>
      <c r="AV37" t="e">
        <f ca="1">IF(AND(L37&lt;&gt;$L$15,$Q$15&gt;Safety_Distance),1,0)</f>
        <v>#VALUE!</v>
      </c>
      <c r="AW37" t="e">
        <f ca="1">MAX(1-(IF(Q37/(G37-R37)&gt;0,Q37/(G37-R37),Collision_Time_Buffer)/Collision_Time_Buffer),0)*IF($L$15&lt;&gt;L37,Lane_Change_Multiplier,1)</f>
        <v>#VALUE!</v>
      </c>
      <c r="AX37" t="e">
        <f ca="1">MAX(1-(IF(T37/(G37-U37)&gt;0,T37/(G37-U37),Collision_Time_Buffer)/Collision_Time_Buffer),0)*IF($L$15&lt;&gt;L37,Lane_Change_Multiplier,1)</f>
        <v>#VALUE!</v>
      </c>
      <c r="AY37" t="e">
        <f ca="1">MAX(1-(IF(W37/(G37-X37)&gt;0,W37/(G37-X37),Collision_Time_Buffer)/Collision_Time_Buffer),0)*IF($L$15&lt;&gt;L37,Lane_Change_Multiplier,1)</f>
        <v>#VALUE!</v>
      </c>
      <c r="AZ37" t="e">
        <f ca="1">MAX(1-(IF(Z37/(G37-AA37)&gt;0,Z37/(G37-AA37),Collision_Time_Buffer)/Collision_Time_Buffer),0)*IF($L$15&lt;&gt;L37,Lane_Change_Multiplier,1)</f>
        <v>#VALUE!</v>
      </c>
      <c r="BA37">
        <f t="shared" ca="1" si="41"/>
        <v>0</v>
      </c>
      <c r="BB37">
        <f t="shared" ca="1" si="42"/>
        <v>0</v>
      </c>
      <c r="BC37">
        <f t="shared" si="43"/>
        <v>0</v>
      </c>
      <c r="BE37" t="e">
        <f t="shared" si="7"/>
        <v>#VALUE!</v>
      </c>
      <c r="BF37" t="e">
        <f t="shared" si="44"/>
        <v>#VALUE!</v>
      </c>
      <c r="BG37" t="e">
        <f t="shared" si="45"/>
        <v>#VALUE!</v>
      </c>
      <c r="BH37" t="e">
        <f t="shared" si="8"/>
        <v>#VALUE!</v>
      </c>
      <c r="BI37" t="e">
        <f t="shared" si="9"/>
        <v>#VALUE!</v>
      </c>
      <c r="BJ37" t="e">
        <f t="shared" si="10"/>
        <v>#VALUE!</v>
      </c>
      <c r="BK37" t="e">
        <f t="shared" si="11"/>
        <v>#VALUE!</v>
      </c>
      <c r="BL37" t="e">
        <f t="shared" si="46"/>
        <v>#VALUE!</v>
      </c>
      <c r="BM37" t="e">
        <f t="shared" si="12"/>
        <v>#VALUE!</v>
      </c>
      <c r="BN37" t="e">
        <f t="shared" si="13"/>
        <v>#VALUE!</v>
      </c>
      <c r="BO37" t="e">
        <f t="shared" si="14"/>
        <v>#VALUE!</v>
      </c>
      <c r="BP37" t="e">
        <f t="shared" si="15"/>
        <v>#VALUE!</v>
      </c>
      <c r="BQ37" t="e">
        <f t="shared" si="16"/>
        <v>#VALUE!</v>
      </c>
    </row>
    <row r="38" spans="1:69" x14ac:dyDescent="0.25">
      <c r="A38" s="1" t="s">
        <v>19</v>
      </c>
      <c r="B38">
        <f t="shared" si="2"/>
        <v>1000000</v>
      </c>
      <c r="D38" t="e">
        <f t="shared" si="17"/>
        <v>#VALUE!</v>
      </c>
      <c r="E38" t="e">
        <f t="shared" si="18"/>
        <v>#VALUE!</v>
      </c>
      <c r="F38" t="e">
        <f t="shared" si="19"/>
        <v>#VALUE!</v>
      </c>
      <c r="G38" t="e">
        <f t="shared" si="20"/>
        <v>#VALUE!</v>
      </c>
      <c r="H38" t="e">
        <f t="shared" si="21"/>
        <v>#VALUE!</v>
      </c>
      <c r="I38" t="e">
        <f t="shared" si="22"/>
        <v>#VALUE!</v>
      </c>
      <c r="J38" t="e">
        <f t="shared" si="23"/>
        <v>#VALUE!</v>
      </c>
      <c r="K38" t="e">
        <f t="shared" si="24"/>
        <v>#VALUE!</v>
      </c>
      <c r="L38" t="e">
        <f t="shared" si="3"/>
        <v>#VALUE!</v>
      </c>
      <c r="M38" t="e">
        <f>$B$6*(L38-1)</f>
        <v>#VALUE!</v>
      </c>
      <c r="N38" t="e">
        <f>$B$6*L38</f>
        <v>#VALUE!</v>
      </c>
      <c r="O38" t="e">
        <f t="shared" si="4"/>
        <v>#VALUE!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 t="e">
        <f t="shared" si="27"/>
        <v>#VALUE!</v>
      </c>
      <c r="T38">
        <f t="shared" ca="1" si="28"/>
        <v>1000000</v>
      </c>
      <c r="U38">
        <f t="shared" ca="1" si="29"/>
        <v>100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 t="e">
        <f>GetFollowingCarRow($B$45:$E$54,L38,$E$15,E38)</f>
        <v>#VALUE!</v>
      </c>
      <c r="Z38">
        <f t="shared" ca="1" si="33"/>
        <v>1000000000</v>
      </c>
      <c r="AA38">
        <f t="shared" ca="1" si="34"/>
        <v>100</v>
      </c>
      <c r="AB38" t="e">
        <f t="shared" si="35"/>
        <v>#VALUE!</v>
      </c>
      <c r="AC38" t="e">
        <f t="shared" si="36"/>
        <v>#VALUE!</v>
      </c>
      <c r="AD38" t="e">
        <f t="shared" si="37"/>
        <v>#VALUE!</v>
      </c>
      <c r="AE38" t="e">
        <f t="shared" si="38"/>
        <v>#VALUE!</v>
      </c>
      <c r="AF38" t="e">
        <f t="shared" si="39"/>
        <v>#VALUE!</v>
      </c>
      <c r="AG38" t="e">
        <f>GetSmallestNormalDistance($B$45:$E$54,AB38,AC38,AF38,$L$15,L38)</f>
        <v>#VALUE!</v>
      </c>
      <c r="AH38" t="e">
        <f>Logistic((D38-$B$2)/$B$2)</f>
        <v>#VALUE!</v>
      </c>
      <c r="AI38" t="e">
        <f>IF(G38&lt;=0,1,0)</f>
        <v>#VALUE!</v>
      </c>
      <c r="AJ38" t="e">
        <f>IF(G38&lt;0,1,0)</f>
        <v>#VALUE!</v>
      </c>
      <c r="AK38" t="e">
        <f>MAX(($B$3-G38)/(G38 + 1),0) / $B$3</f>
        <v>#VALUE!</v>
      </c>
      <c r="AL38" t="e">
        <f>IF(H38+ABS(K38)&lt;0,Logistic(SQRT(H38^2+K38^2)/$B$4),0)</f>
        <v>#VALUE!</v>
      </c>
      <c r="AM38" t="e">
        <f>IF(G38&gt;$B$3,1,0)</f>
        <v>#VALUE!</v>
      </c>
      <c r="AN38" t="e">
        <f>IF(H38&gt;$B$4,1,0)</f>
        <v>#VALUE!</v>
      </c>
      <c r="AO38" t="e">
        <f>ABS(H38)/$B$4</f>
        <v>#VALUE!</v>
      </c>
      <c r="AP38" t="e">
        <f>Logistic(I38/$B$5)</f>
        <v>#VALUE!</v>
      </c>
      <c r="AQ38" t="e">
        <f>IF(I38&gt;$B$5,1,0)</f>
        <v>#VALUE!</v>
      </c>
      <c r="AR38" t="e">
        <f>Logistic(ABS(F38-O38)/($B$6/2))</f>
        <v>#VALUE!</v>
      </c>
      <c r="AS38" t="e">
        <f>IF(OR(F38&lt;M38,F38&gt;N38),1,0)</f>
        <v>#VALUE!</v>
      </c>
      <c r="AT38" t="e">
        <f>ABS(K38)/$B$4</f>
        <v>#VALUE!</v>
      </c>
      <c r="AU38">
        <f t="shared" ca="1" si="40"/>
        <v>0</v>
      </c>
      <c r="AV38" t="e">
        <f ca="1">IF(AND(L38&lt;&gt;$L$15,$Q$15&gt;Safety_Distance),1,0)</f>
        <v>#VALUE!</v>
      </c>
      <c r="AW38" t="e">
        <f ca="1">MAX(1-(IF(Q38/(G38-R38)&gt;0,Q38/(G38-R38),Collision_Time_Buffer)/Collision_Time_Buffer),0)*IF($L$15&lt;&gt;L38,Lane_Change_Multiplier,1)</f>
        <v>#VALUE!</v>
      </c>
      <c r="AX38" t="e">
        <f ca="1">MAX(1-(IF(T38/(G38-U38)&gt;0,T38/(G38-U38),Collision_Time_Buffer)/Collision_Time_Buffer),0)*IF($L$15&lt;&gt;L38,Lane_Change_Multiplier,1)</f>
        <v>#VALUE!</v>
      </c>
      <c r="AY38" t="e">
        <f ca="1">MAX(1-(IF(W38/(G38-X38)&gt;0,W38/(G38-X38),Collision_Time_Buffer)/Collision_Time_Buffer),0)*IF($L$15&lt;&gt;L38,Lane_Change_Multiplier,1)</f>
        <v>#VALUE!</v>
      </c>
      <c r="AZ38" t="e">
        <f ca="1">MAX(1-(IF(Z38/(G38-AA38)&gt;0,Z38/(G38-AA38),Collision_Time_Buffer)/Collision_Time_Buffer),0)*IF($L$15&lt;&gt;L38,Lane_Change_Multiplier,1)</f>
        <v>#VALUE!</v>
      </c>
      <c r="BA38">
        <f t="shared" ca="1" si="41"/>
        <v>0</v>
      </c>
      <c r="BB38">
        <f t="shared" ca="1" si="42"/>
        <v>0</v>
      </c>
      <c r="BC38">
        <f t="shared" si="43"/>
        <v>0</v>
      </c>
      <c r="BE38" t="e">
        <f>Logistic((D38-$B$2)/$B$2)</f>
        <v>#VALUE!</v>
      </c>
      <c r="BF38" t="e">
        <f t="shared" si="44"/>
        <v>#VALUE!</v>
      </c>
      <c r="BG38" t="e">
        <f t="shared" si="45"/>
        <v>#VALUE!</v>
      </c>
      <c r="BH38" t="e">
        <f>Logistic(($B$3-G38)/(G38+1))</f>
        <v>#VALUE!</v>
      </c>
      <c r="BI38" t="e">
        <f>IF(G38&gt;$B$3,1,0)</f>
        <v>#VALUE!</v>
      </c>
      <c r="BJ38" t="e">
        <f>IF(H38&gt;$B$5,1,0)</f>
        <v>#VALUE!</v>
      </c>
      <c r="BK38" t="e">
        <f>EXP(-($B$4-ABS(H38))/MAX(ABS(H38),0.000000001))</f>
        <v>#VALUE!</v>
      </c>
      <c r="BL38" t="e">
        <f t="shared" si="46"/>
        <v>#VALUE!</v>
      </c>
      <c r="BM38" t="e">
        <f>EXP(-($B$5-I38)/MAX(I38,0.000000001))</f>
        <v>#VALUE!</v>
      </c>
      <c r="BN38" t="e">
        <f>IF(F38&gt;N38,(F38-N38)/$B$6,0)+IF(F38&lt;M38,(M38-F38)/$B$6,0)</f>
        <v>#VALUE!</v>
      </c>
      <c r="BO38" t="e">
        <f>ABS(K38/$B$4)</f>
        <v>#VALUE!</v>
      </c>
      <c r="BP38" t="e">
        <f>Logistic(ABS(H38)/$B$4)</f>
        <v>#VALUE!</v>
      </c>
      <c r="BQ38" t="e">
        <f>Logistic(($B$3-G38)/G38)</f>
        <v>#VALUE!</v>
      </c>
    </row>
    <row r="39" spans="1:69" x14ac:dyDescent="0.25">
      <c r="A39" s="1" t="s">
        <v>18</v>
      </c>
      <c r="B39">
        <f t="shared" si="2"/>
        <v>1000000</v>
      </c>
      <c r="D39" t="e">
        <f t="shared" si="17"/>
        <v>#VALUE!</v>
      </c>
      <c r="E39" t="e">
        <f t="shared" si="18"/>
        <v>#VALUE!</v>
      </c>
      <c r="F39" t="e">
        <f t="shared" si="19"/>
        <v>#VALUE!</v>
      </c>
      <c r="G39" t="e">
        <f t="shared" si="20"/>
        <v>#VALUE!</v>
      </c>
      <c r="H39" t="e">
        <f t="shared" si="21"/>
        <v>#VALUE!</v>
      </c>
      <c r="I39" t="e">
        <f t="shared" si="22"/>
        <v>#VALUE!</v>
      </c>
      <c r="J39" t="e">
        <f t="shared" si="23"/>
        <v>#VALUE!</v>
      </c>
      <c r="K39" t="e">
        <f t="shared" si="24"/>
        <v>#VALUE!</v>
      </c>
      <c r="L39" t="e">
        <f t="shared" si="3"/>
        <v>#VALUE!</v>
      </c>
      <c r="M39" t="e">
        <f>$B$6*(L39-1)</f>
        <v>#VALUE!</v>
      </c>
      <c r="N39" t="e">
        <f>$B$6*L39</f>
        <v>#VALUE!</v>
      </c>
      <c r="O39" t="e">
        <f t="shared" si="4"/>
        <v>#VALUE!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 t="e">
        <f t="shared" si="27"/>
        <v>#VALUE!</v>
      </c>
      <c r="T39">
        <f t="shared" ca="1" si="28"/>
        <v>1000000</v>
      </c>
      <c r="U39">
        <f t="shared" ca="1" si="29"/>
        <v>100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 t="e">
        <f>GetFollowingCarRow($B$45:$E$54,L39,$E$15,E39)</f>
        <v>#VALUE!</v>
      </c>
      <c r="Z39">
        <f t="shared" ca="1" si="33"/>
        <v>1000000000</v>
      </c>
      <c r="AA39">
        <f t="shared" ca="1" si="34"/>
        <v>100</v>
      </c>
      <c r="AB39" t="e">
        <f t="shared" si="35"/>
        <v>#VALUE!</v>
      </c>
      <c r="AC39" t="e">
        <f t="shared" si="36"/>
        <v>#VALUE!</v>
      </c>
      <c r="AD39" t="e">
        <f t="shared" si="37"/>
        <v>#VALUE!</v>
      </c>
      <c r="AE39" t="e">
        <f t="shared" si="38"/>
        <v>#VALUE!</v>
      </c>
      <c r="AF39" t="e">
        <f t="shared" si="39"/>
        <v>#VALUE!</v>
      </c>
      <c r="AG39" t="e">
        <f>GetSmallestNormalDistance($B$45:$E$54,AB39,AC39,AF39,$L$15,L39)</f>
        <v>#VALUE!</v>
      </c>
      <c r="AH39" t="e">
        <f>Logistic((D39-$B$2)/$B$2)</f>
        <v>#VALUE!</v>
      </c>
      <c r="AI39" t="e">
        <f>IF(G39&lt;=0,1,0)</f>
        <v>#VALUE!</v>
      </c>
      <c r="AJ39" t="e">
        <f>IF(G39&lt;0,1,0)</f>
        <v>#VALUE!</v>
      </c>
      <c r="AK39" t="e">
        <f>MAX(($B$3-G39)/(G39 + 1),0) / $B$3</f>
        <v>#VALUE!</v>
      </c>
      <c r="AL39" t="e">
        <f>IF(H39+ABS(K39)&lt;0,Logistic(SQRT(H39^2+K39^2)/$B$4),0)</f>
        <v>#VALUE!</v>
      </c>
      <c r="AM39" t="e">
        <f>IF(G39&gt;$B$3,1,0)</f>
        <v>#VALUE!</v>
      </c>
      <c r="AN39" t="e">
        <f>IF(H39&gt;$B$4,1,0)</f>
        <v>#VALUE!</v>
      </c>
      <c r="AO39" t="e">
        <f>ABS(H39)/$B$4</f>
        <v>#VALUE!</v>
      </c>
      <c r="AP39" t="e">
        <f>Logistic(I39/$B$5)</f>
        <v>#VALUE!</v>
      </c>
      <c r="AQ39" t="e">
        <f>IF(I39&gt;$B$5,1,0)</f>
        <v>#VALUE!</v>
      </c>
      <c r="AR39" t="e">
        <f>Logistic(ABS(F39-O39)/($B$6/2))</f>
        <v>#VALUE!</v>
      </c>
      <c r="AS39" t="e">
        <f>IF(OR(F39&lt;M39,F39&gt;N39),1,0)</f>
        <v>#VALUE!</v>
      </c>
      <c r="AT39" t="e">
        <f>ABS(K39)/$B$4</f>
        <v>#VALUE!</v>
      </c>
      <c r="AU39">
        <f t="shared" ca="1" si="40"/>
        <v>0</v>
      </c>
      <c r="AV39" t="e">
        <f ca="1">IF(AND(L39&lt;&gt;$L$15,$Q$15&gt;Safety_Distance),1,0)</f>
        <v>#VALUE!</v>
      </c>
      <c r="AW39" t="e">
        <f ca="1">MAX(1-(IF(Q39/(G39-R39)&gt;0,Q39/(G39-R39),Collision_Time_Buffer)/Collision_Time_Buffer),0)*IF($L$15&lt;&gt;L39,Lane_Change_Multiplier,1)</f>
        <v>#VALUE!</v>
      </c>
      <c r="AX39" t="e">
        <f ca="1">MAX(1-(IF(T39/(G39-U39)&gt;0,T39/(G39-U39),Collision_Time_Buffer)/Collision_Time_Buffer),0)*IF($L$15&lt;&gt;L39,Lane_Change_Multiplier,1)</f>
        <v>#VALUE!</v>
      </c>
      <c r="AY39" t="e">
        <f ca="1">MAX(1-(IF(W39/(G39-X39)&gt;0,W39/(G39-X39),Collision_Time_Buffer)/Collision_Time_Buffer),0)*IF($L$15&lt;&gt;L39,Lane_Change_Multiplier,1)</f>
        <v>#VALUE!</v>
      </c>
      <c r="AZ39" t="e">
        <f ca="1">MAX(1-(IF(Z39/(G39-AA39)&gt;0,Z39/(G39-AA39),Collision_Time_Buffer)/Collision_Time_Buffer),0)*IF($L$15&lt;&gt;L39,Lane_Change_Multiplier,1)</f>
        <v>#VALUE!</v>
      </c>
      <c r="BA39">
        <f t="shared" ca="1" si="41"/>
        <v>0</v>
      </c>
      <c r="BB39">
        <f t="shared" ca="1" si="42"/>
        <v>0</v>
      </c>
      <c r="BC39">
        <f t="shared" si="43"/>
        <v>0</v>
      </c>
      <c r="BE39" t="e">
        <f>Logistic((D39-$B$2)/$B$2)</f>
        <v>#VALUE!</v>
      </c>
      <c r="BF39" t="e">
        <f t="shared" si="44"/>
        <v>#VALUE!</v>
      </c>
      <c r="BG39" t="e">
        <f t="shared" si="45"/>
        <v>#VALUE!</v>
      </c>
      <c r="BH39" t="e">
        <f>Logistic(($B$3-G39)/(G39+1))</f>
        <v>#VALUE!</v>
      </c>
      <c r="BI39" t="e">
        <f>IF(G39&gt;$B$3,1,0)</f>
        <v>#VALUE!</v>
      </c>
      <c r="BJ39" t="e">
        <f>IF(H39&gt;$B$5,1,0)</f>
        <v>#VALUE!</v>
      </c>
      <c r="BK39" t="e">
        <f>EXP(-($B$4-ABS(H39))/MAX(ABS(H39),0.000000001))</f>
        <v>#VALUE!</v>
      </c>
      <c r="BL39" t="e">
        <f t="shared" si="46"/>
        <v>#VALUE!</v>
      </c>
      <c r="BM39" t="e">
        <f>EXP(-($B$5-I39)/MAX(I39,0.000000001))</f>
        <v>#VALUE!</v>
      </c>
      <c r="BN39" t="e">
        <f>IF(F39&gt;N39,(F39-N39)/$B$6,0)+IF(F39&lt;M39,(M39-F39)/$B$6,0)</f>
        <v>#VALUE!</v>
      </c>
      <c r="BO39" t="e">
        <f>ABS(K39/$B$4)</f>
        <v>#VALUE!</v>
      </c>
      <c r="BP39" t="e">
        <f>Logistic(ABS(H39)/$B$4)</f>
        <v>#VALUE!</v>
      </c>
      <c r="BQ39" t="e">
        <f>Logistic(($B$3-G39)/G39)</f>
        <v>#VALUE!</v>
      </c>
    </row>
    <row r="40" spans="1:69" x14ac:dyDescent="0.25">
      <c r="A40" s="1" t="s">
        <v>17</v>
      </c>
      <c r="B40">
        <f t="shared" si="2"/>
        <v>1000000</v>
      </c>
      <c r="D40" t="e">
        <f t="shared" si="17"/>
        <v>#VALUE!</v>
      </c>
      <c r="E40" t="e">
        <f t="shared" si="18"/>
        <v>#VALUE!</v>
      </c>
      <c r="F40" t="e">
        <f t="shared" si="19"/>
        <v>#VALUE!</v>
      </c>
      <c r="G40" t="e">
        <f t="shared" si="20"/>
        <v>#VALUE!</v>
      </c>
      <c r="H40" t="e">
        <f t="shared" si="21"/>
        <v>#VALUE!</v>
      </c>
      <c r="I40" t="e">
        <f t="shared" si="22"/>
        <v>#VALUE!</v>
      </c>
      <c r="J40" t="e">
        <f t="shared" si="23"/>
        <v>#VALUE!</v>
      </c>
      <c r="K40" t="e">
        <f t="shared" si="24"/>
        <v>#VALUE!</v>
      </c>
      <c r="L40" t="e">
        <f t="shared" si="3"/>
        <v>#VALUE!</v>
      </c>
      <c r="M40" t="e">
        <f>$B$6*(L40-1)</f>
        <v>#VALUE!</v>
      </c>
      <c r="N40" t="e">
        <f>$B$6*L40</f>
        <v>#VALUE!</v>
      </c>
      <c r="O40" t="e">
        <f t="shared" si="4"/>
        <v>#VALUE!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 t="e">
        <f t="shared" si="27"/>
        <v>#VALUE!</v>
      </c>
      <c r="T40">
        <f t="shared" ca="1" si="28"/>
        <v>1000000</v>
      </c>
      <c r="U40">
        <f t="shared" ca="1" si="29"/>
        <v>100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 t="e">
        <f>GetFollowingCarRow($B$45:$E$54,L40,$E$15,E40)</f>
        <v>#VALUE!</v>
      </c>
      <c r="Z40">
        <f t="shared" ca="1" si="33"/>
        <v>1000000000</v>
      </c>
      <c r="AA40">
        <f t="shared" ca="1" si="34"/>
        <v>100</v>
      </c>
      <c r="AB40" t="e">
        <f t="shared" si="35"/>
        <v>#VALUE!</v>
      </c>
      <c r="AC40" t="e">
        <f t="shared" si="36"/>
        <v>#VALUE!</v>
      </c>
      <c r="AD40" t="e">
        <f t="shared" si="37"/>
        <v>#VALUE!</v>
      </c>
      <c r="AE40" t="e">
        <f t="shared" si="38"/>
        <v>#VALUE!</v>
      </c>
      <c r="AF40" t="e">
        <f t="shared" si="39"/>
        <v>#VALUE!</v>
      </c>
      <c r="AG40" t="e">
        <f>GetSmallestNormalDistance($B$45:$E$54,AB40,AC40,AF40,$L$15,L40)</f>
        <v>#VALUE!</v>
      </c>
      <c r="AH40" t="e">
        <f>Logistic((D40-$B$2)/$B$2)</f>
        <v>#VALUE!</v>
      </c>
      <c r="AI40" t="e">
        <f>IF(G40&lt;=0,1,0)</f>
        <v>#VALUE!</v>
      </c>
      <c r="AJ40" t="e">
        <f>IF(G40&lt;0,1,0)</f>
        <v>#VALUE!</v>
      </c>
      <c r="AK40" t="e">
        <f>MAX(($B$3-G40)/(G40 + 1),0) / $B$3</f>
        <v>#VALUE!</v>
      </c>
      <c r="AL40" t="e">
        <f>IF(H40+ABS(K40)&lt;0,Logistic(SQRT(H40^2+K40^2)/$B$4),0)</f>
        <v>#VALUE!</v>
      </c>
      <c r="AM40" t="e">
        <f>IF(G40&gt;$B$3,1,0)</f>
        <v>#VALUE!</v>
      </c>
      <c r="AN40" t="e">
        <f>IF(H40&gt;$B$4,1,0)</f>
        <v>#VALUE!</v>
      </c>
      <c r="AO40" t="e">
        <f>ABS(H40)/$B$4</f>
        <v>#VALUE!</v>
      </c>
      <c r="AP40" t="e">
        <f>Logistic(I40/$B$5)</f>
        <v>#VALUE!</v>
      </c>
      <c r="AQ40" t="e">
        <f>IF(I40&gt;$B$5,1,0)</f>
        <v>#VALUE!</v>
      </c>
      <c r="AR40" t="e">
        <f>Logistic(ABS(F40-O40)/($B$6/2))</f>
        <v>#VALUE!</v>
      </c>
      <c r="AS40" t="e">
        <f>IF(OR(F40&lt;M40,F40&gt;N40),1,0)</f>
        <v>#VALUE!</v>
      </c>
      <c r="AT40" t="e">
        <f>ABS(K40)/$B$4</f>
        <v>#VALUE!</v>
      </c>
      <c r="AU40">
        <f t="shared" ca="1" si="40"/>
        <v>0</v>
      </c>
      <c r="AV40" t="e">
        <f ca="1">IF(AND(L40&lt;&gt;$L$15,$Q$15&gt;Safety_Distance),1,0)</f>
        <v>#VALUE!</v>
      </c>
      <c r="AW40" t="e">
        <f ca="1">MAX(1-(IF(Q40/(G40-R40)&gt;0,Q40/(G40-R40),Collision_Time_Buffer)/Collision_Time_Buffer),0)*IF($L$15&lt;&gt;L40,Lane_Change_Multiplier,1)</f>
        <v>#VALUE!</v>
      </c>
      <c r="AX40" t="e">
        <f ca="1">MAX(1-(IF(T40/(G40-U40)&gt;0,T40/(G40-U40),Collision_Time_Buffer)/Collision_Time_Buffer),0)*IF($L$15&lt;&gt;L40,Lane_Change_Multiplier,1)</f>
        <v>#VALUE!</v>
      </c>
      <c r="AY40" t="e">
        <f ca="1">MAX(1-(IF(W40/(G40-X40)&gt;0,W40/(G40-X40),Collision_Time_Buffer)/Collision_Time_Buffer),0)*IF($L$15&lt;&gt;L40,Lane_Change_Multiplier,1)</f>
        <v>#VALUE!</v>
      </c>
      <c r="AZ40" t="e">
        <f ca="1">MAX(1-(IF(Z40/(G40-AA40)&gt;0,Z40/(G40-AA40),Collision_Time_Buffer)/Collision_Time_Buffer),0)*IF($L$15&lt;&gt;L40,Lane_Change_Multiplier,1)</f>
        <v>#VALUE!</v>
      </c>
      <c r="BA40">
        <f t="shared" ca="1" si="41"/>
        <v>0</v>
      </c>
      <c r="BB40">
        <f t="shared" ca="1" si="42"/>
        <v>0</v>
      </c>
      <c r="BC40">
        <f t="shared" si="43"/>
        <v>0</v>
      </c>
      <c r="BE40" t="e">
        <f>Logistic((D40-$B$2)/$B$2)</f>
        <v>#VALUE!</v>
      </c>
      <c r="BF40" t="e">
        <f t="shared" si="44"/>
        <v>#VALUE!</v>
      </c>
      <c r="BG40" t="e">
        <f t="shared" si="45"/>
        <v>#VALUE!</v>
      </c>
      <c r="BH40" t="e">
        <f>Logistic(($B$3-G40)/(G40+1))</f>
        <v>#VALUE!</v>
      </c>
      <c r="BI40" t="e">
        <f>IF(G40&gt;$B$3,1,0)</f>
        <v>#VALUE!</v>
      </c>
      <c r="BJ40" t="e">
        <f>IF(H40&gt;$B$5,1,0)</f>
        <v>#VALUE!</v>
      </c>
      <c r="BK40" t="e">
        <f>EXP(-($B$4-ABS(H40))/MAX(ABS(H40),0.000000001))</f>
        <v>#VALUE!</v>
      </c>
      <c r="BL40" t="e">
        <f t="shared" si="46"/>
        <v>#VALUE!</v>
      </c>
      <c r="BM40" t="e">
        <f>EXP(-($B$5-I40)/MAX(I40,0.000000001))</f>
        <v>#VALUE!</v>
      </c>
      <c r="BN40" t="e">
        <f>IF(F40&gt;N40,(F40-N40)/$B$6,0)+IF(F40&lt;M40,(M40-F40)/$B$6,0)</f>
        <v>#VALUE!</v>
      </c>
      <c r="BO40" t="e">
        <f>ABS(K40/$B$4)</f>
        <v>#VALUE!</v>
      </c>
      <c r="BP40" t="e">
        <f>Logistic(ABS(H40)/$B$4)</f>
        <v>#VALUE!</v>
      </c>
      <c r="BQ40" t="e">
        <f>Logistic(($B$3-G40)/G40)</f>
        <v>#VALUE!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810.58161500000006</v>
      </c>
      <c r="C45">
        <v>9.9397970000000004</v>
      </c>
      <c r="D45">
        <v>15.112723000000001</v>
      </c>
      <c r="E45">
        <v>3</v>
      </c>
    </row>
    <row r="46" spans="1:69" x14ac:dyDescent="0.25">
      <c r="B46">
        <v>764.67190400000004</v>
      </c>
      <c r="C46">
        <v>6.0888520000000002</v>
      </c>
      <c r="D46">
        <v>15.846491</v>
      </c>
      <c r="E46">
        <v>2</v>
      </c>
    </row>
    <row r="47" spans="1:69" x14ac:dyDescent="0.25">
      <c r="B47">
        <v>729.81929300000002</v>
      </c>
      <c r="C47">
        <v>5.9721380000000002</v>
      </c>
      <c r="D47">
        <v>19.727557000000001</v>
      </c>
      <c r="E47">
        <v>2</v>
      </c>
    </row>
    <row r="48" spans="1:69" x14ac:dyDescent="0.25">
      <c r="B48">
        <v>705.58853699999997</v>
      </c>
      <c r="C48">
        <v>10.01684</v>
      </c>
      <c r="D48">
        <v>19.915455999999999</v>
      </c>
      <c r="E48">
        <v>3</v>
      </c>
    </row>
    <row r="49" spans="2:5" x14ac:dyDescent="0.25">
      <c r="B49">
        <v>817.43798500000003</v>
      </c>
      <c r="C49">
        <v>2.0919460000000001</v>
      </c>
      <c r="D49">
        <v>15.932548000000001</v>
      </c>
      <c r="E49">
        <v>1</v>
      </c>
    </row>
    <row r="50" spans="2:5" x14ac:dyDescent="0.25">
      <c r="B50">
        <v>768.84598800000003</v>
      </c>
      <c r="C50">
        <v>10.081469999999999</v>
      </c>
      <c r="D50">
        <v>15.111739999999999</v>
      </c>
      <c r="E50">
        <v>3</v>
      </c>
    </row>
    <row r="51" spans="2:5" x14ac:dyDescent="0.25">
      <c r="B51">
        <v>681.20217300000002</v>
      </c>
      <c r="C51">
        <v>2.0748530000000001</v>
      </c>
      <c r="D51">
        <v>11.841449000000001</v>
      </c>
      <c r="E51">
        <v>1</v>
      </c>
    </row>
    <row r="52" spans="2:5" x14ac:dyDescent="0.25">
      <c r="B52">
        <v>665.19058900000005</v>
      </c>
      <c r="C52">
        <v>9.9224979999999992</v>
      </c>
      <c r="D52">
        <v>19.656742000000001</v>
      </c>
      <c r="E52">
        <v>3</v>
      </c>
    </row>
    <row r="53" spans="2:5" x14ac:dyDescent="0.25">
      <c r="B53">
        <v>746.69571900000005</v>
      </c>
      <c r="C53">
        <v>10.06706</v>
      </c>
      <c r="D53">
        <v>14.222322999999999</v>
      </c>
      <c r="E53">
        <v>3</v>
      </c>
    </row>
    <row r="54" spans="2:5" x14ac:dyDescent="0.25">
      <c r="B54">
        <v>646.64285500000005</v>
      </c>
      <c r="C54">
        <v>1.8540650000000001</v>
      </c>
      <c r="D54">
        <v>4.184399</v>
      </c>
      <c r="E54">
        <v>1</v>
      </c>
    </row>
    <row r="55" spans="2:5" x14ac:dyDescent="0.25">
      <c r="B55">
        <v>798.05903999999998</v>
      </c>
      <c r="C55">
        <v>1.8997889999999999</v>
      </c>
      <c r="D55">
        <v>16.842486999999998</v>
      </c>
      <c r="E55">
        <v>1</v>
      </c>
    </row>
    <row r="56" spans="2:5" x14ac:dyDescent="0.25">
      <c r="B56">
        <v>714.68328899999995</v>
      </c>
      <c r="C56">
        <v>1.9832939999999999</v>
      </c>
      <c r="D56">
        <v>14.660932000000001</v>
      </c>
      <c r="E56">
        <v>1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92D050"/>
  </sheetPr>
  <dimension ref="A1:BQ56"/>
  <sheetViews>
    <sheetView topLeftCell="A11" zoomScale="90" zoomScaleNormal="90" workbookViewId="0">
      <selection activeCell="A22" sqref="A22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-1</v>
      </c>
    </row>
    <row r="12" spans="1:69" x14ac:dyDescent="0.25">
      <c r="A12" t="s">
        <v>183</v>
      </c>
      <c r="B12">
        <f ca="1">INDEX(A16:F40,MATCH(MIN(B16:B40),B16:B40,0),5)</f>
        <v>327.14</v>
      </c>
      <c r="C12">
        <f ca="1">INDEX(A16:F40,MATCH(MIN(B16:B40),B16:B40,0),6)</f>
        <v>6.2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500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316.38</v>
      </c>
      <c r="F15">
        <f>VALUE(MID(C15,FIND("d[",C15)+2,FIND("]",C15,FIND("d[",C15))-(FIND("d[",C15)+2)))</f>
        <v>6.54</v>
      </c>
      <c r="G15">
        <f>VALUE(MID(C15,FIND("s_dot[",C15)+6,FIND("]",C15,FIND("s_dot[",C15))-(FIND("s_dot[",C15)+6)))</f>
        <v>22.36</v>
      </c>
      <c r="H15">
        <f>VALUE(MID(C15,FIND("s_dot2[",C15)+7,FIND("]",C15,FIND("s_dot2[",C15))-(FIND("s_dot2[",C15)+7)))</f>
        <v>0</v>
      </c>
      <c r="I15">
        <f>VALUE(MID(C15,FIND("s_dot3[",C15)+7,FIND("]",C15,FIND("s_dot3[",C15))-(FIND("s_dot3[",C15)+7)))</f>
        <v>0.13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7" si="0">$B$6*(L15-1)</f>
        <v>4</v>
      </c>
      <c r="N15">
        <f t="shared" ref="N15:N37" si="1">$B$6*L15</f>
        <v>8</v>
      </c>
      <c r="O15">
        <f>(N15+M15)/2</f>
        <v>6</v>
      </c>
      <c r="P15">
        <f>GetLeadingCarRow($B$45:$E$56,L15,$E$15, $E$15)</f>
        <v>56</v>
      </c>
      <c r="Q15">
        <f ca="1">IFERROR(INDIRECT(CONCATENATE("B", P15))-$E$15,1000000)</f>
        <v>84.830805999999995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30</v>
      </c>
      <c r="C16" t="s">
        <v>525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327.14</v>
      </c>
      <c r="F16">
        <f>VALUE(MID(C16,FIND("d[",C16)+2,FIND("]",C16,FIND("d[",C16))-(FIND("d[",C16)+2)))</f>
        <v>6.2</v>
      </c>
      <c r="G16">
        <f>VALUE(MID(C16,FIND("s_dot[",C16)+6,FIND("]",C16,FIND("s_dot[",C16))-(FIND("s_dot[",C16)+6)))</f>
        <v>21.52</v>
      </c>
      <c r="H16">
        <f>VALUE(MID(C16,FIND("s_dot2[",C16)+7,FIND("]",C16,FIND("s_dot2[",C16))-(FIND("s_dot2[",C16)+7)))</f>
        <v>-2.97</v>
      </c>
      <c r="I16">
        <f>VALUE(MID(C16,FIND("s_dot3[",C16)+7,FIND("]",C16,FIND("s_dot3[",C16))-(FIND("s_dot3[",C16)+7)))</f>
        <v>3.14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>
        <f t="shared" ref="P16:P40" si="5">GetLeadingCarRow($B$45:$E$56,L16,$E$15, $E$15)</f>
        <v>56</v>
      </c>
      <c r="Q16">
        <f ca="1">IFERROR(INDIRECT(CONCATENATE("B", P16))-$E$15,1000000)</f>
        <v>84.830805999999995</v>
      </c>
      <c r="R16">
        <f ca="1">IFERROR(INDIRECT(CONCATENATE("D", P16)),100)</f>
        <v>16.324805000000001</v>
      </c>
      <c r="S16">
        <f>GetFollowingCarRow($B$45:$E$56,L16,$E$15, $E$15)</f>
        <v>55</v>
      </c>
      <c r="T16">
        <f ca="1">IFERROR(INDIRECT(CONCATENATE("B", S16))-$E$15,1000000)</f>
        <v>-102.23982000000001</v>
      </c>
      <c r="U16">
        <f ca="1">IFERROR(INDIRECT(CONCATENATE("D", S16)),100)</f>
        <v>20.871209</v>
      </c>
      <c r="V16">
        <f>GetLeadingCarRow($B$45:$E$56,L16,$E$15,E16)</f>
        <v>56</v>
      </c>
      <c r="W16">
        <f ca="1">IFERROR(INDIRECT(CONCATENATE("B", V16))-E16,1000000000)</f>
        <v>74.070806000000005</v>
      </c>
      <c r="X16">
        <f ca="1">IFERROR(INDIRECT(CONCATENATE("D", V16)),100)</f>
        <v>16.324805000000001</v>
      </c>
      <c r="Y16">
        <f>GetFollowingCarRow($B$45:$E$56,L16,$E$15,E16)</f>
        <v>55</v>
      </c>
      <c r="Z16">
        <f ca="1">IFERROR(INDIRECT(CONCATENATE("B", Y16))-E16,1000000000)</f>
        <v>-112.99982</v>
      </c>
      <c r="AA16">
        <f ca="1">IFERROR(INDIRECT(CONCATENATE("D", Y16)),100)</f>
        <v>20.871209</v>
      </c>
      <c r="AB16">
        <f>$F$15-F16</f>
        <v>0.33999999999999986</v>
      </c>
      <c r="AC16">
        <f>E16-$E$15</f>
        <v>10.759999999999991</v>
      </c>
      <c r="AD16">
        <f>$F$15-(-AB16/AC16)*$E$15</f>
        <v>16.537137546468404</v>
      </c>
      <c r="AE16">
        <f>AD16*-AC16</f>
        <v>-177.93959999999987</v>
      </c>
      <c r="AF16">
        <f>SQRT(AB16^2+AC16^2)</f>
        <v>10.765370407004109</v>
      </c>
      <c r="AG16">
        <f>GetSmallestNormalDistance($B$45:$E$54,AB16,AC16,AF16,$L$15,L16)</f>
        <v>20.36093358732828</v>
      </c>
      <c r="AH16">
        <f t="shared" ref="AH16:AH37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</v>
      </c>
      <c r="AL16">
        <f>IF(H16+ABS(K16)&lt;0,Logistic(SQRT(H16^2+K16^2)/$B$4),0)</f>
        <v>0.18352197587137037</v>
      </c>
      <c r="AM16">
        <f>IF(G16&gt;$B$3,1,0)</f>
        <v>1</v>
      </c>
      <c r="AN16">
        <f>IF(H16&gt;$B$4,1,0)</f>
        <v>0</v>
      </c>
      <c r="AO16">
        <f>ABS(H16)/$B$4</f>
        <v>0.37125000000000002</v>
      </c>
      <c r="AP16">
        <f>Logistic(I16/$B$5)</f>
        <v>0.19376875651953415</v>
      </c>
      <c r="AQ16">
        <f>IF(I16&gt;$B$5,1,0)</f>
        <v>0</v>
      </c>
      <c r="AR16">
        <f>Logistic(ABS(F16-O16)/($B$6/2))</f>
        <v>4.9958374957880004E-2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7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7" si="8">Logistic(($B$3-G16)/(G16+1))</f>
        <v>-6.6606475027752793E-3</v>
      </c>
      <c r="BI16">
        <f t="shared" ref="BI16:BI37" si="9">IF(G16&gt;$B$3,1,0)</f>
        <v>1</v>
      </c>
      <c r="BJ16">
        <f t="shared" ref="BJ16:BJ37" si="10">IF(H16&gt;$B$5,1,0)</f>
        <v>0</v>
      </c>
      <c r="BK16">
        <f t="shared" ref="BK16:BK37" si="11">EXP(-($B$4-ABS(H16))/MAX(ABS(H16),0.000000001))</f>
        <v>0.18385595272404015</v>
      </c>
      <c r="BL16">
        <f>IF(G16&lt;ABS(H16),1,0)</f>
        <v>0</v>
      </c>
      <c r="BM16">
        <f t="shared" ref="BM16:BM37" si="12">EXP(-($B$5-I16)/MAX(I16,0.000000001))</f>
        <v>0.21272166590414993</v>
      </c>
      <c r="BN16">
        <f t="shared" ref="BN16:BN37" si="13">IF(F16&gt;N16,(F16-N16)/$B$6,0)+IF(F16&lt;M16,(M16-F16)/$B$6,0)</f>
        <v>0</v>
      </c>
      <c r="BO16">
        <f t="shared" ref="BO16:BO37" si="14">ABS(K16/$B$4)</f>
        <v>0</v>
      </c>
      <c r="BP16">
        <f t="shared" ref="BP16:BP37" si="15">Logistic(ABS(H16)/$B$4)</f>
        <v>0.18352197587137037</v>
      </c>
      <c r="BQ16">
        <f t="shared" ref="BQ16:BQ37" si="16">Logistic(($B$3-G16)/G16)</f>
        <v>-6.9701473429753793E-3</v>
      </c>
    </row>
    <row r="17" spans="1:69" x14ac:dyDescent="0.25">
      <c r="A17" s="1" t="s">
        <v>15</v>
      </c>
      <c r="B17">
        <f t="shared" ca="1" si="2"/>
        <v>30</v>
      </c>
      <c r="C17" t="s">
        <v>524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327.39</v>
      </c>
      <c r="F17">
        <f t="shared" ref="F17:F40" si="19">VALUE(MID(C17,FIND("d[",C17)+2,FIND("]",C17,FIND("d[",C17))-(FIND("d[",C17)+2)))</f>
        <v>6.22</v>
      </c>
      <c r="G17">
        <f t="shared" ref="G17:G40" si="20">VALUE(MID(C17,FIND("s_dot[",C17)+6,FIND("]",C17,FIND("s_dot[",C17))-(FIND("s_dot[",C17)+6)))</f>
        <v>22.02</v>
      </c>
      <c r="H17">
        <f t="shared" ref="H17:H40" si="21">VALUE(MID(C17,FIND("s_dot2[",C17)+7,FIND("]",C17,FIND("s_dot2[",C17))-(FIND("s_dot2[",C17)+7)))</f>
        <v>-1.35</v>
      </c>
      <c r="I17">
        <f t="shared" ref="I17:I40" si="22">VALUE(MID(C17,FIND("s_dot3[",C17)+7,FIND("]",C17,FIND("s_dot3[",C17))-(FIND("s_dot3[",C17)+7)))</f>
        <v>1.52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>
        <f t="shared" si="5"/>
        <v>56</v>
      </c>
      <c r="Q17">
        <f t="shared" ref="Q17:Q40" ca="1" si="25">IFERROR(INDIRECT(CONCATENATE("B", P17))-$E$15,1000000)</f>
        <v>84.830805999999995</v>
      </c>
      <c r="R17">
        <f t="shared" ref="R17:R40" ca="1" si="26">IFERROR(INDIRECT(CONCATENATE("D", P17)),100)</f>
        <v>16.324805000000001</v>
      </c>
      <c r="S17">
        <f t="shared" ref="S17:S40" si="27">GetFollowingCarRow($B$45:$E$56,L17,$E$15, $E$15)</f>
        <v>55</v>
      </c>
      <c r="T17">
        <f t="shared" ref="T17:T40" ca="1" si="28">IFERROR(INDIRECT(CONCATENATE("B", S17))-$E$15,1000000)</f>
        <v>-102.23982000000001</v>
      </c>
      <c r="U17">
        <f t="shared" ref="U17:U40" ca="1" si="29">IFERROR(INDIRECT(CONCATENATE("D", S17)),100)</f>
        <v>20.871209</v>
      </c>
      <c r="V17">
        <f t="shared" ref="V17:V40" si="30">GetLeadingCarRow($B$45:$E$56,L17,$E$15,E17)</f>
        <v>56</v>
      </c>
      <c r="W17">
        <f t="shared" ref="W17:W40" ca="1" si="31">IFERROR(INDIRECT(CONCATENATE("B", V17))-E17,1000000000)</f>
        <v>73.820806000000005</v>
      </c>
      <c r="X17">
        <f t="shared" ref="X17:X40" ca="1" si="32">IFERROR(INDIRECT(CONCATENATE("D", V17)),100)</f>
        <v>16.324805000000001</v>
      </c>
      <c r="Y17" t="e">
        <f>GetFollowingCarRow($B$45:$E$54,L17,$E$15,E17)</f>
        <v>#VALUE!</v>
      </c>
      <c r="Z17">
        <f t="shared" ref="Z17:Z40" ca="1" si="33">IFERROR(INDIRECT(CONCATENATE("B", Y17))-E17,1000000000)</f>
        <v>1000000000</v>
      </c>
      <c r="AA17">
        <f t="shared" ref="AA17:AA40" ca="1" si="34">IFERROR(INDIRECT(CONCATENATE("D", Y17)),100)</f>
        <v>100</v>
      </c>
      <c r="AB17">
        <f t="shared" ref="AB17:AB40" si="35">$F$15-F17</f>
        <v>0.32000000000000028</v>
      </c>
      <c r="AC17">
        <f t="shared" ref="AC17:AC40" si="36">E17-$E$15</f>
        <v>11.009999999999991</v>
      </c>
      <c r="AD17">
        <f t="shared" ref="AD17:AD40" si="37">$F$15-(-AB17/AC17)*$E$15</f>
        <v>15.735422343324267</v>
      </c>
      <c r="AE17">
        <f t="shared" ref="AE17:AE40" si="38">AD17*-AC17</f>
        <v>-173.24700000000004</v>
      </c>
      <c r="AF17">
        <f t="shared" ref="AF17:AF40" si="39">SQRT(AB17^2+AC17^2)</f>
        <v>11.014649336224908</v>
      </c>
      <c r="AG17">
        <f>GetSmallestNormalDistance($B$45:$E$54,AB17,AC17,AF17,$L$15,L17)</f>
        <v>19.207276832156449</v>
      </c>
      <c r="AH17">
        <f t="shared" si="6"/>
        <v>0</v>
      </c>
      <c r="AI17">
        <f>IF(G17&lt;=0,1,0)</f>
        <v>0</v>
      </c>
      <c r="AJ17">
        <f>IF(G17&lt;0,1,0)</f>
        <v>0</v>
      </c>
      <c r="AK17">
        <f>MAX(($B$3-G17)/(G17 + 1),0) / $B$3</f>
        <v>0</v>
      </c>
      <c r="AL17">
        <f>IF(H17+ABS(K17)&lt;0,Logistic(SQRT(H17^2+K17^2)/$B$4),0)</f>
        <v>8.4175342705994707E-2</v>
      </c>
      <c r="AM17">
        <f>IF(G17&gt;$B$3,1,0)</f>
        <v>1</v>
      </c>
      <c r="AN17">
        <f>IF(H17&gt;$B$4,1,0)</f>
        <v>0</v>
      </c>
      <c r="AO17">
        <f>ABS(H17)/$B$4</f>
        <v>0.16875000000000001</v>
      </c>
      <c r="AP17">
        <f>Logistic(I17/$B$5)</f>
        <v>9.4715236286178561E-2</v>
      </c>
      <c r="AQ17">
        <f>IF(I17&gt;$B$5,1,0)</f>
        <v>0</v>
      </c>
      <c r="AR17">
        <f>Logistic(ABS(F17-O17)/($B$6/2))</f>
        <v>5.494460868918738E-2</v>
      </c>
      <c r="AS17">
        <f>IF(OR(F17&lt;M17,F17&gt;N17),1,0)</f>
        <v>0</v>
      </c>
      <c r="AT17">
        <f>ABS(K17)/$B$4</f>
        <v>0</v>
      </c>
      <c r="AU17">
        <f t="shared" ref="AU17:AU40" ca="1" si="40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1">IF(OR(ABS(Q17)&lt;$B$8,ABS(W17)&lt;$B$8),1,0)</f>
        <v>0</v>
      </c>
      <c r="BB17">
        <f t="shared" ref="BB17:BB40" ca="1" si="42">IF(OR(ABS(T17)&lt;$B$8,ABS(Z17)&lt;$B$8),1,0)</f>
        <v>0</v>
      </c>
      <c r="BC17">
        <f t="shared" ref="BC17:BC40" si="43">IFERROR(IF(P17=Y17,1,0),0)</f>
        <v>0</v>
      </c>
      <c r="BE17">
        <f t="shared" si="7"/>
        <v>0</v>
      </c>
      <c r="BF17">
        <f t="shared" ref="BF17:BF40" si="44">IF(G17&lt;=0,1,0)</f>
        <v>0</v>
      </c>
      <c r="BG17">
        <f t="shared" ref="BG17:BG40" si="45">IF(G17&lt;0,1,0)</f>
        <v>0</v>
      </c>
      <c r="BH17">
        <f t="shared" si="8"/>
        <v>-1.7374446014025553E-2</v>
      </c>
      <c r="BI17">
        <f t="shared" si="9"/>
        <v>1</v>
      </c>
      <c r="BJ17">
        <f t="shared" si="10"/>
        <v>0</v>
      </c>
      <c r="BK17">
        <f t="shared" si="11"/>
        <v>7.2560046456074234E-3</v>
      </c>
      <c r="BL17">
        <f t="shared" ref="BL17:BL40" si="46">IF(G17&lt;ABS(H17),1,0)</f>
        <v>0</v>
      </c>
      <c r="BM17">
        <f t="shared" si="12"/>
        <v>1.4077776007559566E-2</v>
      </c>
      <c r="BN17">
        <f t="shared" si="13"/>
        <v>0</v>
      </c>
      <c r="BO17">
        <f t="shared" si="14"/>
        <v>0</v>
      </c>
      <c r="BP17">
        <f t="shared" si="15"/>
        <v>8.4175342705994707E-2</v>
      </c>
      <c r="BQ17">
        <f t="shared" si="16"/>
        <v>-1.8163306480588975E-2</v>
      </c>
    </row>
    <row r="18" spans="1:69" x14ac:dyDescent="0.25">
      <c r="A18" s="1" t="s">
        <v>14</v>
      </c>
      <c r="B18">
        <f t="shared" ca="1" si="2"/>
        <v>30</v>
      </c>
      <c r="C18" t="s">
        <v>523</v>
      </c>
      <c r="D18">
        <f t="shared" si="17"/>
        <v>50</v>
      </c>
      <c r="E18">
        <f t="shared" si="18"/>
        <v>327.72</v>
      </c>
      <c r="F18">
        <f t="shared" si="19"/>
        <v>6.23</v>
      </c>
      <c r="G18">
        <f t="shared" si="20"/>
        <v>22.67</v>
      </c>
      <c r="H18">
        <f t="shared" si="21"/>
        <v>0.75</v>
      </c>
      <c r="I18">
        <f t="shared" si="22"/>
        <v>0.59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>
        <f t="shared" si="5"/>
        <v>56</v>
      </c>
      <c r="Q18">
        <f t="shared" ca="1" si="25"/>
        <v>84.830805999999995</v>
      </c>
      <c r="R18">
        <f t="shared" ca="1" si="26"/>
        <v>16.324805000000001</v>
      </c>
      <c r="S18">
        <f t="shared" si="27"/>
        <v>55</v>
      </c>
      <c r="T18">
        <f t="shared" ca="1" si="28"/>
        <v>-102.23982000000001</v>
      </c>
      <c r="U18">
        <f t="shared" ca="1" si="29"/>
        <v>20.871209</v>
      </c>
      <c r="V18">
        <f t="shared" si="30"/>
        <v>56</v>
      </c>
      <c r="W18">
        <f t="shared" ca="1" si="31"/>
        <v>73.490805999999964</v>
      </c>
      <c r="X18">
        <f t="shared" ca="1" si="32"/>
        <v>16.324805000000001</v>
      </c>
      <c r="Y18" t="e">
        <f>GetFollowingCarRow($B$45:$E$54,L18,$E$15,E18)</f>
        <v>#VALUE!</v>
      </c>
      <c r="Z18">
        <f t="shared" ca="1" si="33"/>
        <v>1000000000</v>
      </c>
      <c r="AA18">
        <f t="shared" ca="1" si="34"/>
        <v>100</v>
      </c>
      <c r="AB18">
        <f t="shared" si="35"/>
        <v>0.30999999999999961</v>
      </c>
      <c r="AC18">
        <f t="shared" si="36"/>
        <v>11.340000000000032</v>
      </c>
      <c r="AD18">
        <f t="shared" si="37"/>
        <v>15.188835978835943</v>
      </c>
      <c r="AE18">
        <f t="shared" si="38"/>
        <v>-172.24140000000008</v>
      </c>
      <c r="AF18">
        <f t="shared" si="39"/>
        <v>11.344236422077985</v>
      </c>
      <c r="AG18">
        <f>GetSmallestNormalDistance($B$45:$E$54,AB18,AC18,AF18,$L$15,L18)</f>
        <v>18.42057755807264</v>
      </c>
      <c r="AH18">
        <f t="shared" si="6"/>
        <v>0</v>
      </c>
      <c r="AI18">
        <f>IF(G18&lt;=0,1,0)</f>
        <v>0</v>
      </c>
      <c r="AJ18">
        <f>IF(G18&lt;0,1,0)</f>
        <v>0</v>
      </c>
      <c r="AK18">
        <f>MAX(($B$3-G18)/(G18 + 1),0) / $B$3</f>
        <v>0</v>
      </c>
      <c r="AL18">
        <f>IF(H18+ABS(K18)&lt;0,Logistic(SQRT(H18^2+K18^2)/$B$4),0)</f>
        <v>0</v>
      </c>
      <c r="AM18">
        <f>IF(G18&gt;$B$3,1,0)</f>
        <v>1</v>
      </c>
      <c r="AN18">
        <f>IF(H18&gt;$B$4,1,0)</f>
        <v>0</v>
      </c>
      <c r="AO18">
        <f>ABS(H18)/$B$4</f>
        <v>9.375E-2</v>
      </c>
      <c r="AP18">
        <f>Logistic(I18/$B$5)</f>
        <v>3.6858295299924661E-2</v>
      </c>
      <c r="AQ18">
        <f>IF(I18&gt;$B$5,1,0)</f>
        <v>0</v>
      </c>
      <c r="AR18">
        <f>Logistic(ABS(F18-O18)/($B$6/2))</f>
        <v>5.7436713902879341E-2</v>
      </c>
      <c r="AS18">
        <f>IF(OR(F18&lt;M18,F18&gt;N18),1,0)</f>
        <v>0</v>
      </c>
      <c r="AT18">
        <f>ABS(K18)/$B$4</f>
        <v>0</v>
      </c>
      <c r="AU18">
        <f t="shared" ca="1" si="40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41"/>
        <v>0</v>
      </c>
      <c r="BB18">
        <f t="shared" ca="1" si="42"/>
        <v>0</v>
      </c>
      <c r="BC18">
        <f t="shared" si="43"/>
        <v>0</v>
      </c>
      <c r="BE18">
        <f t="shared" si="7"/>
        <v>0</v>
      </c>
      <c r="BF18">
        <f t="shared" si="44"/>
        <v>0</v>
      </c>
      <c r="BG18">
        <f t="shared" si="45"/>
        <v>0</v>
      </c>
      <c r="BH18">
        <f t="shared" si="8"/>
        <v>-3.0619913886766163E-2</v>
      </c>
      <c r="BI18">
        <f t="shared" si="9"/>
        <v>1</v>
      </c>
      <c r="BJ18">
        <f t="shared" si="10"/>
        <v>0</v>
      </c>
      <c r="BK18">
        <f t="shared" si="11"/>
        <v>6.3360706074559649E-5</v>
      </c>
      <c r="BL18">
        <f t="shared" si="46"/>
        <v>0</v>
      </c>
      <c r="BM18">
        <f t="shared" si="12"/>
        <v>3.5120100032196047E-6</v>
      </c>
      <c r="BN18">
        <f t="shared" si="13"/>
        <v>0</v>
      </c>
      <c r="BO18">
        <f t="shared" si="14"/>
        <v>0</v>
      </c>
      <c r="BP18">
        <f t="shared" si="15"/>
        <v>4.6840697872648059E-2</v>
      </c>
      <c r="BQ18">
        <f t="shared" si="16"/>
        <v>-3.1969692744078355E-2</v>
      </c>
    </row>
    <row r="19" spans="1:69" x14ac:dyDescent="0.25">
      <c r="A19" s="1" t="s">
        <v>13</v>
      </c>
      <c r="B19">
        <f t="shared" ca="1" si="2"/>
        <v>30</v>
      </c>
      <c r="C19" t="s">
        <v>522</v>
      </c>
      <c r="D19">
        <f t="shared" si="17"/>
        <v>50</v>
      </c>
      <c r="E19">
        <f t="shared" si="18"/>
        <v>327.79</v>
      </c>
      <c r="F19">
        <f t="shared" si="19"/>
        <v>6.24</v>
      </c>
      <c r="G19">
        <f t="shared" si="20"/>
        <v>22.82</v>
      </c>
      <c r="H19">
        <f t="shared" si="21"/>
        <v>1.24</v>
      </c>
      <c r="I19">
        <f t="shared" si="22"/>
        <v>1.07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>
        <f t="shared" si="5"/>
        <v>56</v>
      </c>
      <c r="Q19">
        <f t="shared" ca="1" si="25"/>
        <v>84.830805999999995</v>
      </c>
      <c r="R19">
        <f t="shared" ca="1" si="26"/>
        <v>16.324805000000001</v>
      </c>
      <c r="S19">
        <f t="shared" si="27"/>
        <v>55</v>
      </c>
      <c r="T19">
        <f t="shared" ca="1" si="28"/>
        <v>-102.23982000000001</v>
      </c>
      <c r="U19">
        <f t="shared" ca="1" si="29"/>
        <v>20.871209</v>
      </c>
      <c r="V19">
        <f t="shared" si="30"/>
        <v>56</v>
      </c>
      <c r="W19">
        <f t="shared" ca="1" si="31"/>
        <v>73.42080599999997</v>
      </c>
      <c r="X19">
        <f t="shared" ca="1" si="32"/>
        <v>16.324805000000001</v>
      </c>
      <c r="Y19" t="e">
        <f>GetFollowingCarRow($B$45:$E$54,L19,$E$15,E19)</f>
        <v>#VALUE!</v>
      </c>
      <c r="Z19">
        <f t="shared" ca="1" si="33"/>
        <v>1000000000</v>
      </c>
      <c r="AA19">
        <f t="shared" ca="1" si="34"/>
        <v>100</v>
      </c>
      <c r="AB19">
        <f t="shared" si="35"/>
        <v>0.29999999999999982</v>
      </c>
      <c r="AC19">
        <f t="shared" si="36"/>
        <v>11.410000000000025</v>
      </c>
      <c r="AD19">
        <f t="shared" si="37"/>
        <v>14.858492550394367</v>
      </c>
      <c r="AE19">
        <f t="shared" si="38"/>
        <v>-169.5354000000001</v>
      </c>
      <c r="AF19">
        <f t="shared" si="39"/>
        <v>11.413943227474043</v>
      </c>
      <c r="AG19">
        <f>GetSmallestNormalDistance($B$45:$E$54,AB19,AC19,AF19,$L$15,L19)</f>
        <v>17.945052694582966</v>
      </c>
      <c r="AH19">
        <f t="shared" si="6"/>
        <v>0</v>
      </c>
      <c r="AI19">
        <f>IF(G19&lt;=0,1,0)</f>
        <v>0</v>
      </c>
      <c r="AJ19">
        <f>IF(G19&lt;0,1,0)</f>
        <v>0</v>
      </c>
      <c r="AK19">
        <f>MAX(($B$3-G19)/(G19 + 1),0) / $B$3</f>
        <v>0</v>
      </c>
      <c r="AL19">
        <f>IF(H19+ABS(K19)&lt;0,Logistic(SQRT(H19^2+K19^2)/$B$4),0)</f>
        <v>0</v>
      </c>
      <c r="AM19">
        <f>IF(G19&gt;$B$3,1,0)</f>
        <v>1</v>
      </c>
      <c r="AN19">
        <f>IF(H19&gt;$B$4,1,0)</f>
        <v>0</v>
      </c>
      <c r="AO19">
        <f>ABS(H19)/$B$4</f>
        <v>0.155</v>
      </c>
      <c r="AP19">
        <f>Logistic(I19/$B$5)</f>
        <v>6.6775483766863597E-2</v>
      </c>
      <c r="AQ19">
        <f>IF(I19&gt;$B$5,1,0)</f>
        <v>0</v>
      </c>
      <c r="AR19">
        <f>Logistic(ABS(F19-O19)/($B$6/2))</f>
        <v>5.9928103529143587E-2</v>
      </c>
      <c r="AS19">
        <f>IF(OR(F19&lt;M19,F19&gt;N19),1,0)</f>
        <v>0</v>
      </c>
      <c r="AT19">
        <f>ABS(K19)/$B$4</f>
        <v>0</v>
      </c>
      <c r="AU19">
        <f t="shared" ca="1" si="40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41"/>
        <v>0</v>
      </c>
      <c r="BB19">
        <f t="shared" ca="1" si="42"/>
        <v>0</v>
      </c>
      <c r="BC19">
        <f t="shared" si="43"/>
        <v>0</v>
      </c>
      <c r="BE19">
        <f t="shared" si="7"/>
        <v>0</v>
      </c>
      <c r="BF19">
        <f t="shared" si="44"/>
        <v>0</v>
      </c>
      <c r="BG19">
        <f t="shared" si="45"/>
        <v>0</v>
      </c>
      <c r="BH19">
        <f t="shared" si="8"/>
        <v>-3.357260052080846E-2</v>
      </c>
      <c r="BI19">
        <f t="shared" si="9"/>
        <v>1</v>
      </c>
      <c r="BJ19">
        <f t="shared" si="10"/>
        <v>0</v>
      </c>
      <c r="BK19">
        <f t="shared" si="11"/>
        <v>4.289380752379876E-3</v>
      </c>
      <c r="BL19">
        <f t="shared" si="46"/>
        <v>0</v>
      </c>
      <c r="BM19">
        <f t="shared" si="12"/>
        <v>1.5389798547860674E-3</v>
      </c>
      <c r="BN19">
        <f t="shared" si="13"/>
        <v>0</v>
      </c>
      <c r="BO19">
        <f t="shared" si="14"/>
        <v>0</v>
      </c>
      <c r="BP19">
        <f t="shared" si="15"/>
        <v>7.734521041301598E-2</v>
      </c>
      <c r="BQ19">
        <f t="shared" si="16"/>
        <v>-3.5042613063298533E-2</v>
      </c>
    </row>
    <row r="20" spans="1:69" x14ac:dyDescent="0.25">
      <c r="A20" s="1" t="s">
        <v>12</v>
      </c>
      <c r="B20">
        <f t="shared" ca="1" si="2"/>
        <v>30</v>
      </c>
      <c r="C20" t="s">
        <v>521</v>
      </c>
      <c r="D20">
        <f t="shared" si="17"/>
        <v>50</v>
      </c>
      <c r="E20">
        <f t="shared" si="18"/>
        <v>327.89</v>
      </c>
      <c r="F20">
        <f t="shared" si="19"/>
        <v>6.24</v>
      </c>
      <c r="G20">
        <f t="shared" si="20"/>
        <v>23.02</v>
      </c>
      <c r="H20">
        <f t="shared" si="21"/>
        <v>1.88</v>
      </c>
      <c r="I20">
        <f t="shared" si="22"/>
        <v>1.72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>
        <f t="shared" si="5"/>
        <v>56</v>
      </c>
      <c r="Q20">
        <f t="shared" ca="1" si="25"/>
        <v>84.830805999999995</v>
      </c>
      <c r="R20">
        <f t="shared" ca="1" si="26"/>
        <v>16.324805000000001</v>
      </c>
      <c r="S20">
        <f t="shared" si="27"/>
        <v>55</v>
      </c>
      <c r="T20">
        <f t="shared" ca="1" si="28"/>
        <v>-102.23982000000001</v>
      </c>
      <c r="U20">
        <f t="shared" ca="1" si="29"/>
        <v>20.871209</v>
      </c>
      <c r="V20">
        <f t="shared" si="30"/>
        <v>56</v>
      </c>
      <c r="W20">
        <f t="shared" ca="1" si="31"/>
        <v>73.320806000000005</v>
      </c>
      <c r="X20">
        <f t="shared" ca="1" si="32"/>
        <v>16.324805000000001</v>
      </c>
      <c r="Y20" t="e">
        <f>GetFollowingCarRow($B$45:$E$54,L20,$E$15,E20)</f>
        <v>#VALUE!</v>
      </c>
      <c r="Z20">
        <f t="shared" ca="1" si="33"/>
        <v>1000000000</v>
      </c>
      <c r="AA20">
        <f t="shared" ca="1" si="34"/>
        <v>100</v>
      </c>
      <c r="AB20">
        <f t="shared" si="35"/>
        <v>0.29999999999999982</v>
      </c>
      <c r="AC20">
        <f t="shared" si="36"/>
        <v>11.509999999999991</v>
      </c>
      <c r="AD20">
        <f t="shared" si="37"/>
        <v>14.78622067767159</v>
      </c>
      <c r="AE20">
        <f t="shared" si="38"/>
        <v>-170.18939999999986</v>
      </c>
      <c r="AF20">
        <f t="shared" si="39"/>
        <v>11.51390898001195</v>
      </c>
      <c r="AG20">
        <f>GetSmallestNormalDistance($B$45:$E$54,AB20,AC20,AF20,$L$15,L20)</f>
        <v>17.841012181580286</v>
      </c>
      <c r="AH20">
        <f t="shared" si="6"/>
        <v>0</v>
      </c>
      <c r="AI20">
        <f>IF(G20&lt;=0,1,0)</f>
        <v>0</v>
      </c>
      <c r="AJ20">
        <f>IF(G20&lt;0,1,0)</f>
        <v>0</v>
      </c>
      <c r="AK20">
        <f>MAX(($B$3-G20)/(G20 + 1),0) / $B$3</f>
        <v>0</v>
      </c>
      <c r="AL20">
        <f>IF(H20+ABS(K20)&lt;0,Logistic(SQRT(H20^2+K20^2)/$B$4),0)</f>
        <v>0</v>
      </c>
      <c r="AM20">
        <f>IF(G20&gt;$B$3,1,0)</f>
        <v>1</v>
      </c>
      <c r="AN20">
        <f>IF(H20&gt;$B$4,1,0)</f>
        <v>0</v>
      </c>
      <c r="AO20">
        <f>ABS(H20)/$B$4</f>
        <v>0.23499999999999999</v>
      </c>
      <c r="AP20">
        <f>Logistic(I20/$B$5)</f>
        <v>0.1070878063022366</v>
      </c>
      <c r="AQ20">
        <f>IF(I20&gt;$B$5,1,0)</f>
        <v>0</v>
      </c>
      <c r="AR20">
        <f>Logistic(ABS(F20-O20)/($B$6/2))</f>
        <v>5.9928103529143587E-2</v>
      </c>
      <c r="AS20">
        <f>IF(OR(F20&lt;M20,F20&gt;N20),1,0)</f>
        <v>0</v>
      </c>
      <c r="AT20">
        <f>ABS(K20)/$B$4</f>
        <v>0</v>
      </c>
      <c r="AU20">
        <f t="shared" ca="1" si="40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41"/>
        <v>0</v>
      </c>
      <c r="BB20">
        <f t="shared" ca="1" si="42"/>
        <v>0</v>
      </c>
      <c r="BC20">
        <f t="shared" si="43"/>
        <v>0</v>
      </c>
      <c r="BE20">
        <f t="shared" si="7"/>
        <v>0</v>
      </c>
      <c r="BF20">
        <f t="shared" si="44"/>
        <v>0</v>
      </c>
      <c r="BG20">
        <f t="shared" si="45"/>
        <v>0</v>
      </c>
      <c r="BH20">
        <f t="shared" si="8"/>
        <v>-3.745125160816249E-2</v>
      </c>
      <c r="BI20">
        <f t="shared" si="9"/>
        <v>1</v>
      </c>
      <c r="BJ20">
        <f t="shared" si="10"/>
        <v>0</v>
      </c>
      <c r="BK20">
        <f t="shared" si="11"/>
        <v>3.8568509600138592E-2</v>
      </c>
      <c r="BL20">
        <f t="shared" si="46"/>
        <v>0</v>
      </c>
      <c r="BM20">
        <f t="shared" si="12"/>
        <v>2.5960924100252206E-2</v>
      </c>
      <c r="BN20">
        <f t="shared" si="13"/>
        <v>0</v>
      </c>
      <c r="BO20">
        <f t="shared" si="14"/>
        <v>0</v>
      </c>
      <c r="BP20">
        <f t="shared" si="15"/>
        <v>0.11696222487632273</v>
      </c>
      <c r="BQ20">
        <f t="shared" si="16"/>
        <v>-3.9076530006914925E-2</v>
      </c>
    </row>
    <row r="21" spans="1:69" x14ac:dyDescent="0.25">
      <c r="A21" s="1" t="s">
        <v>33</v>
      </c>
      <c r="B21">
        <f t="shared" ca="1" si="2"/>
        <v>30</v>
      </c>
      <c r="C21" t="s">
        <v>520</v>
      </c>
      <c r="D21">
        <f t="shared" si="17"/>
        <v>50</v>
      </c>
      <c r="E21">
        <f t="shared" si="18"/>
        <v>327.64</v>
      </c>
      <c r="F21">
        <f t="shared" si="19"/>
        <v>6.23</v>
      </c>
      <c r="G21">
        <f t="shared" si="20"/>
        <v>22.52</v>
      </c>
      <c r="H21">
        <f t="shared" si="21"/>
        <v>0.26</v>
      </c>
      <c r="I21">
        <f t="shared" si="22"/>
        <v>0.1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>
        <f t="shared" si="5"/>
        <v>56</v>
      </c>
      <c r="Q21">
        <f t="shared" ca="1" si="25"/>
        <v>84.830805999999995</v>
      </c>
      <c r="R21">
        <f t="shared" ca="1" si="26"/>
        <v>16.324805000000001</v>
      </c>
      <c r="S21">
        <f t="shared" si="27"/>
        <v>55</v>
      </c>
      <c r="T21">
        <f t="shared" ca="1" si="28"/>
        <v>-102.23982000000001</v>
      </c>
      <c r="U21">
        <f t="shared" ca="1" si="29"/>
        <v>20.871209</v>
      </c>
      <c r="V21">
        <f t="shared" si="30"/>
        <v>56</v>
      </c>
      <c r="W21">
        <f t="shared" ca="1" si="31"/>
        <v>73.570806000000005</v>
      </c>
      <c r="X21">
        <f t="shared" ca="1" si="32"/>
        <v>16.324805000000001</v>
      </c>
      <c r="Y21" t="e">
        <f>GetFollowingCarRow($B$45:$E$54,L21,$E$15,E21)</f>
        <v>#VALUE!</v>
      </c>
      <c r="Z21">
        <f t="shared" ca="1" si="33"/>
        <v>1000000000</v>
      </c>
      <c r="AA21">
        <f t="shared" ca="1" si="34"/>
        <v>100</v>
      </c>
      <c r="AB21">
        <f t="shared" si="35"/>
        <v>0.30999999999999961</v>
      </c>
      <c r="AC21">
        <f t="shared" si="36"/>
        <v>11.259999999999991</v>
      </c>
      <c r="AD21">
        <f t="shared" si="37"/>
        <v>15.250284191829479</v>
      </c>
      <c r="AE21">
        <f t="shared" si="38"/>
        <v>-171.7181999999998</v>
      </c>
      <c r="AF21">
        <f t="shared" si="39"/>
        <v>11.264266509631232</v>
      </c>
      <c r="AG21">
        <f>GetSmallestNormalDistance($B$45:$E$54,AB21,AC21,AF21,$L$15,L21)</f>
        <v>18.509026265645883</v>
      </c>
      <c r="AH21">
        <f t="shared" si="6"/>
        <v>0</v>
      </c>
      <c r="AI21">
        <f>IF(G21&lt;=0,1,0)</f>
        <v>0</v>
      </c>
      <c r="AJ21">
        <f>IF(G21&lt;0,1,0)</f>
        <v>0</v>
      </c>
      <c r="AK21">
        <f>MAX(($B$3-G21)/(G21 + 1),0) / $B$3</f>
        <v>0</v>
      </c>
      <c r="AL21">
        <f>IF(H21+ABS(K21)&lt;0,Logistic(SQRT(H21^2+K21^2)/$B$4),0)</f>
        <v>0</v>
      </c>
      <c r="AM21">
        <f>IF(G21&gt;$B$3,1,0)</f>
        <v>1</v>
      </c>
      <c r="AN21">
        <f>IF(H21&gt;$B$4,1,0)</f>
        <v>0</v>
      </c>
      <c r="AO21">
        <f>ABS(H21)/$B$4</f>
        <v>3.2500000000000001E-2</v>
      </c>
      <c r="AP21">
        <f>Logistic(I21/$B$5)</f>
        <v>6.2499186210632053E-3</v>
      </c>
      <c r="AQ21">
        <f>IF(I21&gt;$B$5,1,0)</f>
        <v>0</v>
      </c>
      <c r="AR21">
        <f>Logistic(ABS(F21-O21)/($B$6/2))</f>
        <v>5.7436713902879341E-2</v>
      </c>
      <c r="AS21">
        <f>IF(OR(F21&lt;M21,F21&gt;N21),1,0)</f>
        <v>0</v>
      </c>
      <c r="AT21">
        <f>ABS(K21)/$B$4</f>
        <v>0</v>
      </c>
      <c r="AU21">
        <f t="shared" ca="1" si="40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1"/>
        <v>0</v>
      </c>
      <c r="BB21">
        <f t="shared" ca="1" si="42"/>
        <v>0</v>
      </c>
      <c r="BC21">
        <f t="shared" si="43"/>
        <v>0</v>
      </c>
      <c r="BE21">
        <f t="shared" si="7"/>
        <v>0</v>
      </c>
      <c r="BF21">
        <f t="shared" si="44"/>
        <v>0</v>
      </c>
      <c r="BG21">
        <f t="shared" si="45"/>
        <v>0</v>
      </c>
      <c r="BH21">
        <f t="shared" si="8"/>
        <v>-2.7629020877803036E-2</v>
      </c>
      <c r="BI21">
        <f t="shared" si="9"/>
        <v>1</v>
      </c>
      <c r="BJ21">
        <f t="shared" si="10"/>
        <v>0</v>
      </c>
      <c r="BK21">
        <f t="shared" si="11"/>
        <v>1.1786567465600531E-13</v>
      </c>
      <c r="BL21">
        <f t="shared" si="46"/>
        <v>0</v>
      </c>
      <c r="BM21">
        <f t="shared" si="12"/>
        <v>4.9060947306492808E-35</v>
      </c>
      <c r="BN21">
        <f t="shared" si="13"/>
        <v>0</v>
      </c>
      <c r="BO21">
        <f t="shared" si="14"/>
        <v>0</v>
      </c>
      <c r="BP21">
        <f t="shared" si="15"/>
        <v>1.6248569812521704E-2</v>
      </c>
      <c r="BQ21">
        <f t="shared" si="16"/>
        <v>-2.8855220165143497E-2</v>
      </c>
    </row>
    <row r="22" spans="1:69" x14ac:dyDescent="0.25">
      <c r="A22" s="1" t="s">
        <v>11</v>
      </c>
      <c r="B22">
        <f t="shared" ca="1" si="2"/>
        <v>30</v>
      </c>
      <c r="C22" t="s">
        <v>519</v>
      </c>
      <c r="D22">
        <f t="shared" si="17"/>
        <v>50</v>
      </c>
      <c r="E22">
        <f t="shared" si="18"/>
        <v>327.60000000000002</v>
      </c>
      <c r="F22">
        <f t="shared" si="19"/>
        <v>6.23</v>
      </c>
      <c r="G22">
        <f t="shared" si="20"/>
        <v>22.44</v>
      </c>
      <c r="H22">
        <f t="shared" si="21"/>
        <v>0</v>
      </c>
      <c r="I22">
        <f t="shared" si="22"/>
        <v>0.16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>
        <f t="shared" si="5"/>
        <v>56</v>
      </c>
      <c r="Q22">
        <f t="shared" ca="1" si="25"/>
        <v>84.830805999999995</v>
      </c>
      <c r="R22">
        <f t="shared" ca="1" si="26"/>
        <v>16.324805000000001</v>
      </c>
      <c r="S22">
        <f t="shared" si="27"/>
        <v>55</v>
      </c>
      <c r="T22">
        <f t="shared" ca="1" si="28"/>
        <v>-102.23982000000001</v>
      </c>
      <c r="U22">
        <f t="shared" ca="1" si="29"/>
        <v>20.871209</v>
      </c>
      <c r="V22">
        <f t="shared" si="30"/>
        <v>56</v>
      </c>
      <c r="W22">
        <f t="shared" ca="1" si="31"/>
        <v>73.610805999999968</v>
      </c>
      <c r="X22">
        <f t="shared" ca="1" si="32"/>
        <v>16.324805000000001</v>
      </c>
      <c r="Y22" t="e">
        <f>GetFollowingCarRow($B$45:$E$54,L22,$E$15,E22)</f>
        <v>#VALUE!</v>
      </c>
      <c r="Z22">
        <f t="shared" ca="1" si="33"/>
        <v>1000000000</v>
      </c>
      <c r="AA22">
        <f t="shared" ca="1" si="34"/>
        <v>100</v>
      </c>
      <c r="AB22">
        <f t="shared" si="35"/>
        <v>0.30999999999999961</v>
      </c>
      <c r="AC22">
        <f t="shared" si="36"/>
        <v>11.220000000000027</v>
      </c>
      <c r="AD22">
        <f t="shared" si="37"/>
        <v>15.28133689839569</v>
      </c>
      <c r="AE22">
        <f t="shared" si="38"/>
        <v>-171.45660000000007</v>
      </c>
      <c r="AF22">
        <f t="shared" si="39"/>
        <v>11.224281714212299</v>
      </c>
      <c r="AG22">
        <f>GetSmallestNormalDistance($B$45:$E$54,AB22,AC22,AF22,$L$15,L22)</f>
        <v>18.553722983120508</v>
      </c>
      <c r="AH22">
        <f t="shared" si="6"/>
        <v>0</v>
      </c>
      <c r="AI22">
        <f>IF(G22&lt;=0,1,0)</f>
        <v>0</v>
      </c>
      <c r="AJ22">
        <f>IF(G22&lt;0,1,0)</f>
        <v>0</v>
      </c>
      <c r="AK22">
        <f>MAX(($B$3-G22)/(G22 + 1),0) / $B$3</f>
        <v>0</v>
      </c>
      <c r="AL22">
        <f>IF(H22+ABS(K22)&lt;0,Logistic(SQRT(H22^2+K22^2)/$B$4),0)</f>
        <v>0</v>
      </c>
      <c r="AM22">
        <f>IF(G22&gt;$B$3,1,0)</f>
        <v>1</v>
      </c>
      <c r="AN22">
        <f>IF(H22&gt;$B$4,1,0)</f>
        <v>0</v>
      </c>
      <c r="AO22">
        <f>ABS(H22)/$B$4</f>
        <v>0</v>
      </c>
      <c r="AP22">
        <f>Logistic(I22/$B$5)</f>
        <v>9.9996666799994863E-3</v>
      </c>
      <c r="AQ22">
        <f>IF(I22&gt;$B$5,1,0)</f>
        <v>0</v>
      </c>
      <c r="AR22">
        <f>Logistic(ABS(F22-O22)/($B$6/2))</f>
        <v>5.7436713902879341E-2</v>
      </c>
      <c r="AS22">
        <f>IF(OR(F22&lt;M22,F22&gt;N22),1,0)</f>
        <v>0</v>
      </c>
      <c r="AT22">
        <f>ABS(K22)/$B$4</f>
        <v>0</v>
      </c>
      <c r="AU22">
        <f t="shared" ca="1" si="40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1"/>
        <v>0</v>
      </c>
      <c r="BB22">
        <f t="shared" ca="1" si="42"/>
        <v>0</v>
      </c>
      <c r="BC22">
        <f t="shared" si="43"/>
        <v>0</v>
      </c>
      <c r="BE22">
        <f t="shared" si="7"/>
        <v>0</v>
      </c>
      <c r="BF22">
        <f t="shared" si="44"/>
        <v>0</v>
      </c>
      <c r="BG22">
        <f t="shared" si="45"/>
        <v>0</v>
      </c>
      <c r="BH22">
        <f t="shared" si="8"/>
        <v>-2.6018017544340202E-2</v>
      </c>
      <c r="BI22">
        <f t="shared" si="9"/>
        <v>1</v>
      </c>
      <c r="BJ22">
        <f t="shared" si="10"/>
        <v>0</v>
      </c>
      <c r="BK22">
        <f t="shared" si="11"/>
        <v>0</v>
      </c>
      <c r="BL22">
        <f t="shared" si="46"/>
        <v>0</v>
      </c>
      <c r="BM22">
        <f t="shared" si="12"/>
        <v>5.2428856633634639E-22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-2.7176906934415861E-2</v>
      </c>
    </row>
    <row r="23" spans="1:69" x14ac:dyDescent="0.25">
      <c r="A23" s="1" t="s">
        <v>34</v>
      </c>
      <c r="B23">
        <f t="shared" ca="1" si="2"/>
        <v>121.22112532634377</v>
      </c>
      <c r="C23" t="s">
        <v>518</v>
      </c>
      <c r="D23">
        <f t="shared" si="17"/>
        <v>74</v>
      </c>
      <c r="E23">
        <f t="shared" si="18"/>
        <v>337.74</v>
      </c>
      <c r="F23">
        <f t="shared" si="19"/>
        <v>9.02</v>
      </c>
      <c r="G23">
        <f t="shared" si="20"/>
        <v>20.29</v>
      </c>
      <c r="H23">
        <f t="shared" si="21"/>
        <v>-1.0900000000000001</v>
      </c>
      <c r="I23">
        <f t="shared" si="22"/>
        <v>1.25</v>
      </c>
      <c r="J23">
        <f t="shared" si="23"/>
        <v>-4.83</v>
      </c>
      <c r="K23">
        <f t="shared" si="24"/>
        <v>1.29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>
        <f t="shared" si="5"/>
        <v>49</v>
      </c>
      <c r="Q23">
        <f t="shared" ca="1" si="25"/>
        <v>99.261409000000015</v>
      </c>
      <c r="R23">
        <f t="shared" ca="1" si="26"/>
        <v>16.391894000000001</v>
      </c>
      <c r="S23">
        <f t="shared" si="27"/>
        <v>45</v>
      </c>
      <c r="T23">
        <f t="shared" ca="1" si="28"/>
        <v>-49.926668000000006</v>
      </c>
      <c r="U23">
        <f t="shared" ca="1" si="29"/>
        <v>19.583608000000002</v>
      </c>
      <c r="V23">
        <f t="shared" si="30"/>
        <v>49</v>
      </c>
      <c r="W23">
        <f t="shared" ca="1" si="31"/>
        <v>77.901409000000001</v>
      </c>
      <c r="X23">
        <f t="shared" ca="1" si="32"/>
        <v>16.391894000000001</v>
      </c>
      <c r="Y23">
        <f>GetFollowingCarRow($B$45:$E$54,L23,$E$15,E23)</f>
        <v>45</v>
      </c>
      <c r="Z23">
        <f t="shared" ca="1" si="33"/>
        <v>-71.28666800000002</v>
      </c>
      <c r="AA23">
        <f t="shared" ca="1" si="34"/>
        <v>19.583608000000002</v>
      </c>
      <c r="AB23">
        <f t="shared" si="35"/>
        <v>-2.4799999999999995</v>
      </c>
      <c r="AC23">
        <f t="shared" si="36"/>
        <v>21.360000000000014</v>
      </c>
      <c r="AD23">
        <f t="shared" si="37"/>
        <v>-30.193258426966267</v>
      </c>
      <c r="AE23">
        <f t="shared" si="38"/>
        <v>644.92799999999988</v>
      </c>
      <c r="AF23">
        <f t="shared" si="39"/>
        <v>21.503488089144991</v>
      </c>
      <c r="AG23">
        <f>GetSmallestNormalDistance($B$45:$E$54,AB23,AC23,AF23,$L$15,L23)</f>
        <v>11.782553955416169</v>
      </c>
      <c r="AH23">
        <f t="shared" si="6"/>
        <v>0.23549574953849797</v>
      </c>
      <c r="AI23">
        <f>IF(G23&lt;=0,1,0)</f>
        <v>0</v>
      </c>
      <c r="AJ23">
        <f>IF(G23&lt;0,1,0)</f>
        <v>0</v>
      </c>
      <c r="AK23">
        <f>MAX(($B$3-G23)/(G23 + 1),0) / $B$3</f>
        <v>2.0585523109131155E-3</v>
      </c>
      <c r="AL23">
        <f>IF(H23+ABS(K23)&lt;0,Logistic(SQRT(H23^2+K23^2)/$B$4),0)</f>
        <v>0</v>
      </c>
      <c r="AM23">
        <f>IF(G23&gt;$B$3,1,0)</f>
        <v>0</v>
      </c>
      <c r="AN23">
        <f>IF(H23&gt;$B$4,1,0)</f>
        <v>0</v>
      </c>
      <c r="AO23">
        <f>ABS(H23)/$B$4</f>
        <v>0.13625000000000001</v>
      </c>
      <c r="AP23">
        <f>Logistic(I23/$B$5)</f>
        <v>7.7966441375368192E-2</v>
      </c>
      <c r="AQ23">
        <f>IF(I23&gt;$B$5,1,0)</f>
        <v>0</v>
      </c>
      <c r="AR23">
        <f>Logistic(ABS(F23-O23)/($B$6/2))</f>
        <v>0.24021286468618039</v>
      </c>
      <c r="AS23">
        <f>IF(OR(F23&lt;M23,F23&gt;N23),1,0)</f>
        <v>0</v>
      </c>
      <c r="AT23">
        <f>ABS(K23)/$B$4</f>
        <v>0.16125</v>
      </c>
      <c r="AU23">
        <f t="shared" ca="1" si="40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1"/>
        <v>0</v>
      </c>
      <c r="BB23">
        <f t="shared" ca="1" si="42"/>
        <v>0</v>
      </c>
      <c r="BC23">
        <f t="shared" si="43"/>
        <v>0</v>
      </c>
      <c r="BE23">
        <f t="shared" si="7"/>
        <v>0.23549574953849797</v>
      </c>
      <c r="BF23">
        <f t="shared" si="44"/>
        <v>0</v>
      </c>
      <c r="BG23">
        <f t="shared" si="45"/>
        <v>0</v>
      </c>
      <c r="BH23">
        <f t="shared" si="8"/>
        <v>2.1837767634700061E-2</v>
      </c>
      <c r="BI23">
        <f t="shared" si="9"/>
        <v>0</v>
      </c>
      <c r="BJ23">
        <f t="shared" si="10"/>
        <v>0</v>
      </c>
      <c r="BK23">
        <f t="shared" si="11"/>
        <v>1.7652736797226208E-3</v>
      </c>
      <c r="BL23">
        <f t="shared" si="46"/>
        <v>0</v>
      </c>
      <c r="BM23">
        <f t="shared" si="12"/>
        <v>4.5165809426126659E-3</v>
      </c>
      <c r="BN23">
        <f t="shared" si="13"/>
        <v>0</v>
      </c>
      <c r="BO23">
        <f t="shared" si="14"/>
        <v>0.16125</v>
      </c>
      <c r="BP23">
        <f t="shared" si="15"/>
        <v>6.8019805549502765E-2</v>
      </c>
      <c r="BQ23">
        <f t="shared" si="16"/>
        <v>2.2913682005677328E-2</v>
      </c>
    </row>
    <row r="24" spans="1:69" x14ac:dyDescent="0.25">
      <c r="A24" s="1" t="s">
        <v>35</v>
      </c>
      <c r="B24">
        <f t="shared" ca="1" si="2"/>
        <v>130.66504522659102</v>
      </c>
      <c r="C24" t="s">
        <v>517</v>
      </c>
      <c r="D24">
        <f t="shared" si="17"/>
        <v>76</v>
      </c>
      <c r="E24">
        <f t="shared" si="18"/>
        <v>334.64</v>
      </c>
      <c r="F24">
        <f t="shared" si="19"/>
        <v>9.0299999999999994</v>
      </c>
      <c r="G24">
        <f t="shared" si="20"/>
        <v>12.77</v>
      </c>
      <c r="H24">
        <f t="shared" si="21"/>
        <v>-4.6900000000000004</v>
      </c>
      <c r="I24">
        <f t="shared" si="22"/>
        <v>4.8499999999999996</v>
      </c>
      <c r="J24">
        <f t="shared" si="23"/>
        <v>-3.46</v>
      </c>
      <c r="K24">
        <f t="shared" si="24"/>
        <v>2.2999999999999998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>
        <f t="shared" si="5"/>
        <v>49</v>
      </c>
      <c r="Q24">
        <f t="shared" ca="1" si="25"/>
        <v>99.261409000000015</v>
      </c>
      <c r="R24">
        <f t="shared" ca="1" si="26"/>
        <v>16.391894000000001</v>
      </c>
      <c r="S24">
        <f t="shared" si="27"/>
        <v>45</v>
      </c>
      <c r="T24">
        <f t="shared" ca="1" si="28"/>
        <v>-49.926668000000006</v>
      </c>
      <c r="U24">
        <f t="shared" ca="1" si="29"/>
        <v>19.583608000000002</v>
      </c>
      <c r="V24">
        <f t="shared" si="30"/>
        <v>49</v>
      </c>
      <c r="W24">
        <f t="shared" ca="1" si="31"/>
        <v>81.001409000000024</v>
      </c>
      <c r="X24">
        <f t="shared" ca="1" si="32"/>
        <v>16.391894000000001</v>
      </c>
      <c r="Y24">
        <f>GetFollowingCarRow($B$45:$E$54,L24,$E$15,E24)</f>
        <v>45</v>
      </c>
      <c r="Z24">
        <f t="shared" ca="1" si="33"/>
        <v>-68.186667999999997</v>
      </c>
      <c r="AA24">
        <f t="shared" ca="1" si="34"/>
        <v>19.583608000000002</v>
      </c>
      <c r="AB24">
        <f t="shared" si="35"/>
        <v>-2.4899999999999993</v>
      </c>
      <c r="AC24">
        <f t="shared" si="36"/>
        <v>18.259999999999991</v>
      </c>
      <c r="AD24">
        <f t="shared" si="37"/>
        <v>-36.602727272727279</v>
      </c>
      <c r="AE24">
        <f t="shared" si="38"/>
        <v>668.36579999999981</v>
      </c>
      <c r="AF24">
        <f t="shared" si="39"/>
        <v>18.428990748274842</v>
      </c>
      <c r="AG24">
        <f>GetSmallestNormalDistance($B$45:$E$54,AB24,AC24,AF24,$L$15,L24)</f>
        <v>15.543931278321127</v>
      </c>
      <c r="AH24">
        <f t="shared" si="6"/>
        <v>0.25429553262639115</v>
      </c>
      <c r="AI24">
        <f>IF(G24&lt;=0,1,0)</f>
        <v>0</v>
      </c>
      <c r="AJ24">
        <f>IF(G24&lt;0,1,0)</f>
        <v>0</v>
      </c>
      <c r="AK24">
        <f>MAX(($B$3-G24)/(G24 + 1),0) / $B$3</f>
        <v>2.8918608320208733E-2</v>
      </c>
      <c r="AL24">
        <f>IF(H24+ABS(K24)&lt;0,Logistic(SQRT(H24^2+K24^2)/$B$4),0)</f>
        <v>0.31535041549313758</v>
      </c>
      <c r="AM24">
        <f>IF(G24&gt;$B$3,1,0)</f>
        <v>0</v>
      </c>
      <c r="AN24">
        <f>IF(H24&gt;$B$4,1,0)</f>
        <v>0</v>
      </c>
      <c r="AO24">
        <f>ABS(H24)/$B$4</f>
        <v>0.58625000000000005</v>
      </c>
      <c r="AP24">
        <f>Logistic(I24/$B$5)</f>
        <v>0.29416980510574664</v>
      </c>
      <c r="AQ24">
        <f>IF(I24&gt;$B$5,1,0)</f>
        <v>0</v>
      </c>
      <c r="AR24">
        <f>Logistic(ABS(F24-O24)/($B$6/2))</f>
        <v>0.2378557096003808</v>
      </c>
      <c r="AS24">
        <f>IF(OR(F24&lt;M24,F24&gt;N24),1,0)</f>
        <v>0</v>
      </c>
      <c r="AT24">
        <f>ABS(K24)/$B$4</f>
        <v>0.28749999999999998</v>
      </c>
      <c r="AU24">
        <f t="shared" ca="1" si="40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0.26725065486596833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1"/>
        <v>0</v>
      </c>
      <c r="BB24">
        <f t="shared" ca="1" si="42"/>
        <v>0</v>
      </c>
      <c r="BC24">
        <f t="shared" si="43"/>
        <v>0</v>
      </c>
      <c r="BE24">
        <f t="shared" si="7"/>
        <v>0.25429553262639115</v>
      </c>
      <c r="BF24">
        <f t="shared" si="44"/>
        <v>0</v>
      </c>
      <c r="BG24">
        <f t="shared" si="45"/>
        <v>0</v>
      </c>
      <c r="BH24">
        <f t="shared" si="8"/>
        <v>0.29754723958753088</v>
      </c>
      <c r="BI24">
        <f t="shared" si="9"/>
        <v>0</v>
      </c>
      <c r="BJ24">
        <f t="shared" si="10"/>
        <v>0</v>
      </c>
      <c r="BK24">
        <f t="shared" si="11"/>
        <v>0.49373471034431904</v>
      </c>
      <c r="BL24">
        <f t="shared" si="46"/>
        <v>0</v>
      </c>
      <c r="BM24">
        <f t="shared" si="12"/>
        <v>0.52231494188872873</v>
      </c>
      <c r="BN24">
        <f t="shared" si="13"/>
        <v>0</v>
      </c>
      <c r="BO24">
        <f t="shared" si="14"/>
        <v>0.28749999999999998</v>
      </c>
      <c r="BP24">
        <f t="shared" si="15"/>
        <v>0.28500851948620559</v>
      </c>
      <c r="BQ24">
        <f t="shared" si="16"/>
        <v>0.31928753263894194</v>
      </c>
    </row>
    <row r="25" spans="1:69" x14ac:dyDescent="0.25">
      <c r="A25" s="1" t="s">
        <v>36</v>
      </c>
      <c r="B25">
        <f t="shared" ca="1" si="2"/>
        <v>311.74168672972723</v>
      </c>
      <c r="C25" t="s">
        <v>516</v>
      </c>
      <c r="D25">
        <f t="shared" si="17"/>
        <v>124</v>
      </c>
      <c r="E25">
        <f t="shared" si="18"/>
        <v>256.77999999999997</v>
      </c>
      <c r="F25">
        <f t="shared" si="19"/>
        <v>6.11</v>
      </c>
      <c r="G25">
        <f t="shared" si="20"/>
        <v>-81.510000000000005</v>
      </c>
      <c r="H25">
        <f t="shared" si="21"/>
        <v>-26.12</v>
      </c>
      <c r="I25">
        <f t="shared" si="22"/>
        <v>26.28</v>
      </c>
      <c r="J25">
        <f t="shared" si="23"/>
        <v>-0.28999999999999998</v>
      </c>
      <c r="K25">
        <f t="shared" si="24"/>
        <v>5.17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>
        <f t="shared" si="5"/>
        <v>49</v>
      </c>
      <c r="Q25">
        <f t="shared" ca="1" si="25"/>
        <v>99.261409000000015</v>
      </c>
      <c r="R25">
        <f t="shared" ca="1" si="26"/>
        <v>16.391894000000001</v>
      </c>
      <c r="S25">
        <f t="shared" si="27"/>
        <v>45</v>
      </c>
      <c r="T25">
        <f t="shared" ca="1" si="28"/>
        <v>-49.926668000000006</v>
      </c>
      <c r="U25">
        <f t="shared" ca="1" si="29"/>
        <v>19.583608000000002</v>
      </c>
      <c r="V25">
        <f t="shared" si="30"/>
        <v>45</v>
      </c>
      <c r="W25">
        <f t="shared" ca="1" si="31"/>
        <v>9.6733320000000163</v>
      </c>
      <c r="X25">
        <f t="shared" ca="1" si="32"/>
        <v>19.583608000000002</v>
      </c>
      <c r="Y25">
        <f>GetFollowingCarRow($B$45:$E$54,L25,$E$15,E25)</f>
        <v>47</v>
      </c>
      <c r="Z25">
        <f t="shared" ca="1" si="33"/>
        <v>-19.906162999999964</v>
      </c>
      <c r="AA25">
        <f t="shared" ca="1" si="34"/>
        <v>21.832993999999999</v>
      </c>
      <c r="AB25">
        <f t="shared" si="35"/>
        <v>0.42999999999999972</v>
      </c>
      <c r="AC25">
        <f t="shared" si="36"/>
        <v>-59.600000000000023</v>
      </c>
      <c r="AD25">
        <f t="shared" si="37"/>
        <v>4.2573926174496668</v>
      </c>
      <c r="AE25">
        <f t="shared" si="38"/>
        <v>253.74060000000023</v>
      </c>
      <c r="AF25">
        <f t="shared" si="39"/>
        <v>59.601551154311437</v>
      </c>
      <c r="AG25">
        <f>GetSmallestNormalDistance($B$45:$E$54,AB25,AC25,AF25,$L$15,L25)</f>
        <v>2.6692273541355989</v>
      </c>
      <c r="AH25">
        <f t="shared" si="6"/>
        <v>0.62914516141403554</v>
      </c>
      <c r="AI25">
        <f>IF(G25&lt;=0,1,0)</f>
        <v>1</v>
      </c>
      <c r="AJ25">
        <f>IF(G25&lt;0,1,0)</f>
        <v>1</v>
      </c>
      <c r="AK25">
        <f>MAX(($B$3-G25)/(G25 + 1),0) / $B$3</f>
        <v>0</v>
      </c>
      <c r="AL25">
        <f>IF(H25+ABS(K25)&lt;0,Logistic(SQRT(H25^2+K25^2)/$B$4),0)</f>
        <v>0.9307768613755758</v>
      </c>
      <c r="AM25">
        <f>IF(G25&gt;$B$3,1,0)</f>
        <v>0</v>
      </c>
      <c r="AN25">
        <f>IF(H25&gt;$B$4,1,0)</f>
        <v>0</v>
      </c>
      <c r="AO25">
        <f>ABS(H25)/$B$4</f>
        <v>3.2650000000000001</v>
      </c>
      <c r="AP25">
        <f>Logistic(I25/$B$5)</f>
        <v>0.92782124464499083</v>
      </c>
      <c r="AQ25">
        <f>IF(I25&gt;$B$5,1,0)</f>
        <v>1</v>
      </c>
      <c r="AR25">
        <f>Logistic(ABS(F25-O25)/($B$6/2))</f>
        <v>0.74980083693236943</v>
      </c>
      <c r="AS25">
        <f>IF(OR(F25&lt;M25,F25&gt;N25),1,0)</f>
        <v>1</v>
      </c>
      <c r="AT25">
        <f>ABS(K25)/$B$4</f>
        <v>0.64624999999999999</v>
      </c>
      <c r="AU25">
        <f t="shared" ca="1" si="40"/>
        <v>6.3481169704081006E-2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0.95061342750770161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0.98073777212222057</v>
      </c>
      <c r="BA25">
        <f t="shared" ca="1" si="41"/>
        <v>0</v>
      </c>
      <c r="BB25">
        <f t="shared" ca="1" si="42"/>
        <v>0</v>
      </c>
      <c r="BC25">
        <f t="shared" si="43"/>
        <v>0</v>
      </c>
      <c r="BE25">
        <f t="shared" si="7"/>
        <v>0.62914516141403554</v>
      </c>
      <c r="BF25">
        <f t="shared" si="44"/>
        <v>1</v>
      </c>
      <c r="BG25">
        <f t="shared" si="45"/>
        <v>1</v>
      </c>
      <c r="BH25">
        <f t="shared" si="8"/>
        <v>-0.56353301639847031</v>
      </c>
      <c r="BI25">
        <f t="shared" si="9"/>
        <v>0</v>
      </c>
      <c r="BJ25">
        <f t="shared" si="10"/>
        <v>0</v>
      </c>
      <c r="BK25">
        <f t="shared" si="11"/>
        <v>2.0011485412818693</v>
      </c>
      <c r="BL25">
        <f t="shared" si="46"/>
        <v>1</v>
      </c>
      <c r="BM25">
        <f t="shared" si="12"/>
        <v>2.0048835854554099</v>
      </c>
      <c r="BN25">
        <f t="shared" si="13"/>
        <v>0.47249999999999992</v>
      </c>
      <c r="BO25">
        <f t="shared" si="14"/>
        <v>0.64624999999999999</v>
      </c>
      <c r="BP25">
        <f t="shared" si="15"/>
        <v>0.92641678318843967</v>
      </c>
      <c r="BQ25">
        <f t="shared" si="16"/>
        <v>-0.55816793915177665</v>
      </c>
    </row>
    <row r="26" spans="1:69" x14ac:dyDescent="0.25">
      <c r="A26" s="1" t="s">
        <v>79</v>
      </c>
      <c r="B26">
        <f t="shared" ca="1" si="2"/>
        <v>122.07061515584336</v>
      </c>
      <c r="C26" t="s">
        <v>515</v>
      </c>
      <c r="D26">
        <f t="shared" si="17"/>
        <v>76</v>
      </c>
      <c r="E26">
        <f t="shared" si="18"/>
        <v>337.91</v>
      </c>
      <c r="F26">
        <f t="shared" si="19"/>
        <v>9.07</v>
      </c>
      <c r="G26">
        <f t="shared" si="20"/>
        <v>19</v>
      </c>
      <c r="H26">
        <f t="shared" si="21"/>
        <v>-1.67</v>
      </c>
      <c r="I26">
        <f t="shared" si="22"/>
        <v>1.83</v>
      </c>
      <c r="J26">
        <f t="shared" si="23"/>
        <v>-4.53</v>
      </c>
      <c r="K26">
        <f t="shared" si="24"/>
        <v>1.29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>
        <f t="shared" si="5"/>
        <v>49</v>
      </c>
      <c r="Q26">
        <f t="shared" ca="1" si="25"/>
        <v>99.261409000000015</v>
      </c>
      <c r="R26">
        <f t="shared" ca="1" si="26"/>
        <v>16.391894000000001</v>
      </c>
      <c r="S26">
        <f t="shared" si="27"/>
        <v>45</v>
      </c>
      <c r="T26">
        <f t="shared" ca="1" si="28"/>
        <v>-49.926668000000006</v>
      </c>
      <c r="U26">
        <f t="shared" ca="1" si="29"/>
        <v>19.583608000000002</v>
      </c>
      <c r="V26">
        <f t="shared" si="30"/>
        <v>49</v>
      </c>
      <c r="W26">
        <f t="shared" ca="1" si="31"/>
        <v>77.731408999999985</v>
      </c>
      <c r="X26">
        <f t="shared" ca="1" si="32"/>
        <v>16.391894000000001</v>
      </c>
      <c r="Y26">
        <f>GetFollowingCarRow($B$45:$E$54,L26,$E$15,E26)</f>
        <v>45</v>
      </c>
      <c r="Z26">
        <f t="shared" ca="1" si="33"/>
        <v>-71.456668000000036</v>
      </c>
      <c r="AA26">
        <f t="shared" ca="1" si="34"/>
        <v>19.583608000000002</v>
      </c>
      <c r="AB26">
        <f t="shared" si="35"/>
        <v>-2.5300000000000002</v>
      </c>
      <c r="AC26">
        <f t="shared" si="36"/>
        <v>21.53000000000003</v>
      </c>
      <c r="AD26">
        <f t="shared" si="37"/>
        <v>-30.637956339990666</v>
      </c>
      <c r="AE26">
        <f t="shared" si="38"/>
        <v>659.63519999999994</v>
      </c>
      <c r="AF26">
        <f t="shared" si="39"/>
        <v>21.678141064214923</v>
      </c>
      <c r="AG26">
        <f>GetSmallestNormalDistance($B$45:$E$54,AB26,AC26,AF26,$L$15,L26)</f>
        <v>12.044290461371968</v>
      </c>
      <c r="AH26">
        <f t="shared" si="6"/>
        <v>0.25429553262639115</v>
      </c>
      <c r="AI26">
        <f>IF(G26&lt;=0,1,0)</f>
        <v>0</v>
      </c>
      <c r="AJ26">
        <f>IF(G26&lt;0,1,0)</f>
        <v>0</v>
      </c>
      <c r="AK26">
        <f>MAX(($B$3-G26)/(G26 + 1),0) / $B$3</f>
        <v>5.2309142318567366E-3</v>
      </c>
      <c r="AL26">
        <f>IF(H26+ABS(K26)&lt;0,Logistic(SQRT(H26^2+K26^2)/$B$4),0)</f>
        <v>0.13112890034804109</v>
      </c>
      <c r="AM26">
        <f>IF(G26&gt;$B$3,1,0)</f>
        <v>0</v>
      </c>
      <c r="AN26">
        <f>IF(H26&gt;$B$4,1,0)</f>
        <v>0</v>
      </c>
      <c r="AO26">
        <f>ABS(H26)/$B$4</f>
        <v>0.20874999999999999</v>
      </c>
      <c r="AP26">
        <f>Logistic(I26/$B$5)</f>
        <v>0.11387885842784166</v>
      </c>
      <c r="AQ26">
        <f>IF(I26&gt;$B$5,1,0)</f>
        <v>0</v>
      </c>
      <c r="AR26">
        <f>Logistic(ABS(F26-O26)/($B$6/2))</f>
        <v>0.22839928555379024</v>
      </c>
      <c r="AS26">
        <f>IF(OR(F26&lt;M26,F26&gt;N26),1,0)</f>
        <v>0</v>
      </c>
      <c r="AT26">
        <f>ABS(K26)/$B$4</f>
        <v>0.16125</v>
      </c>
      <c r="AU26">
        <f t="shared" ca="1" si="40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</v>
      </c>
      <c r="BA26">
        <f t="shared" ca="1" si="41"/>
        <v>0</v>
      </c>
      <c r="BB26">
        <f t="shared" ca="1" si="42"/>
        <v>0</v>
      </c>
      <c r="BC26">
        <f t="shared" si="43"/>
        <v>0</v>
      </c>
      <c r="BE26">
        <f t="shared" si="7"/>
        <v>0.25429553262639115</v>
      </c>
      <c r="BF26">
        <f t="shared" si="44"/>
        <v>0</v>
      </c>
      <c r="BG26">
        <f t="shared" si="45"/>
        <v>0</v>
      </c>
      <c r="BH26">
        <f t="shared" si="8"/>
        <v>5.5443085498329062E-2</v>
      </c>
      <c r="BI26">
        <f t="shared" si="9"/>
        <v>0</v>
      </c>
      <c r="BJ26">
        <f t="shared" si="10"/>
        <v>0</v>
      </c>
      <c r="BK26">
        <f t="shared" si="11"/>
        <v>2.2586132625471999E-2</v>
      </c>
      <c r="BL26">
        <f t="shared" si="46"/>
        <v>0</v>
      </c>
      <c r="BM26">
        <f t="shared" si="12"/>
        <v>3.4335183262038965E-2</v>
      </c>
      <c r="BN26">
        <f t="shared" si="13"/>
        <v>0</v>
      </c>
      <c r="BO26">
        <f t="shared" si="14"/>
        <v>0.16125</v>
      </c>
      <c r="BP26">
        <f t="shared" si="15"/>
        <v>0.10399761910171519</v>
      </c>
      <c r="BQ26">
        <f t="shared" si="16"/>
        <v>5.8354679181838232E-2</v>
      </c>
    </row>
    <row r="27" spans="1:69" x14ac:dyDescent="0.25">
      <c r="A27" s="1" t="s">
        <v>80</v>
      </c>
      <c r="B27">
        <f t="shared" ca="1" si="2"/>
        <v>135.21366381918656</v>
      </c>
      <c r="C27" t="s">
        <v>514</v>
      </c>
      <c r="D27">
        <f t="shared" si="17"/>
        <v>79</v>
      </c>
      <c r="E27">
        <f t="shared" si="18"/>
        <v>334.68</v>
      </c>
      <c r="F27">
        <f t="shared" si="19"/>
        <v>9.0399999999999991</v>
      </c>
      <c r="G27">
        <f t="shared" si="20"/>
        <v>10.94</v>
      </c>
      <c r="H27">
        <f t="shared" si="21"/>
        <v>-5.27</v>
      </c>
      <c r="I27">
        <f t="shared" si="22"/>
        <v>5.44</v>
      </c>
      <c r="J27">
        <f t="shared" si="23"/>
        <v>-2.96</v>
      </c>
      <c r="K27">
        <f t="shared" si="24"/>
        <v>2.2999999999999998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>
        <f t="shared" si="5"/>
        <v>49</v>
      </c>
      <c r="Q27">
        <f t="shared" ca="1" si="25"/>
        <v>99.261409000000015</v>
      </c>
      <c r="R27">
        <f t="shared" ca="1" si="26"/>
        <v>16.391894000000001</v>
      </c>
      <c r="S27">
        <f t="shared" si="27"/>
        <v>45</v>
      </c>
      <c r="T27">
        <f t="shared" ca="1" si="28"/>
        <v>-49.926668000000006</v>
      </c>
      <c r="U27">
        <f t="shared" ca="1" si="29"/>
        <v>19.583608000000002</v>
      </c>
      <c r="V27">
        <f t="shared" si="30"/>
        <v>49</v>
      </c>
      <c r="W27">
        <f t="shared" ca="1" si="31"/>
        <v>80.961409000000003</v>
      </c>
      <c r="X27">
        <f t="shared" ca="1" si="32"/>
        <v>16.391894000000001</v>
      </c>
      <c r="Y27">
        <f>GetFollowingCarRow($B$45:$E$54,L27,$E$15,E27)</f>
        <v>45</v>
      </c>
      <c r="Z27">
        <f t="shared" ca="1" si="33"/>
        <v>-68.226668000000018</v>
      </c>
      <c r="AA27">
        <f t="shared" ca="1" si="34"/>
        <v>19.583608000000002</v>
      </c>
      <c r="AB27">
        <f t="shared" si="35"/>
        <v>-2.4999999999999991</v>
      </c>
      <c r="AC27">
        <f t="shared" si="36"/>
        <v>18.300000000000011</v>
      </c>
      <c r="AD27">
        <f t="shared" si="37"/>
        <v>-36.6813114754098</v>
      </c>
      <c r="AE27">
        <f t="shared" si="38"/>
        <v>671.2679999999998</v>
      </c>
      <c r="AF27">
        <f t="shared" si="39"/>
        <v>18.4699756361507</v>
      </c>
      <c r="AG27">
        <f>GetSmallestNormalDistance($B$45:$E$54,AB27,AC27,AF27,$L$15,L27)</f>
        <v>15.589892465067155</v>
      </c>
      <c r="AH27">
        <f t="shared" si="6"/>
        <v>0.28213481266963414</v>
      </c>
      <c r="AI27">
        <f>IF(G27&lt;=0,1,0)</f>
        <v>0</v>
      </c>
      <c r="AJ27">
        <f>IF(G27&lt;0,1,0)</f>
        <v>0</v>
      </c>
      <c r="AK27">
        <f>MAX(($B$3-G27)/(G27 + 1),0) / $B$3</f>
        <v>4.057358738398243E-2</v>
      </c>
      <c r="AL27">
        <f>IF(H27+ABS(K27)&lt;0,Logistic(SQRT(H27^2+K27^2)/$B$4),0)</f>
        <v>0.34466531401904238</v>
      </c>
      <c r="AM27">
        <f>IF(G27&gt;$B$3,1,0)</f>
        <v>0</v>
      </c>
      <c r="AN27">
        <f>IF(H27&gt;$B$4,1,0)</f>
        <v>0</v>
      </c>
      <c r="AO27">
        <f>ABS(H27)/$B$4</f>
        <v>0.65874999999999995</v>
      </c>
      <c r="AP27">
        <f>Logistic(I27/$B$5)</f>
        <v>0.32747739480870541</v>
      </c>
      <c r="AQ27">
        <f>IF(I27&gt;$B$5,1,0)</f>
        <v>0</v>
      </c>
      <c r="AR27">
        <f>Logistic(ABS(F27-O27)/($B$6/2))</f>
        <v>0.23549574953849814</v>
      </c>
      <c r="AS27">
        <f>IF(OR(F27&lt;M27,F27&gt;N27),1,0)</f>
        <v>0</v>
      </c>
      <c r="AT27">
        <f>ABS(K27)/$B$4</f>
        <v>0.28749999999999998</v>
      </c>
      <c r="AU27">
        <f t="shared" ca="1" si="40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0.4223862535182068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0.21066910947372908</v>
      </c>
      <c r="BA27">
        <f t="shared" ca="1" si="41"/>
        <v>0</v>
      </c>
      <c r="BB27">
        <f t="shared" ca="1" si="42"/>
        <v>0</v>
      </c>
      <c r="BC27">
        <f t="shared" si="43"/>
        <v>0</v>
      </c>
      <c r="BE27">
        <f t="shared" si="7"/>
        <v>0.28213481266963414</v>
      </c>
      <c r="BF27">
        <f t="shared" si="44"/>
        <v>0</v>
      </c>
      <c r="BG27">
        <f t="shared" si="45"/>
        <v>0</v>
      </c>
      <c r="BH27">
        <f t="shared" si="8"/>
        <v>0.40572718727795681</v>
      </c>
      <c r="BI27">
        <f t="shared" si="9"/>
        <v>0</v>
      </c>
      <c r="BJ27">
        <f t="shared" si="10"/>
        <v>0</v>
      </c>
      <c r="BK27">
        <f t="shared" si="11"/>
        <v>0.59569495377673809</v>
      </c>
      <c r="BL27">
        <f t="shared" si="46"/>
        <v>0</v>
      </c>
      <c r="BM27">
        <f t="shared" si="12"/>
        <v>0.62463472800027453</v>
      </c>
      <c r="BN27">
        <f t="shared" si="13"/>
        <v>0</v>
      </c>
      <c r="BO27">
        <f t="shared" si="14"/>
        <v>0.28749999999999998</v>
      </c>
      <c r="BP27">
        <f t="shared" si="15"/>
        <v>0.31795907483312108</v>
      </c>
      <c r="BQ27">
        <f t="shared" si="16"/>
        <v>0.43806636498806073</v>
      </c>
    </row>
    <row r="28" spans="1:69" x14ac:dyDescent="0.25">
      <c r="A28" s="1" t="s">
        <v>81</v>
      </c>
      <c r="B28">
        <f t="shared" ca="1" si="2"/>
        <v>310.01799705417</v>
      </c>
      <c r="C28" t="s">
        <v>513</v>
      </c>
      <c r="D28">
        <f t="shared" si="17"/>
        <v>124</v>
      </c>
      <c r="E28">
        <f t="shared" si="18"/>
        <v>254.45</v>
      </c>
      <c r="F28">
        <f t="shared" si="19"/>
        <v>6.11</v>
      </c>
      <c r="G28">
        <f t="shared" si="20"/>
        <v>-83.83</v>
      </c>
      <c r="H28">
        <f t="shared" si="21"/>
        <v>-26.7</v>
      </c>
      <c r="I28">
        <f t="shared" si="22"/>
        <v>26.86</v>
      </c>
      <c r="J28">
        <f t="shared" si="23"/>
        <v>-0.3</v>
      </c>
      <c r="K28">
        <f t="shared" si="24"/>
        <v>5.17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>
        <f t="shared" si="5"/>
        <v>49</v>
      </c>
      <c r="Q28">
        <f t="shared" ca="1" si="25"/>
        <v>99.261409000000015</v>
      </c>
      <c r="R28">
        <f t="shared" ca="1" si="26"/>
        <v>16.391894000000001</v>
      </c>
      <c r="S28">
        <f t="shared" si="27"/>
        <v>45</v>
      </c>
      <c r="T28">
        <f t="shared" ca="1" si="28"/>
        <v>-49.926668000000006</v>
      </c>
      <c r="U28">
        <f t="shared" ca="1" si="29"/>
        <v>19.583608000000002</v>
      </c>
      <c r="V28">
        <f t="shared" si="30"/>
        <v>45</v>
      </c>
      <c r="W28">
        <f t="shared" ca="1" si="31"/>
        <v>12.003332</v>
      </c>
      <c r="X28">
        <f t="shared" ca="1" si="32"/>
        <v>19.583608000000002</v>
      </c>
      <c r="Y28">
        <f>GetFollowingCarRow($B$45:$E$54,L28,$E$15,E28)</f>
        <v>47</v>
      </c>
      <c r="Z28">
        <f t="shared" ca="1" si="33"/>
        <v>-17.57616299999998</v>
      </c>
      <c r="AA28">
        <f t="shared" ca="1" si="34"/>
        <v>21.832993999999999</v>
      </c>
      <c r="AB28">
        <f t="shared" si="35"/>
        <v>0.42999999999999972</v>
      </c>
      <c r="AC28">
        <f t="shared" si="36"/>
        <v>-61.930000000000007</v>
      </c>
      <c r="AD28">
        <f t="shared" si="37"/>
        <v>4.3432714354916859</v>
      </c>
      <c r="AE28">
        <f t="shared" si="38"/>
        <v>268.97880000000015</v>
      </c>
      <c r="AF28">
        <f t="shared" si="39"/>
        <v>61.931492796476341</v>
      </c>
      <c r="AG28">
        <f>GetSmallestNormalDistance($B$45:$E$54,AB28,AC28,AF28,$L$15,L28)</f>
        <v>2.7930276389178501</v>
      </c>
      <c r="AH28">
        <f t="shared" si="6"/>
        <v>0.62914516141403554</v>
      </c>
      <c r="AI28">
        <f>IF(G28&lt;=0,1,0)</f>
        <v>1</v>
      </c>
      <c r="AJ28">
        <f>IF(G28&lt;0,1,0)</f>
        <v>1</v>
      </c>
      <c r="AK28">
        <f>MAX(($B$3-G28)/(G28 + 1),0) / $B$3</f>
        <v>0</v>
      </c>
      <c r="AL28">
        <f>IF(H28+ABS(K28)&lt;0,Logistic(SQRT(H28^2+K28^2)/$B$4),0)</f>
        <v>0.93537730553274179</v>
      </c>
      <c r="AM28">
        <f>IF(G28&gt;$B$3,1,0)</f>
        <v>0</v>
      </c>
      <c r="AN28">
        <f>IF(H28&gt;$B$4,1,0)</f>
        <v>0</v>
      </c>
      <c r="AO28">
        <f>ABS(H28)/$B$4</f>
        <v>3.3374999999999999</v>
      </c>
      <c r="AP28">
        <f>Logistic(I28/$B$5)</f>
        <v>0.93269915249697843</v>
      </c>
      <c r="AQ28">
        <f>IF(I28&gt;$B$5,1,0)</f>
        <v>1</v>
      </c>
      <c r="AR28">
        <f>Logistic(ABS(F28-O28)/($B$6/2))</f>
        <v>0.74980083693236943</v>
      </c>
      <c r="AS28">
        <f>IF(OR(F28&lt;M28,F28&gt;N28),1,0)</f>
        <v>1</v>
      </c>
      <c r="AT28">
        <f>ABS(K28)/$B$4</f>
        <v>0.64624999999999999</v>
      </c>
      <c r="AU28">
        <f t="shared" ca="1" si="40"/>
        <v>4.6133478198767314E-2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0.95172137500511533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0.98336582910001591</v>
      </c>
      <c r="BA28">
        <f t="shared" ca="1" si="41"/>
        <v>0</v>
      </c>
      <c r="BB28">
        <f t="shared" ca="1" si="42"/>
        <v>0</v>
      </c>
      <c r="BC28">
        <f t="shared" si="43"/>
        <v>0</v>
      </c>
      <c r="BE28">
        <f t="shared" si="7"/>
        <v>0.62914516141403554</v>
      </c>
      <c r="BF28">
        <f t="shared" si="44"/>
        <v>1</v>
      </c>
      <c r="BG28">
        <f t="shared" si="45"/>
        <v>1</v>
      </c>
      <c r="BH28">
        <f t="shared" si="8"/>
        <v>-0.56088958634069663</v>
      </c>
      <c r="BI28">
        <f t="shared" si="9"/>
        <v>0</v>
      </c>
      <c r="BJ28">
        <f t="shared" si="10"/>
        <v>0</v>
      </c>
      <c r="BK28">
        <f t="shared" si="11"/>
        <v>2.0145070632239608</v>
      </c>
      <c r="BL28">
        <f t="shared" si="46"/>
        <v>1</v>
      </c>
      <c r="BM28">
        <f t="shared" si="12"/>
        <v>2.0181057920219607</v>
      </c>
      <c r="BN28">
        <f t="shared" si="13"/>
        <v>0.47249999999999992</v>
      </c>
      <c r="BO28">
        <f t="shared" si="14"/>
        <v>0.64624999999999999</v>
      </c>
      <c r="BP28">
        <f t="shared" si="15"/>
        <v>0.93138622771320079</v>
      </c>
      <c r="BQ28">
        <f t="shared" si="16"/>
        <v>-0.55568287986610454</v>
      </c>
    </row>
    <row r="29" spans="1:69" x14ac:dyDescent="0.25">
      <c r="A29" s="1" t="s">
        <v>22</v>
      </c>
      <c r="B29">
        <f t="shared" ca="1" si="2"/>
        <v>122.03797409120993</v>
      </c>
      <c r="C29" t="s">
        <v>512</v>
      </c>
      <c r="D29">
        <f t="shared" si="17"/>
        <v>76</v>
      </c>
      <c r="E29">
        <f t="shared" si="18"/>
        <v>337.94</v>
      </c>
      <c r="F29">
        <f t="shared" si="19"/>
        <v>9.07</v>
      </c>
      <c r="G29">
        <f t="shared" si="20"/>
        <v>19.05</v>
      </c>
      <c r="H29">
        <f t="shared" si="21"/>
        <v>-1.64</v>
      </c>
      <c r="I29">
        <f t="shared" si="22"/>
        <v>1.81</v>
      </c>
      <c r="J29">
        <f t="shared" si="23"/>
        <v>-4.55</v>
      </c>
      <c r="K29">
        <f t="shared" si="24"/>
        <v>1.29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>
        <f t="shared" si="5"/>
        <v>49</v>
      </c>
      <c r="Q29">
        <f t="shared" ca="1" si="25"/>
        <v>99.261409000000015</v>
      </c>
      <c r="R29">
        <f t="shared" ca="1" si="26"/>
        <v>16.391894000000001</v>
      </c>
      <c r="S29">
        <f t="shared" si="27"/>
        <v>45</v>
      </c>
      <c r="T29">
        <f t="shared" ca="1" si="28"/>
        <v>-49.926668000000006</v>
      </c>
      <c r="U29">
        <f t="shared" ca="1" si="29"/>
        <v>19.583608000000002</v>
      </c>
      <c r="V29">
        <f t="shared" si="30"/>
        <v>49</v>
      </c>
      <c r="W29">
        <f t="shared" ca="1" si="31"/>
        <v>77.701409000000012</v>
      </c>
      <c r="X29">
        <f t="shared" ca="1" si="32"/>
        <v>16.391894000000001</v>
      </c>
      <c r="Y29">
        <f>GetFollowingCarRow($B$45:$E$54,L29,$E$15,E29)</f>
        <v>45</v>
      </c>
      <c r="Z29">
        <f t="shared" ca="1" si="33"/>
        <v>-71.486668000000009</v>
      </c>
      <c r="AA29">
        <f t="shared" ca="1" si="34"/>
        <v>19.583608000000002</v>
      </c>
      <c r="AB29">
        <f t="shared" si="35"/>
        <v>-2.5300000000000002</v>
      </c>
      <c r="AC29">
        <f t="shared" si="36"/>
        <v>21.560000000000002</v>
      </c>
      <c r="AD29">
        <f t="shared" si="37"/>
        <v>-30.586224489795917</v>
      </c>
      <c r="AE29">
        <f t="shared" si="38"/>
        <v>659.43900000000008</v>
      </c>
      <c r="AF29">
        <f t="shared" si="39"/>
        <v>21.707936336740996</v>
      </c>
      <c r="AG29">
        <f>GetSmallestNormalDistance($B$45:$E$54,AB29,AC29,AF29,$L$15,L29)</f>
        <v>12.013848115014014</v>
      </c>
      <c r="AH29">
        <f t="shared" si="6"/>
        <v>0.25429553262639115</v>
      </c>
      <c r="AI29">
        <f>IF(G29&lt;=0,1,0)</f>
        <v>0</v>
      </c>
      <c r="AJ29">
        <f>IF(G29&lt;0,1,0)</f>
        <v>0</v>
      </c>
      <c r="AK29">
        <f>MAX(($B$3-G29)/(G29 + 1),0) / $B$3</f>
        <v>5.1003499733230503E-3</v>
      </c>
      <c r="AL29">
        <f>IF(H29+ABS(K29)&lt;0,Logistic(SQRT(H29^2+K29^2)/$B$4),0)</f>
        <v>0.12967523001338319</v>
      </c>
      <c r="AM29">
        <f>IF(G29&gt;$B$3,1,0)</f>
        <v>0</v>
      </c>
      <c r="AN29">
        <f>IF(H29&gt;$B$4,1,0)</f>
        <v>0</v>
      </c>
      <c r="AO29">
        <f>ABS(H29)/$B$4</f>
        <v>0.20499999999999999</v>
      </c>
      <c r="AP29">
        <f>Logistic(I29/$B$5)</f>
        <v>0.11264489391043926</v>
      </c>
      <c r="AQ29">
        <f>IF(I29&gt;$B$5,1,0)</f>
        <v>0</v>
      </c>
      <c r="AR29">
        <f>Logistic(ABS(F29-O29)/($B$6/2))</f>
        <v>0.22839928555379024</v>
      </c>
      <c r="AS29">
        <f>IF(OR(F29&lt;M29,F29&gt;N29),1,0)</f>
        <v>0</v>
      </c>
      <c r="AT29">
        <f>ABS(K29)/$B$4</f>
        <v>0.16125</v>
      </c>
      <c r="AU29">
        <f t="shared" ca="1" si="40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1"/>
        <v>0</v>
      </c>
      <c r="BB29">
        <f t="shared" ca="1" si="42"/>
        <v>0</v>
      </c>
      <c r="BC29">
        <f t="shared" si="43"/>
        <v>0</v>
      </c>
      <c r="BE29">
        <f t="shared" si="7"/>
        <v>0.25429553262639115</v>
      </c>
      <c r="BF29">
        <f t="shared" si="44"/>
        <v>0</v>
      </c>
      <c r="BG29">
        <f t="shared" si="45"/>
        <v>0</v>
      </c>
      <c r="BH29">
        <f t="shared" si="8"/>
        <v>5.4061951803914376E-2</v>
      </c>
      <c r="BI29">
        <f t="shared" si="9"/>
        <v>0</v>
      </c>
      <c r="BJ29">
        <f t="shared" si="10"/>
        <v>0</v>
      </c>
      <c r="BK29">
        <f t="shared" si="11"/>
        <v>2.0691158811836384E-2</v>
      </c>
      <c r="BL29">
        <f t="shared" si="46"/>
        <v>0</v>
      </c>
      <c r="BM29">
        <f t="shared" si="12"/>
        <v>3.2716049772425614E-2</v>
      </c>
      <c r="BN29">
        <f t="shared" si="13"/>
        <v>0</v>
      </c>
      <c r="BO29">
        <f t="shared" si="14"/>
        <v>0.16125</v>
      </c>
      <c r="BP29">
        <f t="shared" si="15"/>
        <v>0.10214253861468393</v>
      </c>
      <c r="BQ29">
        <f t="shared" si="16"/>
        <v>5.6893874239789546E-2</v>
      </c>
    </row>
    <row r="30" spans="1:69" x14ac:dyDescent="0.25">
      <c r="A30" s="1" t="s">
        <v>21</v>
      </c>
      <c r="B30">
        <f t="shared" ca="1" si="2"/>
        <v>135.06366455192611</v>
      </c>
      <c r="C30" t="s">
        <v>511</v>
      </c>
      <c r="D30">
        <f t="shared" si="17"/>
        <v>79</v>
      </c>
      <c r="E30">
        <f t="shared" si="18"/>
        <v>334.72</v>
      </c>
      <c r="F30">
        <f t="shared" si="19"/>
        <v>9.0500000000000007</v>
      </c>
      <c r="G30">
        <f t="shared" si="20"/>
        <v>11</v>
      </c>
      <c r="H30">
        <f t="shared" si="21"/>
        <v>-5.25</v>
      </c>
      <c r="I30">
        <f t="shared" si="22"/>
        <v>5.41</v>
      </c>
      <c r="J30">
        <f t="shared" si="23"/>
        <v>-2.98</v>
      </c>
      <c r="K30">
        <f t="shared" si="24"/>
        <v>2.2999999999999998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>
        <f t="shared" si="5"/>
        <v>49</v>
      </c>
      <c r="Q30">
        <f t="shared" ca="1" si="25"/>
        <v>99.261409000000015</v>
      </c>
      <c r="R30">
        <f t="shared" ca="1" si="26"/>
        <v>16.391894000000001</v>
      </c>
      <c r="S30">
        <f t="shared" si="27"/>
        <v>45</v>
      </c>
      <c r="T30">
        <f t="shared" ca="1" si="28"/>
        <v>-49.926668000000006</v>
      </c>
      <c r="U30">
        <f t="shared" ca="1" si="29"/>
        <v>19.583608000000002</v>
      </c>
      <c r="V30">
        <f t="shared" si="30"/>
        <v>49</v>
      </c>
      <c r="W30">
        <f t="shared" ca="1" si="31"/>
        <v>80.921408999999983</v>
      </c>
      <c r="X30">
        <f t="shared" ca="1" si="32"/>
        <v>16.391894000000001</v>
      </c>
      <c r="Y30">
        <f>GetFollowingCarRow($B$45:$E$54,L30,$E$15,E30)</f>
        <v>45</v>
      </c>
      <c r="Z30">
        <f t="shared" ca="1" si="33"/>
        <v>-68.266668000000038</v>
      </c>
      <c r="AA30">
        <f t="shared" ca="1" si="34"/>
        <v>19.583608000000002</v>
      </c>
      <c r="AB30">
        <f t="shared" si="35"/>
        <v>-2.5100000000000007</v>
      </c>
      <c r="AC30">
        <f t="shared" si="36"/>
        <v>18.340000000000032</v>
      </c>
      <c r="AD30">
        <f t="shared" si="37"/>
        <v>-36.75955288985817</v>
      </c>
      <c r="AE30">
        <f t="shared" si="38"/>
        <v>674.17020000000002</v>
      </c>
      <c r="AF30">
        <f t="shared" si="39"/>
        <v>18.51096161737691</v>
      </c>
      <c r="AG30">
        <f>GetSmallestNormalDistance($B$45:$E$54,AB30,AC30,AF30,$L$15,L30)</f>
        <v>15.635649204107287</v>
      </c>
      <c r="AH30">
        <f t="shared" si="6"/>
        <v>0.28213481266963414</v>
      </c>
      <c r="AI30">
        <f>IF(G30&lt;=0,1,0)</f>
        <v>0</v>
      </c>
      <c r="AJ30">
        <f>IF(G30&lt;0,1,0)</f>
        <v>0</v>
      </c>
      <c r="AK30">
        <f>MAX(($B$3-G30)/(G30 + 1),0) / $B$3</f>
        <v>4.0135092679861761E-2</v>
      </c>
      <c r="AL30">
        <f>IF(H30+ABS(K30)&lt;0,Logistic(SQRT(H30^2+K30^2)/$B$4),0)</f>
        <v>0.34365567413420567</v>
      </c>
      <c r="AM30">
        <f>IF(G30&gt;$B$3,1,0)</f>
        <v>0</v>
      </c>
      <c r="AN30">
        <f>IF(H30&gt;$B$4,1,0)</f>
        <v>0</v>
      </c>
      <c r="AO30">
        <f>ABS(H30)/$B$4</f>
        <v>0.65625</v>
      </c>
      <c r="AP30">
        <f>Logistic(I30/$B$5)</f>
        <v>0.32580244602699904</v>
      </c>
      <c r="AQ30">
        <f>IF(I30&gt;$B$5,1,0)</f>
        <v>0</v>
      </c>
      <c r="AR30">
        <f>Logistic(ABS(F30-O30)/($B$6/2))</f>
        <v>0.23313300904263839</v>
      </c>
      <c r="AS30">
        <f>IF(OR(F30&lt;M30,F30&gt;N30),1,0)</f>
        <v>0</v>
      </c>
      <c r="AT30">
        <f>ABS(K30)/$B$4</f>
        <v>0.28749999999999998</v>
      </c>
      <c r="AU30">
        <f t="shared" ca="1" si="40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0.41834869439517752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0.20468562870065798</v>
      </c>
      <c r="BA30">
        <f t="shared" ca="1" si="41"/>
        <v>0</v>
      </c>
      <c r="BB30">
        <f t="shared" ca="1" si="42"/>
        <v>0</v>
      </c>
      <c r="BC30">
        <f t="shared" si="43"/>
        <v>0</v>
      </c>
      <c r="BE30">
        <f t="shared" si="7"/>
        <v>0.28213481266963414</v>
      </c>
      <c r="BF30">
        <f t="shared" si="44"/>
        <v>0</v>
      </c>
      <c r="BG30">
        <f t="shared" si="45"/>
        <v>0</v>
      </c>
      <c r="BH30">
        <f t="shared" si="8"/>
        <v>0.40183329386030414</v>
      </c>
      <c r="BI30">
        <f t="shared" si="9"/>
        <v>0</v>
      </c>
      <c r="BJ30">
        <f t="shared" si="10"/>
        <v>0</v>
      </c>
      <c r="BK30">
        <f t="shared" si="11"/>
        <v>0.59226001629589298</v>
      </c>
      <c r="BL30">
        <f t="shared" si="46"/>
        <v>0</v>
      </c>
      <c r="BM30">
        <f t="shared" si="12"/>
        <v>0.61956164921559587</v>
      </c>
      <c r="BN30">
        <f t="shared" si="13"/>
        <v>0</v>
      </c>
      <c r="BO30">
        <f t="shared" si="14"/>
        <v>0.28749999999999998</v>
      </c>
      <c r="BP30">
        <f t="shared" si="15"/>
        <v>0.31683500112336604</v>
      </c>
      <c r="BQ30">
        <f t="shared" si="16"/>
        <v>0.43378162853031321</v>
      </c>
    </row>
    <row r="31" spans="1:69" x14ac:dyDescent="0.25">
      <c r="A31" s="1" t="s">
        <v>20</v>
      </c>
      <c r="B31">
        <f t="shared" ca="1" si="2"/>
        <v>310.08532719434231</v>
      </c>
      <c r="C31" t="s">
        <v>510</v>
      </c>
      <c r="D31">
        <f t="shared" si="17"/>
        <v>124</v>
      </c>
      <c r="E31">
        <f t="shared" si="18"/>
        <v>254.56</v>
      </c>
      <c r="F31">
        <f t="shared" si="19"/>
        <v>6.11</v>
      </c>
      <c r="G31">
        <f t="shared" si="20"/>
        <v>-83.73</v>
      </c>
      <c r="H31">
        <f t="shared" si="21"/>
        <v>-26.67</v>
      </c>
      <c r="I31">
        <f t="shared" si="22"/>
        <v>26.84</v>
      </c>
      <c r="J31">
        <f t="shared" si="23"/>
        <v>-0.3</v>
      </c>
      <c r="K31">
        <f t="shared" si="24"/>
        <v>5.17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>
        <f t="shared" si="5"/>
        <v>49</v>
      </c>
      <c r="Q31">
        <f t="shared" ca="1" si="25"/>
        <v>99.261409000000015</v>
      </c>
      <c r="R31">
        <f t="shared" ca="1" si="26"/>
        <v>16.391894000000001</v>
      </c>
      <c r="S31">
        <f t="shared" si="27"/>
        <v>45</v>
      </c>
      <c r="T31">
        <f t="shared" ca="1" si="28"/>
        <v>-49.926668000000006</v>
      </c>
      <c r="U31">
        <f t="shared" ca="1" si="29"/>
        <v>19.583608000000002</v>
      </c>
      <c r="V31">
        <f t="shared" si="30"/>
        <v>45</v>
      </c>
      <c r="W31">
        <f t="shared" ca="1" si="31"/>
        <v>11.893331999999987</v>
      </c>
      <c r="X31">
        <f t="shared" ca="1" si="32"/>
        <v>19.583608000000002</v>
      </c>
      <c r="Y31">
        <f>GetFollowingCarRow($B$45:$E$54,L31,$E$15,E31)</f>
        <v>47</v>
      </c>
      <c r="Z31">
        <f t="shared" ca="1" si="33"/>
        <v>-17.686162999999993</v>
      </c>
      <c r="AA31">
        <f t="shared" ca="1" si="34"/>
        <v>21.832993999999999</v>
      </c>
      <c r="AB31">
        <f t="shared" si="35"/>
        <v>0.42999999999999972</v>
      </c>
      <c r="AC31">
        <f t="shared" si="36"/>
        <v>-61.819999999999993</v>
      </c>
      <c r="AD31">
        <f t="shared" si="37"/>
        <v>4.3393626658039484</v>
      </c>
      <c r="AE31">
        <f t="shared" si="38"/>
        <v>268.25940000000008</v>
      </c>
      <c r="AF31">
        <f t="shared" si="39"/>
        <v>61.82149545263362</v>
      </c>
      <c r="AG31">
        <f>GetSmallestNormalDistance($B$45:$E$54,AB31,AC31,AF31,$L$15,L31)</f>
        <v>2.7873928698801667</v>
      </c>
      <c r="AH31">
        <f t="shared" si="6"/>
        <v>0.62914516141403554</v>
      </c>
      <c r="AI31">
        <f>IF(G31&lt;=0,1,0)</f>
        <v>1</v>
      </c>
      <c r="AJ31">
        <f>IF(G31&lt;0,1,0)</f>
        <v>1</v>
      </c>
      <c r="AK31">
        <f>MAX(($B$3-G31)/(G31 + 1),0) / $B$3</f>
        <v>0</v>
      </c>
      <c r="AL31">
        <f>IF(H31+ABS(K31)&lt;0,Logistic(SQRT(H31^2+K31^2)/$B$4),0)</f>
        <v>0.93514668480382634</v>
      </c>
      <c r="AM31">
        <f>IF(G31&gt;$B$3,1,0)</f>
        <v>0</v>
      </c>
      <c r="AN31">
        <f>IF(H31&gt;$B$4,1,0)</f>
        <v>0</v>
      </c>
      <c r="AO31">
        <f>ABS(H31)/$B$4</f>
        <v>3.3337500000000002</v>
      </c>
      <c r="AP31">
        <f>Logistic(I31/$B$5)</f>
        <v>0.93253637243706555</v>
      </c>
      <c r="AQ31">
        <f>IF(I31&gt;$B$5,1,0)</f>
        <v>1</v>
      </c>
      <c r="AR31">
        <f>Logistic(ABS(F31-O31)/($B$6/2))</f>
        <v>0.74980083693236943</v>
      </c>
      <c r="AS31">
        <f>IF(OR(F31&lt;M31,F31&gt;N31),1,0)</f>
        <v>1</v>
      </c>
      <c r="AT31">
        <f>ABS(K31)/$B$4</f>
        <v>0.64624999999999999</v>
      </c>
      <c r="AU31">
        <f t="shared" ca="1" si="40"/>
        <v>4.6811452617523619E-2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0.95167464483478303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0.9832458683390507</v>
      </c>
      <c r="BA31">
        <f t="shared" ca="1" si="41"/>
        <v>0</v>
      </c>
      <c r="BB31">
        <f t="shared" ca="1" si="42"/>
        <v>0</v>
      </c>
      <c r="BC31">
        <f t="shared" si="43"/>
        <v>0</v>
      </c>
      <c r="BE31">
        <f t="shared" si="7"/>
        <v>0.62914516141403554</v>
      </c>
      <c r="BF31">
        <f t="shared" si="44"/>
        <v>1</v>
      </c>
      <c r="BG31">
        <f t="shared" si="45"/>
        <v>1</v>
      </c>
      <c r="BH31">
        <f t="shared" si="8"/>
        <v>-0.5610007006005322</v>
      </c>
      <c r="BI31">
        <f t="shared" si="9"/>
        <v>0</v>
      </c>
      <c r="BJ31">
        <f t="shared" si="10"/>
        <v>0</v>
      </c>
      <c r="BK31">
        <f t="shared" si="11"/>
        <v>2.0138282151743043</v>
      </c>
      <c r="BL31">
        <f t="shared" si="46"/>
        <v>1</v>
      </c>
      <c r="BM31">
        <f t="shared" si="12"/>
        <v>2.0176579475690182</v>
      </c>
      <c r="BN31">
        <f t="shared" si="13"/>
        <v>0.47249999999999992</v>
      </c>
      <c r="BO31">
        <f t="shared" si="14"/>
        <v>0.64624999999999999</v>
      </c>
      <c r="BP31">
        <f t="shared" si="15"/>
        <v>0.93113731889538254</v>
      </c>
      <c r="BQ31">
        <f t="shared" si="16"/>
        <v>-0.55578735488668563</v>
      </c>
    </row>
    <row r="32" spans="1:69" x14ac:dyDescent="0.25">
      <c r="A32" s="1" t="s">
        <v>37</v>
      </c>
      <c r="B32">
        <f t="shared" ca="1" si="2"/>
        <v>146.34074517071792</v>
      </c>
      <c r="C32" t="s">
        <v>509</v>
      </c>
      <c r="D32">
        <f t="shared" si="17"/>
        <v>124</v>
      </c>
      <c r="E32">
        <f t="shared" si="18"/>
        <v>357.58</v>
      </c>
      <c r="F32">
        <f t="shared" si="19"/>
        <v>5.29</v>
      </c>
      <c r="G32">
        <f t="shared" si="20"/>
        <v>18.78</v>
      </c>
      <c r="H32">
        <f t="shared" si="21"/>
        <v>-0.92</v>
      </c>
      <c r="I32">
        <f t="shared" si="22"/>
        <v>1.08</v>
      </c>
      <c r="J32">
        <f t="shared" si="23"/>
        <v>-1.85</v>
      </c>
      <c r="K32">
        <f t="shared" si="24"/>
        <v>1.23</v>
      </c>
      <c r="L32">
        <f t="shared" si="3"/>
        <v>1</v>
      </c>
      <c r="M32">
        <f t="shared" si="0"/>
        <v>0</v>
      </c>
      <c r="N32">
        <f t="shared" si="1"/>
        <v>4</v>
      </c>
      <c r="O32">
        <f t="shared" si="4"/>
        <v>2</v>
      </c>
      <c r="P32">
        <f t="shared" si="5"/>
        <v>53</v>
      </c>
      <c r="Q32">
        <f t="shared" ca="1" si="25"/>
        <v>103.11357900000002</v>
      </c>
      <c r="R32">
        <f t="shared" ca="1" si="26"/>
        <v>17.941414000000002</v>
      </c>
      <c r="S32">
        <f t="shared" si="27"/>
        <v>51</v>
      </c>
      <c r="T32">
        <f t="shared" ca="1" si="28"/>
        <v>-69.182415999999989</v>
      </c>
      <c r="U32">
        <f t="shared" ca="1" si="29"/>
        <v>19.567257999999999</v>
      </c>
      <c r="V32">
        <f t="shared" si="30"/>
        <v>53</v>
      </c>
      <c r="W32">
        <f t="shared" ca="1" si="31"/>
        <v>61.913579000000027</v>
      </c>
      <c r="X32">
        <f t="shared" ca="1" si="32"/>
        <v>17.941414000000002</v>
      </c>
      <c r="Y32">
        <f>GetFollowingCarRow($B$45:$E$54,L32,$E$15,E32)</f>
        <v>51</v>
      </c>
      <c r="Z32">
        <f t="shared" ca="1" si="33"/>
        <v>-110.38241599999998</v>
      </c>
      <c r="AA32">
        <f t="shared" ca="1" si="34"/>
        <v>19.567257999999999</v>
      </c>
      <c r="AB32">
        <f t="shared" si="35"/>
        <v>1.25</v>
      </c>
      <c r="AC32">
        <f t="shared" si="36"/>
        <v>41.199999999999989</v>
      </c>
      <c r="AD32">
        <f t="shared" si="37"/>
        <v>16.138907766990293</v>
      </c>
      <c r="AE32">
        <f t="shared" si="38"/>
        <v>-664.92299999999989</v>
      </c>
      <c r="AF32">
        <f t="shared" si="39"/>
        <v>41.218958016912545</v>
      </c>
      <c r="AG32">
        <f>GetSmallestNormalDistance($B$45:$E$54,AB32,AC32,AF32,$L$15,L32)</f>
        <v>10.021676264366215</v>
      </c>
      <c r="AH32">
        <f t="shared" si="6"/>
        <v>0.62914516141403554</v>
      </c>
      <c r="AI32">
        <f>IF(G32&lt;=0,1,0)</f>
        <v>0</v>
      </c>
      <c r="AJ32">
        <f>IF(G32&lt;0,1,0)</f>
        <v>0</v>
      </c>
      <c r="AK32">
        <f>MAX(($B$3-G32)/(G32 + 1),0) / $B$3</f>
        <v>5.8132387459033288E-3</v>
      </c>
      <c r="AL32">
        <f>IF(H32+ABS(K32)&lt;0,Logistic(SQRT(H32^2+K32^2)/$B$4),0)</f>
        <v>0</v>
      </c>
      <c r="AM32">
        <f>IF(G32&gt;$B$3,1,0)</f>
        <v>0</v>
      </c>
      <c r="AN32">
        <f>IF(H32&gt;$B$4,1,0)</f>
        <v>0</v>
      </c>
      <c r="AO32">
        <f>ABS(H32)/$B$4</f>
        <v>0.115</v>
      </c>
      <c r="AP32">
        <f>Logistic(I32/$B$5)</f>
        <v>6.7397670865801632E-2</v>
      </c>
      <c r="AQ32">
        <f>IF(I32&gt;$B$5,1,0)</f>
        <v>0</v>
      </c>
      <c r="AR32">
        <f>Logistic(ABS(F32-O32)/($B$6/2))</f>
        <v>0.67642828112091191</v>
      </c>
      <c r="AS32">
        <f>IF(OR(F32&lt;M32,F32&gt;N32),1,0)</f>
        <v>1</v>
      </c>
      <c r="AT32">
        <f>ABS(K32)/$B$4</f>
        <v>0.15375</v>
      </c>
      <c r="AU32">
        <f t="shared" ca="1" si="40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1"/>
        <v>0</v>
      </c>
      <c r="BB32">
        <f t="shared" ca="1" si="42"/>
        <v>0</v>
      </c>
      <c r="BC32">
        <f t="shared" si="43"/>
        <v>0</v>
      </c>
      <c r="BE32">
        <f t="shared" si="7"/>
        <v>0.62914516141403554</v>
      </c>
      <c r="BF32">
        <f t="shared" si="44"/>
        <v>0</v>
      </c>
      <c r="BG32">
        <f t="shared" si="45"/>
        <v>0</v>
      </c>
      <c r="BH32">
        <f t="shared" si="8"/>
        <v>6.1600368849706336E-2</v>
      </c>
      <c r="BI32">
        <f t="shared" si="9"/>
        <v>0</v>
      </c>
      <c r="BJ32">
        <f t="shared" si="10"/>
        <v>0</v>
      </c>
      <c r="BK32">
        <f t="shared" si="11"/>
        <v>4.5480028296520985E-4</v>
      </c>
      <c r="BL32">
        <f t="shared" si="46"/>
        <v>0</v>
      </c>
      <c r="BM32">
        <f t="shared" si="12"/>
        <v>1.6492949137361264E-3</v>
      </c>
      <c r="BN32">
        <f t="shared" si="13"/>
        <v>0.32250000000000001</v>
      </c>
      <c r="BO32">
        <f t="shared" si="14"/>
        <v>0.15375</v>
      </c>
      <c r="BP32">
        <f t="shared" si="15"/>
        <v>5.7436713902879279E-2</v>
      </c>
      <c r="BQ32">
        <f t="shared" si="16"/>
        <v>6.4871496028284584E-2</v>
      </c>
    </row>
    <row r="33" spans="1:69" x14ac:dyDescent="0.25">
      <c r="A33" s="1" t="s">
        <v>38</v>
      </c>
      <c r="B33">
        <f t="shared" ca="1" si="2"/>
        <v>153.16027314122138</v>
      </c>
      <c r="C33" t="s">
        <v>508</v>
      </c>
      <c r="D33">
        <f t="shared" si="17"/>
        <v>124</v>
      </c>
      <c r="E33">
        <f t="shared" si="18"/>
        <v>344.61</v>
      </c>
      <c r="F33">
        <f t="shared" si="19"/>
        <v>3.89</v>
      </c>
      <c r="G33">
        <f t="shared" si="20"/>
        <v>5.87</v>
      </c>
      <c r="H33">
        <f t="shared" si="21"/>
        <v>-4.16</v>
      </c>
      <c r="I33">
        <f t="shared" si="22"/>
        <v>4.33</v>
      </c>
      <c r="J33">
        <f t="shared" si="23"/>
        <v>0.09</v>
      </c>
      <c r="K33">
        <f t="shared" si="24"/>
        <v>2.1800000000000002</v>
      </c>
      <c r="L33">
        <f t="shared" si="3"/>
        <v>1</v>
      </c>
      <c r="M33">
        <f t="shared" si="0"/>
        <v>0</v>
      </c>
      <c r="N33">
        <f t="shared" si="1"/>
        <v>4</v>
      </c>
      <c r="O33">
        <f t="shared" si="4"/>
        <v>2</v>
      </c>
      <c r="P33">
        <f t="shared" si="5"/>
        <v>53</v>
      </c>
      <c r="Q33">
        <f t="shared" ca="1" si="25"/>
        <v>103.11357900000002</v>
      </c>
      <c r="R33">
        <f t="shared" ca="1" si="26"/>
        <v>17.941414000000002</v>
      </c>
      <c r="S33">
        <f t="shared" si="27"/>
        <v>51</v>
      </c>
      <c r="T33">
        <f t="shared" ca="1" si="28"/>
        <v>-69.182415999999989</v>
      </c>
      <c r="U33">
        <f t="shared" ca="1" si="29"/>
        <v>19.567257999999999</v>
      </c>
      <c r="V33">
        <f t="shared" si="30"/>
        <v>53</v>
      </c>
      <c r="W33">
        <f t="shared" ca="1" si="31"/>
        <v>74.883578999999997</v>
      </c>
      <c r="X33">
        <f t="shared" ca="1" si="32"/>
        <v>17.941414000000002</v>
      </c>
      <c r="Y33">
        <f>GetFollowingCarRow($B$45:$E$54,L33,$E$15,E33)</f>
        <v>51</v>
      </c>
      <c r="Z33">
        <f t="shared" ca="1" si="33"/>
        <v>-97.412416000000007</v>
      </c>
      <c r="AA33">
        <f t="shared" ca="1" si="34"/>
        <v>19.567257999999999</v>
      </c>
      <c r="AB33">
        <f t="shared" si="35"/>
        <v>2.65</v>
      </c>
      <c r="AC33">
        <f t="shared" si="36"/>
        <v>28.230000000000018</v>
      </c>
      <c r="AD33">
        <f t="shared" si="37"/>
        <v>36.23914984059509</v>
      </c>
      <c r="AE33">
        <f t="shared" si="38"/>
        <v>-1023.0312</v>
      </c>
      <c r="AF33">
        <f t="shared" si="39"/>
        <v>28.354107286246926</v>
      </c>
      <c r="AG33">
        <f>GetSmallestNormalDistance($B$45:$E$54,AB33,AC33,AF33,$L$15,L33)</f>
        <v>25.618608312959818</v>
      </c>
      <c r="AH33">
        <f t="shared" si="6"/>
        <v>0.62914516141403554</v>
      </c>
      <c r="AI33">
        <f>IF(G33&lt;=0,1,0)</f>
        <v>0</v>
      </c>
      <c r="AJ33">
        <f>IF(G33&lt;0,1,0)</f>
        <v>0</v>
      </c>
      <c r="AK33">
        <f>MAX(($B$3-G33)/(G33 + 1),0) / $B$3</f>
        <v>0.10529463978257857</v>
      </c>
      <c r="AL33">
        <f>IF(H33+ABS(K33)&lt;0,Logistic(SQRT(H33^2+K33^2)/$B$4),0)</f>
        <v>0.28538715247154228</v>
      </c>
      <c r="AM33">
        <f>IF(G33&gt;$B$3,1,0)</f>
        <v>0</v>
      </c>
      <c r="AN33">
        <f>IF(H33&gt;$B$4,1,0)</f>
        <v>0</v>
      </c>
      <c r="AO33">
        <f>ABS(H33)/$B$4</f>
        <v>0.52</v>
      </c>
      <c r="AP33">
        <f>Logistic(I33/$B$5)</f>
        <v>0.26420630330696637</v>
      </c>
      <c r="AQ33">
        <f>IF(I33&gt;$B$5,1,0)</f>
        <v>0</v>
      </c>
      <c r="AR33">
        <f>Logistic(ABS(F33-O33)/($B$6/2))</f>
        <v>0.44021705360098295</v>
      </c>
      <c r="AS33">
        <f>IF(OR(F33&lt;M33,F33&gt;N33),1,0)</f>
        <v>0</v>
      </c>
      <c r="AT33">
        <f>ABS(K33)/$B$4</f>
        <v>0.27250000000000002</v>
      </c>
      <c r="AU33">
        <f t="shared" ca="1" si="40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0.49491777113346336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0.28881812695650455</v>
      </c>
      <c r="BA33">
        <f t="shared" ca="1" si="41"/>
        <v>0</v>
      </c>
      <c r="BB33">
        <f t="shared" ca="1" si="42"/>
        <v>0</v>
      </c>
      <c r="BC33">
        <f t="shared" si="43"/>
        <v>0</v>
      </c>
      <c r="BE33">
        <f t="shared" si="7"/>
        <v>0.62914516141403554</v>
      </c>
      <c r="BF33">
        <f t="shared" si="44"/>
        <v>0</v>
      </c>
      <c r="BG33">
        <f t="shared" si="45"/>
        <v>0</v>
      </c>
      <c r="BH33">
        <f t="shared" si="8"/>
        <v>0.80658443985498707</v>
      </c>
      <c r="BI33">
        <f t="shared" si="9"/>
        <v>0</v>
      </c>
      <c r="BJ33">
        <f t="shared" si="10"/>
        <v>0</v>
      </c>
      <c r="BK33">
        <f t="shared" si="11"/>
        <v>0.39729471319771131</v>
      </c>
      <c r="BL33">
        <f t="shared" si="46"/>
        <v>0</v>
      </c>
      <c r="BM33">
        <f t="shared" si="12"/>
        <v>0.42845264617119377</v>
      </c>
      <c r="BN33">
        <f t="shared" si="13"/>
        <v>0</v>
      </c>
      <c r="BO33">
        <f t="shared" si="14"/>
        <v>0.27250000000000002</v>
      </c>
      <c r="BP33">
        <f t="shared" si="15"/>
        <v>0.25429553262639115</v>
      </c>
      <c r="BQ33">
        <f t="shared" si="16"/>
        <v>0.86364039209503152</v>
      </c>
    </row>
    <row r="34" spans="1:69" x14ac:dyDescent="0.25">
      <c r="A34" s="1" t="s">
        <v>39</v>
      </c>
      <c r="B34">
        <f t="shared" ca="1" si="2"/>
        <v>305.12228934366794</v>
      </c>
      <c r="C34" t="s">
        <v>507</v>
      </c>
      <c r="D34">
        <f t="shared" si="17"/>
        <v>124</v>
      </c>
      <c r="E34">
        <f t="shared" si="18"/>
        <v>267.5</v>
      </c>
      <c r="F34">
        <f t="shared" si="19"/>
        <v>5.78</v>
      </c>
      <c r="G34">
        <f t="shared" si="20"/>
        <v>-70.849999999999994</v>
      </c>
      <c r="H34">
        <f t="shared" si="21"/>
        <v>-23.44</v>
      </c>
      <c r="I34">
        <f t="shared" si="22"/>
        <v>23.6</v>
      </c>
      <c r="J34">
        <f t="shared" si="23"/>
        <v>0.17</v>
      </c>
      <c r="K34">
        <f t="shared" si="24"/>
        <v>4.9000000000000004</v>
      </c>
      <c r="L34">
        <f t="shared" si="3"/>
        <v>1</v>
      </c>
      <c r="M34">
        <f t="shared" si="0"/>
        <v>0</v>
      </c>
      <c r="N34">
        <f t="shared" si="1"/>
        <v>4</v>
      </c>
      <c r="O34">
        <f t="shared" si="4"/>
        <v>2</v>
      </c>
      <c r="P34">
        <f t="shared" si="5"/>
        <v>53</v>
      </c>
      <c r="Q34">
        <f t="shared" ca="1" si="25"/>
        <v>103.11357900000002</v>
      </c>
      <c r="R34">
        <f t="shared" ca="1" si="26"/>
        <v>17.941414000000002</v>
      </c>
      <c r="S34">
        <f t="shared" si="27"/>
        <v>51</v>
      </c>
      <c r="T34">
        <f t="shared" ca="1" si="28"/>
        <v>-69.182415999999989</v>
      </c>
      <c r="U34">
        <f t="shared" ca="1" si="29"/>
        <v>19.567257999999999</v>
      </c>
      <c r="V34">
        <f t="shared" si="30"/>
        <v>53</v>
      </c>
      <c r="W34">
        <f t="shared" ca="1" si="31"/>
        <v>151.99357900000001</v>
      </c>
      <c r="X34">
        <f t="shared" ca="1" si="32"/>
        <v>17.941414000000002</v>
      </c>
      <c r="Y34">
        <f>GetFollowingCarRow($B$45:$E$54,L34,$E$15,E34)</f>
        <v>51</v>
      </c>
      <c r="Z34">
        <f t="shared" ca="1" si="33"/>
        <v>-20.302415999999994</v>
      </c>
      <c r="AA34">
        <f t="shared" ca="1" si="34"/>
        <v>19.567257999999999</v>
      </c>
      <c r="AB34">
        <f t="shared" si="35"/>
        <v>0.75999999999999979</v>
      </c>
      <c r="AC34">
        <f t="shared" si="36"/>
        <v>-48.879999999999995</v>
      </c>
      <c r="AD34">
        <f t="shared" si="37"/>
        <v>1.6208346972176768</v>
      </c>
      <c r="AE34">
        <f t="shared" si="38"/>
        <v>79.226400000000041</v>
      </c>
      <c r="AF34">
        <f t="shared" si="39"/>
        <v>48.885907989930999</v>
      </c>
      <c r="AG34">
        <f>GetSmallestNormalDistance($B$45:$E$54,AB34,AC34,AF34,$L$15,L34)</f>
        <v>1.1312820776774937</v>
      </c>
      <c r="AH34">
        <f t="shared" si="6"/>
        <v>0.62914516141403554</v>
      </c>
      <c r="AI34">
        <f>IF(G34&lt;=0,1,0)</f>
        <v>1</v>
      </c>
      <c r="AJ34">
        <f>IF(G34&lt;0,1,0)</f>
        <v>1</v>
      </c>
      <c r="AK34">
        <f>MAX(($B$3-G34)/(G34 + 1),0) / $B$3</f>
        <v>0</v>
      </c>
      <c r="AL34">
        <f>IF(H34+ABS(K34)&lt;0,Logistic(SQRT(H34^2+K34^2)/$B$4),0)</f>
        <v>0.90454425677523476</v>
      </c>
      <c r="AM34">
        <f>IF(G34&gt;$B$3,1,0)</f>
        <v>0</v>
      </c>
      <c r="AN34">
        <f>IF(H34&gt;$B$4,1,0)</f>
        <v>0</v>
      </c>
      <c r="AO34">
        <f>ABS(H34)/$B$4</f>
        <v>2.93</v>
      </c>
      <c r="AP34">
        <f>Logistic(I34/$B$5)</f>
        <v>0.90052697688288652</v>
      </c>
      <c r="AQ34">
        <f>IF(I34&gt;$B$5,1,0)</f>
        <v>1</v>
      </c>
      <c r="AR34">
        <f>Logistic(ABS(F34-O34)/($B$6/2))</f>
        <v>0.73751106112295339</v>
      </c>
      <c r="AS34">
        <f>IF(OR(F34&lt;M34,F34&gt;N34),1,0)</f>
        <v>1</v>
      </c>
      <c r="AT34">
        <f>ABS(K34)/$B$4</f>
        <v>0.61250000000000004</v>
      </c>
      <c r="AU34">
        <f t="shared" ca="1" si="40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0.92348538594258189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0.97754586187517434</v>
      </c>
      <c r="BA34">
        <f t="shared" ca="1" si="41"/>
        <v>0</v>
      </c>
      <c r="BB34">
        <f t="shared" ca="1" si="42"/>
        <v>0</v>
      </c>
      <c r="BC34">
        <f t="shared" si="43"/>
        <v>0</v>
      </c>
      <c r="BE34">
        <f t="shared" si="7"/>
        <v>0.62914516141403554</v>
      </c>
      <c r="BF34">
        <f t="shared" si="44"/>
        <v>1</v>
      </c>
      <c r="BG34">
        <f t="shared" si="45"/>
        <v>1</v>
      </c>
      <c r="BH34">
        <f t="shared" si="8"/>
        <v>-0.57773425451231608</v>
      </c>
      <c r="BI34">
        <f t="shared" si="9"/>
        <v>0</v>
      </c>
      <c r="BJ34">
        <f t="shared" si="10"/>
        <v>0</v>
      </c>
      <c r="BK34">
        <f t="shared" si="11"/>
        <v>1.9322846738949042</v>
      </c>
      <c r="BL34">
        <f t="shared" si="46"/>
        <v>1</v>
      </c>
      <c r="BM34">
        <f t="shared" si="12"/>
        <v>1.9367609206332399</v>
      </c>
      <c r="BN34">
        <f t="shared" si="13"/>
        <v>0.44500000000000006</v>
      </c>
      <c r="BO34">
        <f t="shared" si="14"/>
        <v>0.61250000000000004</v>
      </c>
      <c r="BP34">
        <f t="shared" si="15"/>
        <v>0.89861935013749872</v>
      </c>
      <c r="BQ34">
        <f t="shared" si="16"/>
        <v>-0.57150366334887004</v>
      </c>
    </row>
    <row r="35" spans="1:69" x14ac:dyDescent="0.25">
      <c r="A35" s="1" t="s">
        <v>82</v>
      </c>
      <c r="B35">
        <f t="shared" ca="1" si="2"/>
        <v>148.09930092489384</v>
      </c>
      <c r="C35" t="s">
        <v>506</v>
      </c>
      <c r="D35">
        <f t="shared" si="17"/>
        <v>124</v>
      </c>
      <c r="E35">
        <f t="shared" si="18"/>
        <v>355.25</v>
      </c>
      <c r="F35">
        <f t="shared" si="19"/>
        <v>5.09</v>
      </c>
      <c r="G35">
        <f t="shared" si="20"/>
        <v>16.46</v>
      </c>
      <c r="H35">
        <f t="shared" si="21"/>
        <v>-1.5</v>
      </c>
      <c r="I35">
        <f t="shared" si="22"/>
        <v>1.66</v>
      </c>
      <c r="J35">
        <f t="shared" si="23"/>
        <v>-1.21</v>
      </c>
      <c r="K35">
        <f t="shared" si="24"/>
        <v>1.23</v>
      </c>
      <c r="L35">
        <f t="shared" si="3"/>
        <v>1</v>
      </c>
      <c r="M35">
        <f t="shared" si="0"/>
        <v>0</v>
      </c>
      <c r="N35">
        <f t="shared" si="1"/>
        <v>4</v>
      </c>
      <c r="O35">
        <f t="shared" si="4"/>
        <v>2</v>
      </c>
      <c r="P35">
        <f t="shared" si="5"/>
        <v>53</v>
      </c>
      <c r="Q35">
        <f t="shared" ca="1" si="25"/>
        <v>103.11357900000002</v>
      </c>
      <c r="R35">
        <f t="shared" ca="1" si="26"/>
        <v>17.941414000000002</v>
      </c>
      <c r="S35">
        <f t="shared" si="27"/>
        <v>51</v>
      </c>
      <c r="T35">
        <f t="shared" ca="1" si="28"/>
        <v>-69.182415999999989</v>
      </c>
      <c r="U35">
        <f t="shared" ca="1" si="29"/>
        <v>19.567257999999999</v>
      </c>
      <c r="V35">
        <f t="shared" si="30"/>
        <v>53</v>
      </c>
      <c r="W35">
        <f t="shared" ca="1" si="31"/>
        <v>64.243579000000011</v>
      </c>
      <c r="X35">
        <f t="shared" ca="1" si="32"/>
        <v>17.941414000000002</v>
      </c>
      <c r="Y35">
        <f>GetFollowingCarRow($B$45:$E$54,L35,$E$15,E35)</f>
        <v>51</v>
      </c>
      <c r="Z35">
        <f t="shared" ca="1" si="33"/>
        <v>-108.05241599999999</v>
      </c>
      <c r="AA35">
        <f t="shared" ca="1" si="34"/>
        <v>19.567257999999999</v>
      </c>
      <c r="AB35">
        <f t="shared" si="35"/>
        <v>1.4500000000000002</v>
      </c>
      <c r="AC35">
        <f t="shared" si="36"/>
        <v>38.870000000000005</v>
      </c>
      <c r="AD35">
        <f t="shared" si="37"/>
        <v>18.342186776434268</v>
      </c>
      <c r="AE35">
        <f t="shared" si="38"/>
        <v>-712.96080000000006</v>
      </c>
      <c r="AF35">
        <f t="shared" si="39"/>
        <v>38.897035876786298</v>
      </c>
      <c r="AG35">
        <f>GetSmallestNormalDistance($B$45:$E$54,AB35,AC35,AF35,$L$15,L35)</f>
        <v>11.739613021323303</v>
      </c>
      <c r="AH35">
        <f t="shared" si="6"/>
        <v>0.62914516141403554</v>
      </c>
      <c r="AI35">
        <f>IF(G35&lt;=0,1,0)</f>
        <v>0</v>
      </c>
      <c r="AJ35">
        <f>IF(G35&lt;0,1,0)</f>
        <v>0</v>
      </c>
      <c r="AK35">
        <f>MAX(($B$3-G35)/(G35 + 1),0) / $B$3</f>
        <v>1.2847461762606972E-2</v>
      </c>
      <c r="AL35">
        <f>IF(H35+ABS(K35)&lt;0,Logistic(SQRT(H35^2+K35^2)/$B$4),0)</f>
        <v>0.12064817323225951</v>
      </c>
      <c r="AM35">
        <f>IF(G35&gt;$B$3,1,0)</f>
        <v>0</v>
      </c>
      <c r="AN35">
        <f>IF(H35&gt;$B$4,1,0)</f>
        <v>0</v>
      </c>
      <c r="AO35">
        <f>ABS(H35)/$B$4</f>
        <v>0.1875</v>
      </c>
      <c r="AP35">
        <f>Logistic(I35/$B$5)</f>
        <v>0.10337933868540022</v>
      </c>
      <c r="AQ35">
        <f>IF(I35&gt;$B$5,1,0)</f>
        <v>0</v>
      </c>
      <c r="AR35">
        <f>Logistic(ABS(F35-O35)/($B$6/2))</f>
        <v>0.64838080582214197</v>
      </c>
      <c r="AS35">
        <f>IF(OR(F35&lt;M35,F35&gt;N35),1,0)</f>
        <v>1</v>
      </c>
      <c r="AT35">
        <f>ABS(K35)/$B$4</f>
        <v>0.15375</v>
      </c>
      <c r="AU35">
        <f t="shared" ca="1" si="40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</v>
      </c>
      <c r="BA35">
        <f t="shared" ca="1" si="41"/>
        <v>0</v>
      </c>
      <c r="BB35">
        <f t="shared" ca="1" si="42"/>
        <v>0</v>
      </c>
      <c r="BC35">
        <f t="shared" si="43"/>
        <v>0</v>
      </c>
      <c r="BE35">
        <f t="shared" si="7"/>
        <v>0.62914516141403554</v>
      </c>
      <c r="BF35">
        <f t="shared" si="44"/>
        <v>0</v>
      </c>
      <c r="BG35">
        <f t="shared" si="45"/>
        <v>0</v>
      </c>
      <c r="BH35">
        <f t="shared" si="8"/>
        <v>0.13547353596578604</v>
      </c>
      <c r="BI35">
        <f t="shared" si="9"/>
        <v>0</v>
      </c>
      <c r="BJ35">
        <f t="shared" si="10"/>
        <v>0</v>
      </c>
      <c r="BK35">
        <f t="shared" si="11"/>
        <v>1.3123728736940968E-2</v>
      </c>
      <c r="BL35">
        <f t="shared" si="46"/>
        <v>0</v>
      </c>
      <c r="BM35">
        <f t="shared" si="12"/>
        <v>2.1943658047405411E-2</v>
      </c>
      <c r="BN35">
        <f t="shared" si="13"/>
        <v>0.27249999999999996</v>
      </c>
      <c r="BO35">
        <f t="shared" si="14"/>
        <v>0.15375</v>
      </c>
      <c r="BP35">
        <f t="shared" si="15"/>
        <v>9.3476303969227723E-2</v>
      </c>
      <c r="BQ35">
        <f t="shared" si="16"/>
        <v>0.14359363476099371</v>
      </c>
    </row>
    <row r="36" spans="1:69" x14ac:dyDescent="0.25">
      <c r="A36" s="1" t="s">
        <v>83</v>
      </c>
      <c r="B36">
        <f t="shared" ca="1" si="2"/>
        <v>173.32121504590563</v>
      </c>
      <c r="C36" t="s">
        <v>505</v>
      </c>
      <c r="D36">
        <f t="shared" si="17"/>
        <v>124</v>
      </c>
      <c r="E36">
        <f t="shared" si="18"/>
        <v>342.28</v>
      </c>
      <c r="F36">
        <f t="shared" si="19"/>
        <v>3.95</v>
      </c>
      <c r="G36">
        <f t="shared" si="20"/>
        <v>3.55</v>
      </c>
      <c r="H36">
        <f t="shared" si="21"/>
        <v>-4.75</v>
      </c>
      <c r="I36">
        <f t="shared" si="22"/>
        <v>4.91</v>
      </c>
      <c r="J36">
        <f t="shared" si="23"/>
        <v>0.15</v>
      </c>
      <c r="K36">
        <f t="shared" si="24"/>
        <v>2.1800000000000002</v>
      </c>
      <c r="L36">
        <f t="shared" si="3"/>
        <v>1</v>
      </c>
      <c r="M36">
        <f t="shared" si="0"/>
        <v>0</v>
      </c>
      <c r="N36">
        <f t="shared" si="1"/>
        <v>4</v>
      </c>
      <c r="O36">
        <f t="shared" si="4"/>
        <v>2</v>
      </c>
      <c r="P36">
        <f t="shared" si="5"/>
        <v>53</v>
      </c>
      <c r="Q36">
        <f t="shared" ca="1" si="25"/>
        <v>103.11357900000002</v>
      </c>
      <c r="R36">
        <f t="shared" ca="1" si="26"/>
        <v>17.941414000000002</v>
      </c>
      <c r="S36">
        <f t="shared" si="27"/>
        <v>51</v>
      </c>
      <c r="T36">
        <f t="shared" ca="1" si="28"/>
        <v>-69.182415999999989</v>
      </c>
      <c r="U36">
        <f t="shared" ca="1" si="29"/>
        <v>19.567257999999999</v>
      </c>
      <c r="V36">
        <f t="shared" si="30"/>
        <v>53</v>
      </c>
      <c r="W36">
        <f t="shared" ca="1" si="31"/>
        <v>77.213579000000038</v>
      </c>
      <c r="X36">
        <f t="shared" ca="1" si="32"/>
        <v>17.941414000000002</v>
      </c>
      <c r="Y36">
        <f>GetFollowingCarRow($B$45:$E$54,L36,$E$15,E36)</f>
        <v>51</v>
      </c>
      <c r="Z36">
        <f t="shared" ca="1" si="33"/>
        <v>-95.082415999999967</v>
      </c>
      <c r="AA36">
        <f t="shared" ca="1" si="34"/>
        <v>19.567257999999999</v>
      </c>
      <c r="AB36">
        <f t="shared" si="35"/>
        <v>2.59</v>
      </c>
      <c r="AC36">
        <f t="shared" si="36"/>
        <v>25.899999999999977</v>
      </c>
      <c r="AD36">
        <f t="shared" si="37"/>
        <v>38.178000000000026</v>
      </c>
      <c r="AE36">
        <f t="shared" si="38"/>
        <v>-988.81019999999978</v>
      </c>
      <c r="AF36">
        <f t="shared" si="39"/>
        <v>26.029177858703083</v>
      </c>
      <c r="AG36">
        <f>GetSmallestNormalDistance($B$45:$E$54,AB36,AC36,AF36,$L$15,L36)</f>
        <v>27.110902091901895</v>
      </c>
      <c r="AH36">
        <f t="shared" si="6"/>
        <v>0.62914516141403554</v>
      </c>
      <c r="AI36">
        <f>IF(G36&lt;=0,1,0)</f>
        <v>0</v>
      </c>
      <c r="AJ36">
        <f>IF(G36&lt;0,1,0)</f>
        <v>0</v>
      </c>
      <c r="AK36">
        <f>MAX(($B$3-G36)/(G36 + 1),0) / $B$3</f>
        <v>0.18301208687636586</v>
      </c>
      <c r="AL36">
        <f>IF(H36+ABS(K36)&lt;0,Logistic(SQRT(H36^2+K36^2)/$B$4),0)</f>
        <v>0.31550552679581728</v>
      </c>
      <c r="AM36">
        <f>IF(G36&gt;$B$3,1,0)</f>
        <v>0</v>
      </c>
      <c r="AN36">
        <f>IF(H36&gt;$B$4,1,0)</f>
        <v>0</v>
      </c>
      <c r="AO36">
        <f>ABS(H36)/$B$4</f>
        <v>0.59375</v>
      </c>
      <c r="AP36">
        <f>Logistic(I36/$B$5)</f>
        <v>0.2975915049352641</v>
      </c>
      <c r="AQ36">
        <f>IF(I36&gt;$B$5,1,0)</f>
        <v>0</v>
      </c>
      <c r="AR36">
        <f>Logistic(ABS(F36-O36)/($B$6/2))</f>
        <v>0.45222996252155828</v>
      </c>
      <c r="AS36">
        <f>IF(OR(F36&lt;M36,F36&gt;N36),1,0)</f>
        <v>0</v>
      </c>
      <c r="AT36">
        <f>ABS(K36)/$B$4</f>
        <v>0.27250000000000002</v>
      </c>
      <c r="AU36">
        <f t="shared" ca="1" si="40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0.56807578425720551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0.40637519855146254</v>
      </c>
      <c r="BA36">
        <f t="shared" ca="1" si="41"/>
        <v>0</v>
      </c>
      <c r="BB36">
        <f t="shared" ca="1" si="42"/>
        <v>0</v>
      </c>
      <c r="BC36">
        <f t="shared" si="43"/>
        <v>0</v>
      </c>
      <c r="BE36">
        <f t="shared" si="7"/>
        <v>0.62914516141403554</v>
      </c>
      <c r="BF36">
        <f t="shared" si="44"/>
        <v>0</v>
      </c>
      <c r="BG36">
        <f t="shared" si="45"/>
        <v>0</v>
      </c>
      <c r="BH36">
        <f t="shared" si="8"/>
        <v>0.9596731897353098</v>
      </c>
      <c r="BI36">
        <f t="shared" si="9"/>
        <v>0</v>
      </c>
      <c r="BJ36">
        <f t="shared" si="10"/>
        <v>0</v>
      </c>
      <c r="BK36">
        <f t="shared" si="11"/>
        <v>0.50448835267872116</v>
      </c>
      <c r="BL36">
        <f t="shared" si="46"/>
        <v>1</v>
      </c>
      <c r="BM36">
        <f t="shared" si="12"/>
        <v>0.53294987508008695</v>
      </c>
      <c r="BN36">
        <f t="shared" si="13"/>
        <v>0</v>
      </c>
      <c r="BO36">
        <f t="shared" si="14"/>
        <v>0.27250000000000002</v>
      </c>
      <c r="BP36">
        <f t="shared" si="15"/>
        <v>0.28845021297273932</v>
      </c>
      <c r="BQ36">
        <f t="shared" si="16"/>
        <v>0.98631131201998079</v>
      </c>
    </row>
    <row r="37" spans="1:69" x14ac:dyDescent="0.25">
      <c r="A37" s="1" t="s">
        <v>84</v>
      </c>
      <c r="B37">
        <f t="shared" ca="1" si="2"/>
        <v>305.14143093879829</v>
      </c>
      <c r="C37" t="s">
        <v>504</v>
      </c>
      <c r="D37">
        <f t="shared" si="17"/>
        <v>124</v>
      </c>
      <c r="E37">
        <f t="shared" si="18"/>
        <v>265.17</v>
      </c>
      <c r="F37">
        <f t="shared" si="19"/>
        <v>5.77</v>
      </c>
      <c r="G37">
        <f t="shared" si="20"/>
        <v>-73.17</v>
      </c>
      <c r="H37">
        <f t="shared" si="21"/>
        <v>-24.02</v>
      </c>
      <c r="I37">
        <f t="shared" si="22"/>
        <v>24.19</v>
      </c>
      <c r="J37">
        <f t="shared" si="23"/>
        <v>0.18</v>
      </c>
      <c r="K37">
        <f t="shared" si="24"/>
        <v>4.9000000000000004</v>
      </c>
      <c r="L37">
        <f t="shared" si="3"/>
        <v>1</v>
      </c>
      <c r="M37">
        <f t="shared" si="0"/>
        <v>0</v>
      </c>
      <c r="N37">
        <f t="shared" si="1"/>
        <v>4</v>
      </c>
      <c r="O37">
        <f t="shared" si="4"/>
        <v>2</v>
      </c>
      <c r="P37">
        <f t="shared" si="5"/>
        <v>53</v>
      </c>
      <c r="Q37">
        <f t="shared" ca="1" si="25"/>
        <v>103.11357900000002</v>
      </c>
      <c r="R37">
        <f t="shared" ca="1" si="26"/>
        <v>17.941414000000002</v>
      </c>
      <c r="S37">
        <f t="shared" si="27"/>
        <v>51</v>
      </c>
      <c r="T37">
        <f t="shared" ca="1" si="28"/>
        <v>-69.182415999999989</v>
      </c>
      <c r="U37">
        <f t="shared" ca="1" si="29"/>
        <v>19.567257999999999</v>
      </c>
      <c r="V37">
        <f t="shared" si="30"/>
        <v>53</v>
      </c>
      <c r="W37">
        <f t="shared" ca="1" si="31"/>
        <v>154.323579</v>
      </c>
      <c r="X37">
        <f t="shared" ca="1" si="32"/>
        <v>17.941414000000002</v>
      </c>
      <c r="Y37">
        <f>GetFollowingCarRow($B$45:$E$54,L37,$E$15,E37)</f>
        <v>51</v>
      </c>
      <c r="Z37">
        <f t="shared" ca="1" si="33"/>
        <v>-17.97241600000001</v>
      </c>
      <c r="AA37">
        <f t="shared" ca="1" si="34"/>
        <v>19.567257999999999</v>
      </c>
      <c r="AB37">
        <f t="shared" si="35"/>
        <v>0.77000000000000046</v>
      </c>
      <c r="AC37">
        <f t="shared" si="36"/>
        <v>-51.20999999999998</v>
      </c>
      <c r="AD37">
        <f t="shared" si="37"/>
        <v>1.7828705330989996</v>
      </c>
      <c r="AE37">
        <f t="shared" si="38"/>
        <v>91.300799999999725</v>
      </c>
      <c r="AF37">
        <f t="shared" si="39"/>
        <v>51.215788581256838</v>
      </c>
      <c r="AG37">
        <f>GetSmallestNormalDistance($B$45:$E$54,AB37,AC37,AF37,$L$15,L37)</f>
        <v>0.89773546388050207</v>
      </c>
      <c r="AH37">
        <f t="shared" si="6"/>
        <v>0.62914516141403554</v>
      </c>
      <c r="AI37">
        <f>IF(G37&lt;=0,1,0)</f>
        <v>1</v>
      </c>
      <c r="AJ37">
        <f>IF(G37&lt;0,1,0)</f>
        <v>1</v>
      </c>
      <c r="AK37">
        <f>MAX(($B$3-G37)/(G37 + 1),0) / $B$3</f>
        <v>0</v>
      </c>
      <c r="AL37">
        <f>IF(H37+ABS(K37)&lt;0,Logistic(SQRT(H37^2+K37^2)/$B$4),0)</f>
        <v>0.91079496855568509</v>
      </c>
      <c r="AM37">
        <f>IF(G37&gt;$B$3,1,0)</f>
        <v>0</v>
      </c>
      <c r="AN37">
        <f>IF(H37&gt;$B$4,1,0)</f>
        <v>0</v>
      </c>
      <c r="AO37">
        <f>ABS(H37)/$B$4</f>
        <v>3.0024999999999999</v>
      </c>
      <c r="AP37">
        <f>Logistic(I37/$B$5)</f>
        <v>0.90727122613476274</v>
      </c>
      <c r="AQ37">
        <f>IF(I37&gt;$B$5,1,0)</f>
        <v>1</v>
      </c>
      <c r="AR37">
        <f>Logistic(ABS(F37-O37)/($B$6/2))</f>
        <v>0.7363687637736096</v>
      </c>
      <c r="AS37">
        <f>IF(OR(F37&lt;M37,F37&gt;N37),1,0)</f>
        <v>1</v>
      </c>
      <c r="AT37">
        <f>ABS(K37)/$B$4</f>
        <v>0.61250000000000004</v>
      </c>
      <c r="AU37">
        <f t="shared" ca="1" si="40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0.92539954545561398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0.9806200696595968</v>
      </c>
      <c r="BA37">
        <f t="shared" ca="1" si="41"/>
        <v>0</v>
      </c>
      <c r="BB37">
        <f t="shared" ca="1" si="42"/>
        <v>0</v>
      </c>
      <c r="BC37">
        <f t="shared" si="43"/>
        <v>0</v>
      </c>
      <c r="BE37">
        <f t="shared" si="7"/>
        <v>0.62914516141403554</v>
      </c>
      <c r="BF37">
        <f t="shared" si="44"/>
        <v>1</v>
      </c>
      <c r="BG37">
        <f t="shared" si="45"/>
        <v>1</v>
      </c>
      <c r="BH37">
        <f t="shared" si="8"/>
        <v>-0.57431776860353101</v>
      </c>
      <c r="BI37">
        <f t="shared" si="9"/>
        <v>0</v>
      </c>
      <c r="BJ37">
        <f t="shared" si="10"/>
        <v>0</v>
      </c>
      <c r="BK37">
        <f t="shared" si="11"/>
        <v>1.9482747028252658</v>
      </c>
      <c r="BL37">
        <f t="shared" si="46"/>
        <v>1</v>
      </c>
      <c r="BM37">
        <f t="shared" si="12"/>
        <v>1.9528402053337832</v>
      </c>
      <c r="BN37">
        <f t="shared" si="13"/>
        <v>0.44249999999999989</v>
      </c>
      <c r="BO37">
        <f t="shared" si="14"/>
        <v>0.61250000000000004</v>
      </c>
      <c r="BP37">
        <f t="shared" si="15"/>
        <v>0.90537388154263443</v>
      </c>
      <c r="BQ37">
        <f t="shared" si="16"/>
        <v>-0.56829761689372549</v>
      </c>
    </row>
    <row r="38" spans="1:69" x14ac:dyDescent="0.25">
      <c r="A38" s="1" t="s">
        <v>19</v>
      </c>
      <c r="B38">
        <f t="shared" ca="1" si="2"/>
        <v>148.00543339967609</v>
      </c>
      <c r="C38" t="s">
        <v>503</v>
      </c>
      <c r="D38">
        <f t="shared" si="17"/>
        <v>124</v>
      </c>
      <c r="E38">
        <f t="shared" si="18"/>
        <v>355.36</v>
      </c>
      <c r="F38">
        <f t="shared" si="19"/>
        <v>5.0999999999999996</v>
      </c>
      <c r="G38">
        <f t="shared" si="20"/>
        <v>16.57</v>
      </c>
      <c r="H38">
        <f t="shared" si="21"/>
        <v>-1.47</v>
      </c>
      <c r="I38">
        <f t="shared" si="22"/>
        <v>1.64</v>
      </c>
      <c r="J38">
        <f t="shared" si="23"/>
        <v>-1.24</v>
      </c>
      <c r="K38">
        <f t="shared" si="24"/>
        <v>1.23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>
        <f t="shared" si="5"/>
        <v>53</v>
      </c>
      <c r="Q38">
        <f t="shared" ca="1" si="25"/>
        <v>103.11357900000002</v>
      </c>
      <c r="R38">
        <f t="shared" ca="1" si="26"/>
        <v>17.941414000000002</v>
      </c>
      <c r="S38">
        <f t="shared" si="27"/>
        <v>51</v>
      </c>
      <c r="T38">
        <f t="shared" ca="1" si="28"/>
        <v>-69.182415999999989</v>
      </c>
      <c r="U38">
        <f t="shared" ca="1" si="29"/>
        <v>19.567257999999999</v>
      </c>
      <c r="V38">
        <f t="shared" si="30"/>
        <v>53</v>
      </c>
      <c r="W38">
        <f t="shared" ca="1" si="31"/>
        <v>64.133578999999997</v>
      </c>
      <c r="X38">
        <f t="shared" ca="1" si="32"/>
        <v>17.941414000000002</v>
      </c>
      <c r="Y38">
        <f>GetFollowingCarRow($B$45:$E$54,L38,$E$15,E38)</f>
        <v>51</v>
      </c>
      <c r="Z38">
        <f t="shared" ca="1" si="33"/>
        <v>-108.16241600000001</v>
      </c>
      <c r="AA38">
        <f t="shared" ca="1" si="34"/>
        <v>19.567257999999999</v>
      </c>
      <c r="AB38">
        <f t="shared" si="35"/>
        <v>1.4400000000000004</v>
      </c>
      <c r="AC38">
        <f t="shared" si="36"/>
        <v>38.980000000000018</v>
      </c>
      <c r="AD38">
        <f t="shared" si="37"/>
        <v>18.227716777834786</v>
      </c>
      <c r="AE38">
        <f t="shared" si="38"/>
        <v>-710.51640000000032</v>
      </c>
      <c r="AF38">
        <f t="shared" si="39"/>
        <v>39.006589186956624</v>
      </c>
      <c r="AG38">
        <f>GetSmallestNormalDistance($B$45:$E$54,AB38,AC38,AF38,$L$15,L38)</f>
        <v>11.650392464767481</v>
      </c>
      <c r="AH38">
        <f>Logistic((D38-$B$2)/$B$2)</f>
        <v>0.62914516141403554</v>
      </c>
      <c r="AI38">
        <f>IF(G38&lt;=0,1,0)</f>
        <v>0</v>
      </c>
      <c r="AJ38">
        <f>IF(G38&lt;0,1,0)</f>
        <v>0</v>
      </c>
      <c r="AK38">
        <f>MAX(($B$3-G38)/(G38 + 1),0) / $B$3</f>
        <v>1.247199166173598E-2</v>
      </c>
      <c r="AL38">
        <f>IF(H38+ABS(K38)&lt;0,Logistic(SQRT(H38^2+K38^2)/$B$4),0)</f>
        <v>0.11922496742301839</v>
      </c>
      <c r="AM38">
        <f>IF(G38&gt;$B$3,1,0)</f>
        <v>0</v>
      </c>
      <c r="AN38">
        <f>IF(H38&gt;$B$4,1,0)</f>
        <v>0</v>
      </c>
      <c r="AO38">
        <f>ABS(H38)/$B$4</f>
        <v>0.18375</v>
      </c>
      <c r="AP38">
        <f>Logistic(I38/$B$5)</f>
        <v>0.10214253861468393</v>
      </c>
      <c r="AQ38">
        <f>IF(I38&gt;$B$5,1,0)</f>
        <v>0</v>
      </c>
      <c r="AR38">
        <f>Logistic(ABS(F38-O38)/($B$6/2))</f>
        <v>0.64982746367192035</v>
      </c>
      <c r="AS38">
        <f>IF(OR(F38&lt;M38,F38&gt;N38),1,0)</f>
        <v>1</v>
      </c>
      <c r="AT38">
        <f>ABS(K38)/$B$4</f>
        <v>0.15375</v>
      </c>
      <c r="AU38">
        <f t="shared" ca="1" si="40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1"/>
        <v>0</v>
      </c>
      <c r="BB38">
        <f t="shared" ca="1" si="42"/>
        <v>0</v>
      </c>
      <c r="BC38">
        <f t="shared" si="43"/>
        <v>0</v>
      </c>
      <c r="BE38">
        <f>Logistic((D38-$B$2)/$B$2)</f>
        <v>0.62914516141403554</v>
      </c>
      <c r="BF38">
        <f t="shared" si="44"/>
        <v>0</v>
      </c>
      <c r="BG38">
        <f t="shared" si="45"/>
        <v>0</v>
      </c>
      <c r="BH38">
        <f>Logistic(($B$3-G38)/(G38+1))</f>
        <v>0.13156082109063527</v>
      </c>
      <c r="BI38">
        <f>IF(G38&gt;$B$3,1,0)</f>
        <v>0</v>
      </c>
      <c r="BJ38">
        <f>IF(H38&gt;$B$5,1,0)</f>
        <v>0</v>
      </c>
      <c r="BK38">
        <f>EXP(-($B$4-ABS(H38))/MAX(ABS(H38),0.000000001))</f>
        <v>1.1770288215067391E-2</v>
      </c>
      <c r="BL38">
        <f t="shared" si="46"/>
        <v>0</v>
      </c>
      <c r="BM38">
        <f>EXP(-($B$5-I38)/MAX(I38,0.000000001))</f>
        <v>2.0691158811836384E-2</v>
      </c>
      <c r="BN38">
        <f>IF(F38&gt;N38,(F38-N38)/$B$6,0)+IF(F38&lt;M38,(M38-F38)/$B$6,0)</f>
        <v>0.27499999999999991</v>
      </c>
      <c r="BO38">
        <f>ABS(K38/$B$4)</f>
        <v>0.15375</v>
      </c>
      <c r="BP38">
        <f>Logistic(ABS(H38)/$B$4)</f>
        <v>9.1617363746189798E-2</v>
      </c>
      <c r="BQ38">
        <f>Logistic(($B$3-G38)/G38)</f>
        <v>0.13940018320534267</v>
      </c>
    </row>
    <row r="39" spans="1:69" x14ac:dyDescent="0.25">
      <c r="A39" s="1" t="s">
        <v>18</v>
      </c>
      <c r="B39">
        <f t="shared" ca="1" si="2"/>
        <v>171.93323991826648</v>
      </c>
      <c r="C39" t="s">
        <v>502</v>
      </c>
      <c r="D39">
        <f t="shared" si="17"/>
        <v>124</v>
      </c>
      <c r="E39">
        <f t="shared" si="18"/>
        <v>342.38</v>
      </c>
      <c r="F39">
        <f t="shared" si="19"/>
        <v>3.95</v>
      </c>
      <c r="G39">
        <f t="shared" si="20"/>
        <v>3.66</v>
      </c>
      <c r="H39">
        <f t="shared" si="21"/>
        <v>-4.72</v>
      </c>
      <c r="I39">
        <f t="shared" si="22"/>
        <v>4.88</v>
      </c>
      <c r="J39">
        <f t="shared" si="23"/>
        <v>0.15</v>
      </c>
      <c r="K39">
        <f t="shared" si="24"/>
        <v>2.1800000000000002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>
        <f t="shared" si="5"/>
        <v>53</v>
      </c>
      <c r="Q39">
        <f t="shared" ca="1" si="25"/>
        <v>103.11357900000002</v>
      </c>
      <c r="R39">
        <f t="shared" ca="1" si="26"/>
        <v>17.941414000000002</v>
      </c>
      <c r="S39">
        <f t="shared" si="27"/>
        <v>51</v>
      </c>
      <c r="T39">
        <f t="shared" ca="1" si="28"/>
        <v>-69.182415999999989</v>
      </c>
      <c r="U39">
        <f t="shared" ca="1" si="29"/>
        <v>19.567257999999999</v>
      </c>
      <c r="V39">
        <f t="shared" si="30"/>
        <v>53</v>
      </c>
      <c r="W39">
        <f t="shared" ca="1" si="31"/>
        <v>77.113579000000016</v>
      </c>
      <c r="X39">
        <f t="shared" ca="1" si="32"/>
        <v>17.941414000000002</v>
      </c>
      <c r="Y39">
        <f>GetFollowingCarRow($B$45:$E$54,L39,$E$15,E39)</f>
        <v>51</v>
      </c>
      <c r="Z39">
        <f t="shared" ca="1" si="33"/>
        <v>-95.182415999999989</v>
      </c>
      <c r="AA39">
        <f t="shared" ca="1" si="34"/>
        <v>19.567257999999999</v>
      </c>
      <c r="AB39">
        <f t="shared" si="35"/>
        <v>2.59</v>
      </c>
      <c r="AC39">
        <f t="shared" si="36"/>
        <v>26</v>
      </c>
      <c r="AD39">
        <f t="shared" si="37"/>
        <v>38.056315384615381</v>
      </c>
      <c r="AE39">
        <f t="shared" si="38"/>
        <v>-989.46419999999989</v>
      </c>
      <c r="AF39">
        <f t="shared" si="39"/>
        <v>26.128683472383372</v>
      </c>
      <c r="AG39">
        <f>GetSmallestNormalDistance($B$45:$E$54,AB39,AC39,AF39,$L$15,L39)</f>
        <v>27.01732482258922</v>
      </c>
      <c r="AH39">
        <f>Logistic((D39-$B$2)/$B$2)</f>
        <v>0.62914516141403554</v>
      </c>
      <c r="AI39">
        <f>IF(G39&lt;=0,1,0)</f>
        <v>0</v>
      </c>
      <c r="AJ39">
        <f>IF(G39&lt;0,1,0)</f>
        <v>0</v>
      </c>
      <c r="AK39">
        <f>MAX(($B$3-G39)/(G39 + 1),0) / $B$3</f>
        <v>0.17757965802769271</v>
      </c>
      <c r="AL39">
        <f>IF(H39+ABS(K39)&lt;0,Logistic(SQRT(H39^2+K39^2)/$B$4),0)</f>
        <v>0.31397108372805571</v>
      </c>
      <c r="AM39">
        <f>IF(G39&gt;$B$3,1,0)</f>
        <v>0</v>
      </c>
      <c r="AN39">
        <f>IF(H39&gt;$B$4,1,0)</f>
        <v>0</v>
      </c>
      <c r="AO39">
        <f>ABS(H39)/$B$4</f>
        <v>0.59</v>
      </c>
      <c r="AP39">
        <f>Logistic(I39/$B$5)</f>
        <v>0.29588160416130044</v>
      </c>
      <c r="AQ39">
        <f>IF(I39&gt;$B$5,1,0)</f>
        <v>0</v>
      </c>
      <c r="AR39">
        <f>Logistic(ABS(F39-O39)/($B$6/2))</f>
        <v>0.45222996252155828</v>
      </c>
      <c r="AS39">
        <f>IF(OR(F39&lt;M39,F39&gt;N39),1,0)</f>
        <v>0</v>
      </c>
      <c r="AT39">
        <f>ABS(K39)/$B$4</f>
        <v>0.27250000000000002</v>
      </c>
      <c r="AU39">
        <f t="shared" ca="1" si="40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0.56508899271012014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0.40164159027281765</v>
      </c>
      <c r="BA39">
        <f t="shared" ca="1" si="41"/>
        <v>0</v>
      </c>
      <c r="BB39">
        <f t="shared" ca="1" si="42"/>
        <v>0</v>
      </c>
      <c r="BC39">
        <f t="shared" si="43"/>
        <v>0</v>
      </c>
      <c r="BE39">
        <f>Logistic((D39-$B$2)/$B$2)</f>
        <v>0.62914516141403554</v>
      </c>
      <c r="BF39">
        <f t="shared" si="44"/>
        <v>0</v>
      </c>
      <c r="BG39">
        <f t="shared" si="45"/>
        <v>0</v>
      </c>
      <c r="BH39">
        <f>Logistic(($B$3-G39)/(G39+1))</f>
        <v>0.95485714333531624</v>
      </c>
      <c r="BI39">
        <f>IF(G39&gt;$B$3,1,0)</f>
        <v>0</v>
      </c>
      <c r="BJ39">
        <f>IF(H39&gt;$B$5,1,0)</f>
        <v>0</v>
      </c>
      <c r="BK39">
        <f>EXP(-($B$4-ABS(H39))/MAX(ABS(H39),0.000000001))</f>
        <v>0.49911674422206859</v>
      </c>
      <c r="BL39">
        <f t="shared" si="46"/>
        <v>1</v>
      </c>
      <c r="BM39">
        <f>EXP(-($B$5-I39)/MAX(I39,0.000000001))</f>
        <v>0.52763830295754022</v>
      </c>
      <c r="BN39">
        <f>IF(F39&gt;N39,(F39-N39)/$B$6,0)+IF(F39&lt;M39,(M39-F39)/$B$6,0)</f>
        <v>0</v>
      </c>
      <c r="BO39">
        <f>ABS(K39/$B$4)</f>
        <v>0.27250000000000002</v>
      </c>
      <c r="BP39">
        <f>Logistic(ABS(H39)/$B$4)</f>
        <v>0.28673029138880346</v>
      </c>
      <c r="BQ39">
        <f>Logistic(($B$3-G39)/G39)</f>
        <v>0.98363942751530886</v>
      </c>
    </row>
    <row r="40" spans="1:69" x14ac:dyDescent="0.25">
      <c r="A40" s="1" t="s">
        <v>17</v>
      </c>
      <c r="B40">
        <f t="shared" ca="1" si="2"/>
        <v>305.14062564235326</v>
      </c>
      <c r="C40" t="s">
        <v>501</v>
      </c>
      <c r="D40">
        <f t="shared" si="17"/>
        <v>124</v>
      </c>
      <c r="E40">
        <f t="shared" si="18"/>
        <v>265.27</v>
      </c>
      <c r="F40">
        <f t="shared" si="19"/>
        <v>5.77</v>
      </c>
      <c r="G40">
        <f t="shared" si="20"/>
        <v>-73.069999999999993</v>
      </c>
      <c r="H40">
        <f t="shared" si="21"/>
        <v>-24</v>
      </c>
      <c r="I40">
        <f t="shared" si="22"/>
        <v>24.16</v>
      </c>
      <c r="J40">
        <f t="shared" si="23"/>
        <v>0.18</v>
      </c>
      <c r="K40">
        <f t="shared" si="24"/>
        <v>4.9000000000000004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>
        <f t="shared" si="5"/>
        <v>53</v>
      </c>
      <c r="Q40">
        <f t="shared" ca="1" si="25"/>
        <v>103.11357900000002</v>
      </c>
      <c r="R40">
        <f t="shared" ca="1" si="26"/>
        <v>17.941414000000002</v>
      </c>
      <c r="S40">
        <f t="shared" si="27"/>
        <v>51</v>
      </c>
      <c r="T40">
        <f t="shared" ca="1" si="28"/>
        <v>-69.182415999999989</v>
      </c>
      <c r="U40">
        <f t="shared" ca="1" si="29"/>
        <v>19.567257999999999</v>
      </c>
      <c r="V40">
        <f t="shared" si="30"/>
        <v>53</v>
      </c>
      <c r="W40">
        <f t="shared" ca="1" si="31"/>
        <v>154.22357900000003</v>
      </c>
      <c r="X40">
        <f t="shared" ca="1" si="32"/>
        <v>17.941414000000002</v>
      </c>
      <c r="Y40">
        <f>GetFollowingCarRow($B$45:$E$54,L40,$E$15,E40)</f>
        <v>51</v>
      </c>
      <c r="Z40">
        <f t="shared" ca="1" si="33"/>
        <v>-18.072415999999976</v>
      </c>
      <c r="AA40">
        <f t="shared" ca="1" si="34"/>
        <v>19.567257999999999</v>
      </c>
      <c r="AB40">
        <f t="shared" si="35"/>
        <v>0.77000000000000046</v>
      </c>
      <c r="AC40">
        <f t="shared" si="36"/>
        <v>-51.110000000000014</v>
      </c>
      <c r="AD40">
        <f t="shared" si="37"/>
        <v>1.7735629035413796</v>
      </c>
      <c r="AE40">
        <f t="shared" si="38"/>
        <v>90.646799999999928</v>
      </c>
      <c r="AF40">
        <f t="shared" si="39"/>
        <v>51.115799905704321</v>
      </c>
      <c r="AG40">
        <f>GetSmallestNormalDistance($B$45:$E$54,AB40,AC40,AF40,$L$15,L40)</f>
        <v>0.91115090648914265</v>
      </c>
      <c r="AH40">
        <f>Logistic((D40-$B$2)/$B$2)</f>
        <v>0.62914516141403554</v>
      </c>
      <c r="AI40">
        <f>IF(G40&lt;=0,1,0)</f>
        <v>1</v>
      </c>
      <c r="AJ40">
        <f>IF(G40&lt;0,1,0)</f>
        <v>1</v>
      </c>
      <c r="AK40">
        <f>MAX(($B$3-G40)/(G40 + 1),0) / $B$3</f>
        <v>0</v>
      </c>
      <c r="AL40">
        <f>IF(H40+ABS(K40)&lt;0,Logistic(SQRT(H40^2+K40^2)/$B$4),0)</f>
        <v>0.91058597293101151</v>
      </c>
      <c r="AM40">
        <f>IF(G40&gt;$B$3,1,0)</f>
        <v>0</v>
      </c>
      <c r="AN40">
        <f>IF(H40&gt;$B$4,1,0)</f>
        <v>0</v>
      </c>
      <c r="AO40">
        <f>ABS(H40)/$B$4</f>
        <v>3</v>
      </c>
      <c r="AP40">
        <f>Logistic(I40/$B$5)</f>
        <v>0.90693905097053706</v>
      </c>
      <c r="AQ40">
        <f>IF(I40&gt;$B$5,1,0)</f>
        <v>1</v>
      </c>
      <c r="AR40">
        <f>Logistic(ABS(F40-O40)/($B$6/2))</f>
        <v>0.7363687637736096</v>
      </c>
      <c r="AS40">
        <f>IF(OR(F40&lt;M40,F40&gt;N40),1,0)</f>
        <v>1</v>
      </c>
      <c r="AT40">
        <f>ABS(K40)/$B$4</f>
        <v>0.61250000000000004</v>
      </c>
      <c r="AU40">
        <f t="shared" ca="1" si="40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0.92531901581111131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0.9804912014990772</v>
      </c>
      <c r="BA40">
        <f t="shared" ca="1" si="41"/>
        <v>0</v>
      </c>
      <c r="BB40">
        <f t="shared" ca="1" si="42"/>
        <v>0</v>
      </c>
      <c r="BC40">
        <f t="shared" si="43"/>
        <v>0</v>
      </c>
      <c r="BE40">
        <f>Logistic((D40-$B$2)/$B$2)</f>
        <v>0.62914516141403554</v>
      </c>
      <c r="BF40">
        <f t="shared" si="44"/>
        <v>1</v>
      </c>
      <c r="BG40">
        <f t="shared" si="45"/>
        <v>1</v>
      </c>
      <c r="BH40">
        <f>Logistic(($B$3-G40)/(G40+1))</f>
        <v>-0.5744608975487947</v>
      </c>
      <c r="BI40">
        <f>IF(G40&gt;$B$3,1,0)</f>
        <v>0</v>
      </c>
      <c r="BJ40">
        <f>IF(H40&gt;$B$5,1,0)</f>
        <v>0</v>
      </c>
      <c r="BK40">
        <f>EXP(-($B$4-ABS(H40))/MAX(ABS(H40),0.000000001))</f>
        <v>1.9477340410546757</v>
      </c>
      <c r="BL40">
        <f t="shared" si="46"/>
        <v>1</v>
      </c>
      <c r="BM40">
        <f>EXP(-($B$5-I40)/MAX(I40,0.000000001))</f>
        <v>1.9520384239258928</v>
      </c>
      <c r="BN40">
        <f>IF(F40&gt;N40,(F40-N40)/$B$6,0)+IF(F40&lt;M40,(M40-F40)/$B$6,0)</f>
        <v>0.44249999999999989</v>
      </c>
      <c r="BO40">
        <f>ABS(K40/$B$4)</f>
        <v>0.61250000000000004</v>
      </c>
      <c r="BP40">
        <f>Logistic(ABS(H40)/$B$4)</f>
        <v>0.9051482536448664</v>
      </c>
      <c r="BQ40">
        <f>Logistic(($B$3-G40)/G40)</f>
        <v>-0.56843195745824127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266.45333199999999</v>
      </c>
      <c r="C45">
        <v>9.8851420000000001</v>
      </c>
      <c r="D45">
        <v>19.583608000000002</v>
      </c>
      <c r="E45">
        <v>3</v>
      </c>
    </row>
    <row r="46" spans="1:69" x14ac:dyDescent="0.25">
      <c r="B46">
        <v>456.07585699999998</v>
      </c>
      <c r="C46">
        <v>5.9597769999999999</v>
      </c>
      <c r="D46">
        <v>15.53491</v>
      </c>
      <c r="E46">
        <v>2</v>
      </c>
    </row>
    <row r="47" spans="1:69" x14ac:dyDescent="0.25">
      <c r="B47">
        <v>236.87383700000001</v>
      </c>
      <c r="C47">
        <v>10.51515</v>
      </c>
      <c r="D47">
        <v>21.832993999999999</v>
      </c>
      <c r="E47">
        <v>3</v>
      </c>
    </row>
    <row r="48" spans="1:69" x14ac:dyDescent="0.25">
      <c r="B48">
        <v>447.45886899999999</v>
      </c>
      <c r="C48">
        <v>1.9762740000000001</v>
      </c>
      <c r="D48">
        <v>17.700559999999999</v>
      </c>
      <c r="E48">
        <v>1</v>
      </c>
    </row>
    <row r="49" spans="2:5" x14ac:dyDescent="0.25">
      <c r="B49">
        <v>415.64140900000001</v>
      </c>
      <c r="C49">
        <v>9.9580339999999996</v>
      </c>
      <c r="D49">
        <v>16.391894000000001</v>
      </c>
      <c r="E49">
        <v>3</v>
      </c>
    </row>
    <row r="50" spans="2:5" x14ac:dyDescent="0.25">
      <c r="B50">
        <v>480.99231099999997</v>
      </c>
      <c r="C50">
        <v>9.7744389999999992</v>
      </c>
      <c r="D50">
        <v>18.214189000000001</v>
      </c>
      <c r="E50">
        <v>3</v>
      </c>
    </row>
    <row r="51" spans="2:5" x14ac:dyDescent="0.25">
      <c r="B51">
        <v>247.19758400000001</v>
      </c>
      <c r="C51">
        <v>2.5263610000000001</v>
      </c>
      <c r="D51">
        <v>19.567257999999999</v>
      </c>
      <c r="E51">
        <v>1</v>
      </c>
    </row>
    <row r="52" spans="2:5" x14ac:dyDescent="0.25">
      <c r="B52">
        <v>188.86050800000001</v>
      </c>
      <c r="C52">
        <v>10.06592</v>
      </c>
      <c r="D52">
        <v>20.668766999999999</v>
      </c>
      <c r="E52">
        <v>3</v>
      </c>
    </row>
    <row r="53" spans="2:5" x14ac:dyDescent="0.25">
      <c r="B53">
        <v>419.49357900000001</v>
      </c>
      <c r="C53">
        <v>1.9535260000000001</v>
      </c>
      <c r="D53">
        <v>17.941414000000002</v>
      </c>
      <c r="E53">
        <v>1</v>
      </c>
    </row>
    <row r="54" spans="2:5" x14ac:dyDescent="0.25">
      <c r="B54">
        <v>458.69219299999997</v>
      </c>
      <c r="C54">
        <v>9.9643990000000002</v>
      </c>
      <c r="D54">
        <v>17.880193999999999</v>
      </c>
      <c r="E54">
        <v>3</v>
      </c>
    </row>
    <row r="55" spans="2:5" x14ac:dyDescent="0.25">
      <c r="B55">
        <v>214.14017999999999</v>
      </c>
      <c r="C55">
        <v>6.3069199999999999</v>
      </c>
      <c r="D55">
        <v>20.871209</v>
      </c>
      <c r="E55">
        <v>2</v>
      </c>
    </row>
    <row r="56" spans="2:5" x14ac:dyDescent="0.25">
      <c r="B56">
        <v>401.21080599999999</v>
      </c>
      <c r="C56">
        <v>5.9494400000000001</v>
      </c>
      <c r="D56">
        <v>16.324805000000001</v>
      </c>
      <c r="E56">
        <v>2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92D050"/>
  </sheetPr>
  <dimension ref="A1:BQ47"/>
  <sheetViews>
    <sheetView tabSelected="1" topLeftCell="AI11" zoomScale="90" zoomScaleNormal="90" workbookViewId="0">
      <selection activeCell="BA16" sqref="BA16"/>
    </sheetView>
  </sheetViews>
  <sheetFormatPr defaultRowHeight="15" x14ac:dyDescent="0.25"/>
  <cols>
    <col min="1" max="1" width="35.42578125" customWidth="1"/>
    <col min="3" max="3" width="8.42578125" bestFit="1" customWidth="1"/>
    <col min="4" max="4" width="12.140625" customWidth="1"/>
    <col min="5" max="5" width="12.7109375" customWidth="1"/>
    <col min="6" max="6" width="12.28515625" customWidth="1"/>
    <col min="7" max="7" width="11" customWidth="1"/>
    <col min="8" max="8" width="12" bestFit="1" customWidth="1"/>
    <col min="9" max="9" width="11.85546875" customWidth="1"/>
    <col min="10" max="17" width="12.140625" customWidth="1"/>
    <col min="18" max="18" width="12.140625" bestFit="1" customWidth="1"/>
    <col min="19" max="35" width="12.140625" customWidth="1"/>
    <col min="36" max="36" width="12" customWidth="1"/>
    <col min="37" max="37" width="11.85546875" customWidth="1"/>
    <col min="38" max="39" width="12" customWidth="1"/>
    <col min="40" max="40" width="12.7109375" customWidth="1"/>
    <col min="41" max="41" width="13.140625" customWidth="1"/>
    <col min="42" max="42" width="12.140625" customWidth="1"/>
    <col min="49" max="49" width="13.42578125" bestFit="1" customWidth="1"/>
    <col min="50" max="50" width="13.5703125" bestFit="1" customWidth="1"/>
    <col min="51" max="53" width="13.5703125" customWidth="1"/>
  </cols>
  <sheetData>
    <row r="1" spans="1:69" x14ac:dyDescent="0.25">
      <c r="A1" s="7" t="s">
        <v>32</v>
      </c>
      <c r="B1" s="7"/>
    </row>
    <row r="2" spans="1:69" x14ac:dyDescent="0.25">
      <c r="A2" t="s">
        <v>0</v>
      </c>
      <c r="B2">
        <f>Sheet1!B2</f>
        <v>50</v>
      </c>
    </row>
    <row r="3" spans="1:69" x14ac:dyDescent="0.25">
      <c r="A3" t="s">
        <v>1</v>
      </c>
      <c r="B3">
        <f>Sheet1!B3</f>
        <v>21.22</v>
      </c>
    </row>
    <row r="4" spans="1:69" x14ac:dyDescent="0.25">
      <c r="A4" t="s">
        <v>2</v>
      </c>
      <c r="B4">
        <f>Sheet1!B4</f>
        <v>8</v>
      </c>
    </row>
    <row r="5" spans="1:69" x14ac:dyDescent="0.25">
      <c r="A5" t="s">
        <v>48</v>
      </c>
      <c r="B5">
        <f>Sheet1!B5</f>
        <v>8</v>
      </c>
    </row>
    <row r="6" spans="1:69" x14ac:dyDescent="0.25">
      <c r="A6" t="s">
        <v>4</v>
      </c>
      <c r="B6">
        <f>Sheet1!B6</f>
        <v>4</v>
      </c>
    </row>
    <row r="7" spans="1:69" x14ac:dyDescent="0.25">
      <c r="A7" t="s">
        <v>10</v>
      </c>
      <c r="B7">
        <f>Sheet1!B7</f>
        <v>30</v>
      </c>
    </row>
    <row r="8" spans="1:69" x14ac:dyDescent="0.25">
      <c r="A8" t="s">
        <v>108</v>
      </c>
      <c r="B8">
        <f>Sheet1!B8</f>
        <v>5</v>
      </c>
    </row>
    <row r="9" spans="1:69" x14ac:dyDescent="0.25">
      <c r="A9" t="s">
        <v>45</v>
      </c>
      <c r="B9">
        <f>Sheet1!B9</f>
        <v>0.02</v>
      </c>
    </row>
    <row r="11" spans="1:69" x14ac:dyDescent="0.25">
      <c r="A11" t="s">
        <v>52</v>
      </c>
      <c r="B11" t="str">
        <f ca="1">INDEX(A16:A40,MATCH(MIN(B16:B40),B16:B40,0),1)</f>
        <v>Same Lane Accel -1</v>
      </c>
    </row>
    <row r="12" spans="1:69" x14ac:dyDescent="0.25">
      <c r="A12" t="s">
        <v>183</v>
      </c>
      <c r="B12">
        <f ca="1">INDEX(A16:F40,MATCH(MIN(B16:B40),B16:B40,0),5)</f>
        <v>129.66999999999999</v>
      </c>
      <c r="C12">
        <f ca="1">INDEX(A16:F40,MATCH(MIN(B16:B40),B16:B40,0),6)</f>
        <v>6.18</v>
      </c>
      <c r="AH12" s="9" t="s">
        <v>50</v>
      </c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6"/>
      <c r="BE12" s="8" t="s">
        <v>60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spans="1:69" x14ac:dyDescent="0.25">
      <c r="AH13">
        <f>Sheet1!E3</f>
        <v>3</v>
      </c>
      <c r="AI13">
        <f>Sheet1!F3</f>
        <v>100</v>
      </c>
      <c r="AJ13">
        <f>Sheet1!G3</f>
        <v>50</v>
      </c>
      <c r="AK13">
        <f>Sheet1!H3</f>
        <v>250</v>
      </c>
      <c r="AL13">
        <f>Sheet1!I3</f>
        <v>0</v>
      </c>
      <c r="AM13">
        <f>Sheet1!J3</f>
        <v>30</v>
      </c>
      <c r="AN13">
        <f>Sheet1!K3</f>
        <v>40</v>
      </c>
      <c r="AO13">
        <f>Sheet1!L3</f>
        <v>0</v>
      </c>
      <c r="AP13">
        <f>Sheet1!M3</f>
        <v>0</v>
      </c>
      <c r="AQ13">
        <f>Sheet1!N3</f>
        <v>1</v>
      </c>
      <c r="AR13">
        <f>Sheet1!O3</f>
        <v>0</v>
      </c>
      <c r="AS13">
        <f>Sheet1!P3</f>
        <v>23</v>
      </c>
      <c r="AT13">
        <f>Sheet1!Q3</f>
        <v>0</v>
      </c>
      <c r="AU13">
        <f>Sheet1!R3</f>
        <v>100</v>
      </c>
      <c r="AV13">
        <f>Sheet1!S3</f>
        <v>120</v>
      </c>
      <c r="AW13">
        <f>Sheet1!T3</f>
        <v>0</v>
      </c>
      <c r="AX13">
        <f>Sheet1!U3</f>
        <v>10</v>
      </c>
      <c r="AY13">
        <f>Sheet1!V3</f>
        <v>70</v>
      </c>
      <c r="AZ13">
        <f>Sheet1!W3</f>
        <v>0</v>
      </c>
      <c r="BA13">
        <f>Sheet1!X3</f>
        <v>30</v>
      </c>
      <c r="BB13">
        <f>Sheet1!Y3</f>
        <v>60</v>
      </c>
      <c r="BC13">
        <f>Sheet1!Z3</f>
        <v>2</v>
      </c>
      <c r="BE13">
        <v>37</v>
      </c>
      <c r="BF13">
        <v>100</v>
      </c>
      <c r="BG13" s="3">
        <v>1000000</v>
      </c>
      <c r="BH13">
        <v>30</v>
      </c>
      <c r="BI13">
        <v>300</v>
      </c>
      <c r="BJ13">
        <v>200</v>
      </c>
      <c r="BK13">
        <v>2</v>
      </c>
      <c r="BL13">
        <v>100</v>
      </c>
      <c r="BM13">
        <v>10</v>
      </c>
      <c r="BN13">
        <v>50</v>
      </c>
      <c r="BO13">
        <v>50</v>
      </c>
    </row>
    <row r="14" spans="1:69" s="5" customFormat="1" ht="60" x14ac:dyDescent="0.25">
      <c r="A14" s="5" t="s">
        <v>23</v>
      </c>
      <c r="B14" s="5" t="s">
        <v>51</v>
      </c>
      <c r="C14" s="5" t="s">
        <v>61</v>
      </c>
      <c r="D14" s="5" t="s">
        <v>24</v>
      </c>
      <c r="E14" s="5" t="s">
        <v>8</v>
      </c>
      <c r="F14" s="5" t="s">
        <v>9</v>
      </c>
      <c r="G14" s="5" t="s">
        <v>25</v>
      </c>
      <c r="H14" s="5" t="s">
        <v>26</v>
      </c>
      <c r="I14" s="5" t="s">
        <v>27</v>
      </c>
      <c r="J14" s="5" t="s">
        <v>28</v>
      </c>
      <c r="K14" s="5" t="s">
        <v>29</v>
      </c>
      <c r="L14" s="5" t="s">
        <v>94</v>
      </c>
      <c r="M14" s="5" t="s">
        <v>5</v>
      </c>
      <c r="N14" s="5" t="s">
        <v>6</v>
      </c>
      <c r="O14" s="5" t="s">
        <v>42</v>
      </c>
      <c r="P14" s="5" t="s">
        <v>91</v>
      </c>
      <c r="Q14" s="5" t="s">
        <v>92</v>
      </c>
      <c r="R14" s="5" t="s">
        <v>93</v>
      </c>
      <c r="S14" s="5" t="s">
        <v>95</v>
      </c>
      <c r="T14" s="5" t="s">
        <v>96</v>
      </c>
      <c r="U14" s="5" t="s">
        <v>97</v>
      </c>
      <c r="V14" s="5" t="s">
        <v>98</v>
      </c>
      <c r="W14" s="5" t="s">
        <v>99</v>
      </c>
      <c r="X14" s="5" t="s">
        <v>100</v>
      </c>
      <c r="Y14" s="5" t="s">
        <v>101</v>
      </c>
      <c r="Z14" s="5" t="s">
        <v>102</v>
      </c>
      <c r="AA14" s="5" t="s">
        <v>103</v>
      </c>
      <c r="AB14" s="5" t="s">
        <v>67</v>
      </c>
      <c r="AC14" s="5" t="s">
        <v>68</v>
      </c>
      <c r="AD14" s="5" t="s">
        <v>69</v>
      </c>
      <c r="AE14" s="5" t="s">
        <v>71</v>
      </c>
      <c r="AF14" s="5" t="s">
        <v>70</v>
      </c>
      <c r="AG14" s="5" t="s">
        <v>72</v>
      </c>
      <c r="AH14" s="5" t="s">
        <v>40</v>
      </c>
      <c r="AI14" s="5" t="s">
        <v>62</v>
      </c>
      <c r="AJ14" s="5" t="s">
        <v>54</v>
      </c>
      <c r="AK14" s="5" t="s">
        <v>43</v>
      </c>
      <c r="AL14" s="5" t="s">
        <v>75</v>
      </c>
      <c r="AM14" s="5" t="s">
        <v>55</v>
      </c>
      <c r="AN14" s="5" t="s">
        <v>46</v>
      </c>
      <c r="AO14" s="5" t="s">
        <v>44</v>
      </c>
      <c r="AP14" s="5" t="s">
        <v>49</v>
      </c>
      <c r="AQ14" s="5" t="s">
        <v>47</v>
      </c>
      <c r="AR14" s="5" t="s">
        <v>41</v>
      </c>
      <c r="AS14" s="5" t="s">
        <v>111</v>
      </c>
      <c r="AT14" s="5" t="s">
        <v>88</v>
      </c>
      <c r="AU14" s="5" t="s">
        <v>334</v>
      </c>
      <c r="AV14" s="5" t="s">
        <v>333</v>
      </c>
      <c r="AW14" s="5" t="s">
        <v>104</v>
      </c>
      <c r="AX14" s="5" t="s">
        <v>105</v>
      </c>
      <c r="AY14" s="5" t="s">
        <v>106</v>
      </c>
      <c r="AZ14" s="5" t="s">
        <v>107</v>
      </c>
      <c r="BA14" s="5" t="s">
        <v>112</v>
      </c>
      <c r="BB14" s="5" t="s">
        <v>113</v>
      </c>
      <c r="BC14" s="5" t="s">
        <v>451</v>
      </c>
      <c r="BE14" s="5" t="s">
        <v>24</v>
      </c>
      <c r="BF14" s="5" t="s">
        <v>53</v>
      </c>
      <c r="BG14" s="5" t="s">
        <v>54</v>
      </c>
      <c r="BH14" s="5" t="s">
        <v>43</v>
      </c>
      <c r="BI14" s="5" t="s">
        <v>55</v>
      </c>
      <c r="BJ14" s="5" t="s">
        <v>46</v>
      </c>
      <c r="BK14" s="5" t="s">
        <v>44</v>
      </c>
      <c r="BL14" s="5" t="s">
        <v>57</v>
      </c>
      <c r="BM14" s="5" t="s">
        <v>58</v>
      </c>
      <c r="BN14" s="5" t="s">
        <v>41</v>
      </c>
      <c r="BO14" s="5" t="s">
        <v>59</v>
      </c>
      <c r="BP14" s="5" t="s">
        <v>56</v>
      </c>
    </row>
    <row r="15" spans="1:69" x14ac:dyDescent="0.25">
      <c r="A15" s="1" t="s">
        <v>7</v>
      </c>
      <c r="B15">
        <f>IFERROR(SUMPRODUCT(AH15:BC15,$AH$13:$BC$13),1000000)</f>
        <v>0</v>
      </c>
      <c r="C15" t="s">
        <v>529</v>
      </c>
      <c r="D15">
        <f>VALUE(MID(C15,FIND("#[",C15)+2,FIND("]",C15,FIND("#[",C15))-(FIND("#[",C15)+2)))</f>
        <v>50</v>
      </c>
      <c r="E15">
        <f>VALUE(MID(C15,FIND("s[",C15)+2,FIND("]",C15,FIND("s[",C15))-(FIND("s[",C15)+2)))</f>
        <v>127.4</v>
      </c>
      <c r="F15">
        <f>VALUE(MID(C15,FIND("d[",C15)+2,FIND("]",C15,FIND("d[",C15))-(FIND("d[",C15)+2)))</f>
        <v>6.17</v>
      </c>
      <c r="G15">
        <f>VALUE(MID(C15,FIND("s_dot[",C15)+6,FIND("]",C15,FIND("s_dot[",C15))-(FIND("s_dot[",C15)+6)))</f>
        <v>3.4</v>
      </c>
      <c r="H15">
        <f>VALUE(MID(C15,FIND("s_dot2[",C15)+7,FIND("]",C15,FIND("s_dot2[",C15))-(FIND("s_dot2[",C15)+7)))</f>
        <v>6.08</v>
      </c>
      <c r="I15">
        <f>VALUE(MID(C15,FIND("s_dot3[",C15)+7,FIND("]",C15,FIND("s_dot3[",C15))-(FIND("s_dot3[",C15)+7)))</f>
        <v>4.04</v>
      </c>
      <c r="J15">
        <f>VALUE(MID(C15,FIND("d_dot[",C15)+6,FIND("]",C15,FIND("d_dot[",C15))-(FIND("d_dot[",C15)+6)))</f>
        <v>0</v>
      </c>
      <c r="K15">
        <f>VALUE(MID(C15,FIND("d_dot2[",C15)+7,FIND("]",C15,FIND("d_dot2[",C15))-(FIND("d_dot2[",C15)+7)))</f>
        <v>0</v>
      </c>
      <c r="L15">
        <f>VALUE(MID(C15,FIND("-",C15)+1,FIND(")",C15,FIND("-",C15))-(FIND("-",C15)+1)))</f>
        <v>2</v>
      </c>
      <c r="M15">
        <f t="shared" ref="M15:M37" si="0">$B$6*(L15-1)</f>
        <v>4</v>
      </c>
      <c r="N15">
        <f t="shared" ref="N15:N37" si="1">$B$6*L15</f>
        <v>8</v>
      </c>
      <c r="O15">
        <f>(N15+M15)/2</f>
        <v>6</v>
      </c>
      <c r="P15">
        <f>GetLeadingCarRow($B$45:$E$56,L15,$E$15, $E$15)</f>
        <v>46</v>
      </c>
      <c r="Q15">
        <f ca="1">IFERROR(INDIRECT(CONCATENATE("B", P15))-$E$15,1000000)</f>
        <v>143.33156699999998</v>
      </c>
      <c r="R15" s="2" t="s">
        <v>30</v>
      </c>
      <c r="S15" s="2" t="s">
        <v>30</v>
      </c>
      <c r="T15" s="2" t="s">
        <v>30</v>
      </c>
      <c r="U15" s="2" t="s">
        <v>30</v>
      </c>
      <c r="V15" s="2" t="s">
        <v>30</v>
      </c>
      <c r="W15" s="2" t="s">
        <v>30</v>
      </c>
      <c r="X15" s="2" t="s">
        <v>30</v>
      </c>
      <c r="Y15" s="2" t="s">
        <v>30</v>
      </c>
      <c r="Z15" s="2" t="s">
        <v>30</v>
      </c>
      <c r="AA15" s="2" t="s">
        <v>30</v>
      </c>
      <c r="AB15" s="2" t="s">
        <v>30</v>
      </c>
      <c r="AC15" s="2" t="s">
        <v>30</v>
      </c>
      <c r="AD15" s="2" t="s">
        <v>30</v>
      </c>
      <c r="AE15" s="2" t="s">
        <v>30</v>
      </c>
      <c r="AF15" s="2" t="s">
        <v>30</v>
      </c>
      <c r="AG15" s="2" t="s">
        <v>30</v>
      </c>
      <c r="AH15" s="2" t="s">
        <v>30</v>
      </c>
      <c r="AI15" s="2" t="s">
        <v>30</v>
      </c>
      <c r="AJ15" s="2" t="s">
        <v>30</v>
      </c>
      <c r="AK15" s="2" t="s">
        <v>30</v>
      </c>
      <c r="AL15" s="2" t="s">
        <v>30</v>
      </c>
      <c r="AM15" s="2" t="s">
        <v>30</v>
      </c>
      <c r="AN15" s="2" t="s">
        <v>30</v>
      </c>
      <c r="AO15" s="2" t="s">
        <v>30</v>
      </c>
      <c r="AP15" s="2" t="s">
        <v>30</v>
      </c>
      <c r="AQ15" s="2" t="s">
        <v>30</v>
      </c>
      <c r="AR15" s="2" t="s">
        <v>30</v>
      </c>
      <c r="AS15" s="2" t="s">
        <v>30</v>
      </c>
      <c r="AT15" s="2" t="s">
        <v>30</v>
      </c>
      <c r="AU15" s="2" t="s">
        <v>30</v>
      </c>
      <c r="AV15" s="2" t="s">
        <v>30</v>
      </c>
      <c r="AW15" s="2" t="s">
        <v>30</v>
      </c>
      <c r="AX15" s="2" t="s">
        <v>30</v>
      </c>
      <c r="AY15" s="2" t="s">
        <v>30</v>
      </c>
      <c r="AZ15" s="2" t="s">
        <v>30</v>
      </c>
      <c r="BA15" s="2" t="s">
        <v>30</v>
      </c>
      <c r="BB15" s="2" t="s">
        <v>30</v>
      </c>
      <c r="BC15" s="2" t="s">
        <v>30</v>
      </c>
      <c r="BD15" s="2"/>
      <c r="BE15" s="2" t="s">
        <v>30</v>
      </c>
      <c r="BF15" s="2" t="s">
        <v>30</v>
      </c>
      <c r="BG15" s="2" t="s">
        <v>30</v>
      </c>
      <c r="BH15" s="2" t="s">
        <v>30</v>
      </c>
      <c r="BI15" s="2" t="s">
        <v>30</v>
      </c>
      <c r="BJ15" s="2" t="s">
        <v>30</v>
      </c>
      <c r="BK15" s="2" t="s">
        <v>30</v>
      </c>
      <c r="BL15" s="2" t="s">
        <v>30</v>
      </c>
      <c r="BM15" s="2" t="s">
        <v>30</v>
      </c>
      <c r="BN15" s="2" t="s">
        <v>30</v>
      </c>
      <c r="BO15" s="2" t="s">
        <v>30</v>
      </c>
      <c r="BP15" s="2" t="s">
        <v>30</v>
      </c>
    </row>
    <row r="16" spans="1:69" x14ac:dyDescent="0.25">
      <c r="A16" s="1" t="s">
        <v>16</v>
      </c>
      <c r="B16">
        <f t="shared" ref="B16:B40" ca="1" si="2">IFERROR(SUMPRODUCT(AH16:BC16,$AH$13:$BC$13),1000000)</f>
        <v>25.723151376357382</v>
      </c>
      <c r="C16" t="s">
        <v>554</v>
      </c>
      <c r="D16">
        <f>VALUE(MID(C16,FIND("#[",C16)+2,FIND("]",C16,FIND("#[",C16))-(FIND("#[",C16)+2)))</f>
        <v>50</v>
      </c>
      <c r="E16">
        <f>VALUE(MID(C16,FIND("s[",C16)+2,FIND("]",C16,FIND("s[",C16))-(FIND("s[",C16)+2)))</f>
        <v>129.66999999999999</v>
      </c>
      <c r="F16">
        <f>VALUE(MID(C16,FIND("d[",C16)+2,FIND("]",C16,FIND("d[",C16))-(FIND("d[",C16)+2)))</f>
        <v>6.18</v>
      </c>
      <c r="G16">
        <f>VALUE(MID(C16,FIND("s_dot[",C16)+6,FIND("]",C16,FIND("s_dot[",C16))-(FIND("s_dot[",C16)+6)))</f>
        <v>5.98</v>
      </c>
      <c r="H16">
        <f>VALUE(MID(C16,FIND("s_dot2[",C16)+7,FIND("]",C16,FIND("s_dot2[",C16))-(FIND("s_dot2[",C16)+7)))</f>
        <v>6.55</v>
      </c>
      <c r="I16">
        <f>VALUE(MID(C16,FIND("s_dot3[",C16)+7,FIND("]",C16,FIND("s_dot3[",C16))-(FIND("s_dot3[",C16)+7)))</f>
        <v>1.28</v>
      </c>
      <c r="J16">
        <f>VALUE(MID(C16,FIND("d_dot[",C16)+6,FIND("]",C16,FIND("d_dot[",C16))-(FIND("d_dot[",C16)+6)))</f>
        <v>0</v>
      </c>
      <c r="K16">
        <f>VALUE(MID(C16,FIND("d_dot2[",C16)+7,FIND("]",C16,FIND("d_dot2[",C16))-(FIND("d_dot2[",C16)+7)))</f>
        <v>0</v>
      </c>
      <c r="L16">
        <f t="shared" ref="L16:L40" si="3">VALUE(MID(C16,FIND("-",C16)+1,FIND(")",C16,FIND("-",C16))-(FIND("-",C16)+1)))</f>
        <v>2</v>
      </c>
      <c r="M16">
        <f t="shared" si="0"/>
        <v>4</v>
      </c>
      <c r="N16">
        <f t="shared" si="1"/>
        <v>8</v>
      </c>
      <c r="O16">
        <f t="shared" ref="O16:O40" si="4">(N16+M16)/2</f>
        <v>6</v>
      </c>
      <c r="P16">
        <f t="shared" ref="P16:P40" si="5">GetLeadingCarRow($B$45:$E$56,L16,$E$15, $E$15)</f>
        <v>46</v>
      </c>
      <c r="Q16">
        <f ca="1">IFERROR(INDIRECT(CONCATENATE("B", P16))-$E$15,1000000)</f>
        <v>143.33156699999998</v>
      </c>
      <c r="R16">
        <f ca="1">IFERROR(INDIRECT(CONCATENATE("D", P16)),100)</f>
        <v>17.971278000000002</v>
      </c>
      <c r="S16" t="e">
        <f>GetFollowingCarRow($B$45:$E$56,L16,$E$15, $E$15)</f>
        <v>#VALUE!</v>
      </c>
      <c r="T16">
        <f ca="1">IFERROR(INDIRECT(CONCATENATE("B", S16))-$E$15,1000000)</f>
        <v>1000000</v>
      </c>
      <c r="U16">
        <f ca="1">IFERROR(INDIRECT(CONCATENATE("D", S16)),100)</f>
        <v>100</v>
      </c>
      <c r="V16">
        <f>GetLeadingCarRow($B$45:$E$56,L16,$E$15,E16)</f>
        <v>46</v>
      </c>
      <c r="W16">
        <f ca="1">IFERROR(INDIRECT(CONCATENATE("B", V16))-E16,1000000000)</f>
        <v>141.061567</v>
      </c>
      <c r="X16">
        <f ca="1">IFERROR(INDIRECT(CONCATENATE("D", V16)),100)</f>
        <v>17.971278000000002</v>
      </c>
      <c r="Y16" t="e">
        <f>GetFollowingCarRow($B$45:$E$56,L16,$E$15,E16)</f>
        <v>#VALUE!</v>
      </c>
      <c r="Z16">
        <f ca="1">IFERROR(INDIRECT(CONCATENATE("B", Y16))-E16,1000000000)</f>
        <v>1000000000</v>
      </c>
      <c r="AA16">
        <f ca="1">IFERROR(INDIRECT(CONCATENATE("D", Y16)),100)</f>
        <v>100</v>
      </c>
      <c r="AB16">
        <f>$F$15-F16</f>
        <v>-9.9999999999997868E-3</v>
      </c>
      <c r="AC16">
        <f>E16-$E$15</f>
        <v>2.2699999999999818</v>
      </c>
      <c r="AD16">
        <f>$F$15-(-AB16/AC16)*$E$15</f>
        <v>5.6087665198237957</v>
      </c>
      <c r="AE16">
        <f>AD16*-AC16</f>
        <v>-12.731899999999914</v>
      </c>
      <c r="AF16">
        <f>SQRT(AB16^2+AC16^2)</f>
        <v>2.2700220263248365</v>
      </c>
      <c r="AG16">
        <f>GetSmallestNormalDistance($B$45:$E$54,AB16,AC16,AF16,$L$15,L16)</f>
        <v>4.762084717522054</v>
      </c>
      <c r="AH16">
        <f t="shared" ref="AH16:AH37" si="6">Logistic((D16-$B$2)/$B$2)</f>
        <v>0</v>
      </c>
      <c r="AI16">
        <f>IF(G16&lt;=0,1,0)</f>
        <v>0</v>
      </c>
      <c r="AJ16">
        <f>IF(G16&lt;0,1,0)</f>
        <v>0</v>
      </c>
      <c r="AK16">
        <f>MAX(($B$3-G16)/(G16 + 1),0) / $B$3</f>
        <v>0.10289260550542953</v>
      </c>
      <c r="AL16">
        <f>IF(H16+ABS(K16)&lt;0,Logistic(SQRT(H16^2+K16^2)/$B$4),0)</f>
        <v>0</v>
      </c>
      <c r="AM16">
        <f>IF(G16&gt;$B$3,1,0)</f>
        <v>0</v>
      </c>
      <c r="AN16">
        <f>IF(H16&gt;$B$4,1,0)</f>
        <v>0</v>
      </c>
      <c r="AO16">
        <f>ABS(H16)/$B$4</f>
        <v>0.81874999999999998</v>
      </c>
      <c r="AP16">
        <f>Logistic(I16/$B$5)</f>
        <v>7.9829769111131363E-2</v>
      </c>
      <c r="AQ16">
        <f>IF(I16&gt;$B$5,1,0)</f>
        <v>0</v>
      </c>
      <c r="AR16">
        <f>Logistic(ABS(F16-O16)/($B$6/2))</f>
        <v>4.4969649583600189E-2</v>
      </c>
      <c r="AS16">
        <f>IF(OR(F16&lt;M16,F16&gt;N16),1,0)</f>
        <v>0</v>
      </c>
      <c r="AT16">
        <f>ABS(K16)/$B$4</f>
        <v>0</v>
      </c>
      <c r="AU16">
        <f ca="1">MAX(($B$7-W16)/(W16+1),0)/$B$7</f>
        <v>0</v>
      </c>
      <c r="AV16">
        <f ca="1">IF(AND(L16&lt;&gt;$L$15,$Q$15&gt;Safety_Distance),1,0)</f>
        <v>0</v>
      </c>
      <c r="AW16">
        <f ca="1">MAX(1-(IF(Q16/(G16-R16)&gt;0,Q16/(G16-R16),Collision_Time_Buffer)/Collision_Time_Buffer),0)*IF($L$15&lt;&gt;L16,Lane_Change_Multiplier,1)</f>
        <v>0</v>
      </c>
      <c r="AX16">
        <f ca="1">MAX(1-(IF(T16/(G16-U16)&gt;0,T16/(G16-U16),Collision_Time_Buffer)/Collision_Time_Buffer),0)*IF($L$15&lt;&gt;L16,Lane_Change_Multiplier,1)</f>
        <v>0</v>
      </c>
      <c r="AY16">
        <f ca="1">MAX(1-(IF(W16/(G16-X16)&gt;0,W16/(G16-X16),Collision_Time_Buffer)/Collision_Time_Buffer),0)*IF($L$15&lt;&gt;L16,Lane_Change_Multiplier,1)</f>
        <v>0</v>
      </c>
      <c r="AZ16">
        <f ca="1">MAX(1-(IF(Z16/(G16-AA16)&gt;0,Z16/(G16-AA16),Collision_Time_Buffer)/Collision_Time_Buffer),0)*IF($L$15&lt;&gt;L16,Lane_Change_Multiplier,1)</f>
        <v>0</v>
      </c>
      <c r="BA16">
        <f ca="1">IF(OR(ABS(Q16)&lt;$B$8,ABS(W16)&lt;$B$8),1,0)</f>
        <v>0</v>
      </c>
      <c r="BB16">
        <f ca="1">IF(OR(ABS(T16)&lt;$B$8,ABS(Z16)&lt;$B$8),1,0)</f>
        <v>0</v>
      </c>
      <c r="BC16">
        <f>IFERROR(IF(P16=Y16,1,0),0)</f>
        <v>0</v>
      </c>
      <c r="BE16">
        <f t="shared" ref="BE16:BE37" si="7">Logistic((D16-$B$2)/$B$2)</f>
        <v>0</v>
      </c>
      <c r="BF16">
        <f>IF(G16&lt;=0,1,0)</f>
        <v>0</v>
      </c>
      <c r="BG16">
        <f>IF(G16&lt;0,1,0)</f>
        <v>0</v>
      </c>
      <c r="BH16">
        <f t="shared" ref="BH16:BH37" si="8">Logistic(($B$3-G16)/(G16+1))</f>
        <v>0.79749433723831809</v>
      </c>
      <c r="BI16">
        <f t="shared" ref="BI16:BI37" si="9">IF(G16&gt;$B$3,1,0)</f>
        <v>0</v>
      </c>
      <c r="BJ16">
        <f t="shared" ref="BJ16:BJ37" si="10">IF(H16&gt;$B$5,1,0)</f>
        <v>0</v>
      </c>
      <c r="BK16">
        <f t="shared" ref="BK16:BK37" si="11">EXP(-($B$4-ABS(H16))/MAX(ABS(H16),0.000000001))</f>
        <v>0.80141685760912196</v>
      </c>
      <c r="BL16">
        <f>IF(G16&lt;ABS(H16),1,0)</f>
        <v>1</v>
      </c>
      <c r="BM16">
        <f t="shared" ref="BM16:BM37" si="12">EXP(-($B$5-I16)/MAX(I16,0.000000001))</f>
        <v>5.2475183991813846E-3</v>
      </c>
      <c r="BN16">
        <f t="shared" ref="BN16:BN37" si="13">IF(F16&gt;N16,(F16-N16)/$B$6,0)+IF(F16&lt;M16,(M16-F16)/$B$6,0)</f>
        <v>0</v>
      </c>
      <c r="BO16">
        <f t="shared" ref="BO16:BO37" si="14">ABS(K16/$B$4)</f>
        <v>0</v>
      </c>
      <c r="BP16">
        <f t="shared" ref="BP16:BP37" si="15">Logistic(ABS(H16)/$B$4)</f>
        <v>0.38794187079662457</v>
      </c>
      <c r="BQ16">
        <f t="shared" ref="BQ16:BQ37" si="16">Logistic(($B$3-G16)/G16)</f>
        <v>0.85494468237937249</v>
      </c>
    </row>
    <row r="17" spans="1:69" x14ac:dyDescent="0.25">
      <c r="A17" s="1" t="s">
        <v>15</v>
      </c>
      <c r="B17">
        <f t="shared" ca="1" si="2"/>
        <v>63.786778264967424</v>
      </c>
      <c r="C17" t="s">
        <v>553</v>
      </c>
      <c r="D17">
        <f t="shared" ref="D17:D40" si="17">VALUE(MID(C17,FIND("#[",C17)+2,FIND("]",C17,FIND("#[",C17))-(FIND("#[",C17)+2)))</f>
        <v>50</v>
      </c>
      <c r="E17">
        <f t="shared" ref="E17:E40" si="18">VALUE(MID(C17,FIND("s[",C17)+2,FIND("]",C17,FIND("s[",C17))-(FIND("s[",C17)+2)))</f>
        <v>129.81</v>
      </c>
      <c r="F17">
        <f t="shared" ref="F17:F40" si="19">VALUE(MID(C17,FIND("d[",C17)+2,FIND("]",C17,FIND("d[",C17))-(FIND("d[",C17)+2)))</f>
        <v>6.18</v>
      </c>
      <c r="G17">
        <f t="shared" ref="G17:G40" si="20">VALUE(MID(C17,FIND("s_dot[",C17)+6,FIND("]",C17,FIND("s_dot[",C17))-(FIND("s_dot[",C17)+6)))</f>
        <v>6.36</v>
      </c>
      <c r="H17">
        <f t="shared" ref="H17:H40" si="21">VALUE(MID(C17,FIND("s_dot2[",C17)+7,FIND("]",C17,FIND("s_dot2[",C17))-(FIND("s_dot2[",C17)+7)))</f>
        <v>8.5500000000000007</v>
      </c>
      <c r="I17">
        <f t="shared" ref="I17:I40" si="22">VALUE(MID(C17,FIND("s_dot3[",C17)+7,FIND("]",C17,FIND("s_dot3[",C17))-(FIND("s_dot3[",C17)+7)))</f>
        <v>3.28</v>
      </c>
      <c r="J17">
        <f t="shared" ref="J17:J40" si="23">VALUE(MID(C17,FIND("d_dot[",C17)+6,FIND("]",C17,FIND("d_dot[",C17))-(FIND("d_dot[",C17)+6)))</f>
        <v>0</v>
      </c>
      <c r="K17">
        <f t="shared" ref="K17:K40" si="24">VALUE(MID(C17,FIND("d_dot2[",C17)+7,FIND("]",C17,FIND("d_dot2[",C17))-(FIND("d_dot2[",C17)+7)))</f>
        <v>0</v>
      </c>
      <c r="L17">
        <f t="shared" si="3"/>
        <v>2</v>
      </c>
      <c r="M17">
        <f t="shared" si="0"/>
        <v>4</v>
      </c>
      <c r="N17">
        <f t="shared" si="1"/>
        <v>8</v>
      </c>
      <c r="O17">
        <f t="shared" si="4"/>
        <v>6</v>
      </c>
      <c r="P17">
        <f t="shared" si="5"/>
        <v>46</v>
      </c>
      <c r="Q17">
        <f t="shared" ref="Q17:Q40" ca="1" si="25">IFERROR(INDIRECT(CONCATENATE("B", P17))-$E$15,1000000)</f>
        <v>143.33156699999998</v>
      </c>
      <c r="R17">
        <f t="shared" ref="R17:R40" ca="1" si="26">IFERROR(INDIRECT(CONCATENATE("D", P17)),100)</f>
        <v>17.971278000000002</v>
      </c>
      <c r="S17" t="e">
        <f t="shared" ref="S17:S40" si="27">GetFollowingCarRow($B$45:$E$56,L17,$E$15, $E$15)</f>
        <v>#VALUE!</v>
      </c>
      <c r="T17">
        <f t="shared" ref="T17:T40" ca="1" si="28">IFERROR(INDIRECT(CONCATENATE("B", S17))-$E$15,1000000)</f>
        <v>1000000</v>
      </c>
      <c r="U17">
        <f t="shared" ref="U17:U40" ca="1" si="29">IFERROR(INDIRECT(CONCATENATE("D", S17)),100)</f>
        <v>100</v>
      </c>
      <c r="V17">
        <f t="shared" ref="V17:V40" si="30">GetLeadingCarRow($B$45:$E$56,L17,$E$15,E17)</f>
        <v>46</v>
      </c>
      <c r="W17">
        <f t="shared" ref="W17:W40" ca="1" si="31">IFERROR(INDIRECT(CONCATENATE("B", V17))-E17,1000000000)</f>
        <v>140.92156699999998</v>
      </c>
      <c r="X17">
        <f t="shared" ref="X17:X40" ca="1" si="32">IFERROR(INDIRECT(CONCATENATE("D", V17)),100)</f>
        <v>17.971278000000002</v>
      </c>
      <c r="Y17" t="e">
        <f>GetFollowingCarRow($B$45:$E$54,L17,$E$15,E17)</f>
        <v>#VALUE!</v>
      </c>
      <c r="Z17">
        <f t="shared" ref="Z17:Z40" ca="1" si="33">IFERROR(INDIRECT(CONCATENATE("B", Y17))-E17,1000000000)</f>
        <v>1000000000</v>
      </c>
      <c r="AA17">
        <f t="shared" ref="AA17:AA40" ca="1" si="34">IFERROR(INDIRECT(CONCATENATE("D", Y17)),100)</f>
        <v>100</v>
      </c>
      <c r="AB17">
        <f t="shared" ref="AB17:AB40" si="35">$F$15-F17</f>
        <v>-9.9999999999997868E-3</v>
      </c>
      <c r="AC17">
        <f t="shared" ref="AC17:AC40" si="36">E17-$E$15</f>
        <v>2.4099999999999966</v>
      </c>
      <c r="AD17">
        <f t="shared" ref="AD17:AD40" si="37">$F$15-(-AB17/AC17)*$E$15</f>
        <v>5.6413692946058198</v>
      </c>
      <c r="AE17">
        <f t="shared" ref="AE17:AE40" si="38">AD17*-AC17</f>
        <v>-13.595700000000006</v>
      </c>
      <c r="AF17">
        <f t="shared" ref="AF17:AF40" si="39">SQRT(AB17^2+AC17^2)</f>
        <v>2.4100207467986627</v>
      </c>
      <c r="AG17">
        <f>GetSmallestNormalDistance($B$45:$E$54,AB17,AC17,AF17,$L$15,L17)</f>
        <v>4.8313719105808062</v>
      </c>
      <c r="AH17">
        <f t="shared" si="6"/>
        <v>0</v>
      </c>
      <c r="AI17">
        <f>IF(G17&lt;=0,1,0)</f>
        <v>0</v>
      </c>
      <c r="AJ17">
        <f>IF(G17&lt;0,1,0)</f>
        <v>0</v>
      </c>
      <c r="AK17">
        <f>MAX(($B$3-G17)/(G17 + 1),0) / $B$3</f>
        <v>9.5147113059869684E-2</v>
      </c>
      <c r="AL17">
        <f>IF(H17+ABS(K17)&lt;0,Logistic(SQRT(H17^2+K17^2)/$B$4),0)</f>
        <v>0</v>
      </c>
      <c r="AM17">
        <f>IF(G17&gt;$B$3,1,0)</f>
        <v>0</v>
      </c>
      <c r="AN17">
        <f>IF(H17&gt;$B$4,1,0)</f>
        <v>1</v>
      </c>
      <c r="AO17">
        <f>ABS(H17)/$B$4</f>
        <v>1.0687500000000001</v>
      </c>
      <c r="AP17">
        <f>Logistic(I17/$B$5)</f>
        <v>0.20217575769673951</v>
      </c>
      <c r="AQ17">
        <f>IF(I17&gt;$B$5,1,0)</f>
        <v>0</v>
      </c>
      <c r="AR17">
        <f>Logistic(ABS(F17-O17)/($B$6/2))</f>
        <v>4.4969649583600189E-2</v>
      </c>
      <c r="AS17">
        <f>IF(OR(F17&lt;M17,F17&gt;N17),1,0)</f>
        <v>0</v>
      </c>
      <c r="AT17">
        <f>ABS(K17)/$B$4</f>
        <v>0</v>
      </c>
      <c r="AU17">
        <f t="shared" ref="AU17:AU40" ca="1" si="40">MAX(($B$7-W17)/(W17+1),0)/$B$7</f>
        <v>0</v>
      </c>
      <c r="AV17">
        <f ca="1">IF(AND(L17&lt;&gt;$L$15,$Q$15&gt;Safety_Distance),1,0)</f>
        <v>0</v>
      </c>
      <c r="AW17">
        <f ca="1">MAX(1-(IF(Q17/(G17-R17)&gt;0,Q17/(G17-R17),Collision_Time_Buffer)/Collision_Time_Buffer),0)*IF($L$15&lt;&gt;L17,Lane_Change_Multiplier,1)</f>
        <v>0</v>
      </c>
      <c r="AX17">
        <f ca="1">MAX(1-(IF(T17/(G17-U17)&gt;0,T17/(G17-U17),Collision_Time_Buffer)/Collision_Time_Buffer),0)*IF($L$15&lt;&gt;L17,Lane_Change_Multiplier,1)</f>
        <v>0</v>
      </c>
      <c r="AY17">
        <f ca="1">MAX(1-(IF(W17/(G17-X17)&gt;0,W17/(G17-X17),Collision_Time_Buffer)/Collision_Time_Buffer),0)*IF($L$15&lt;&gt;L17,Lane_Change_Multiplier,1)</f>
        <v>0</v>
      </c>
      <c r="AZ17">
        <f ca="1">MAX(1-(IF(Z17/(G17-AA17)&gt;0,Z17/(G17-AA17),Collision_Time_Buffer)/Collision_Time_Buffer),0)*IF($L$15&lt;&gt;L17,Lane_Change_Multiplier,1)</f>
        <v>0</v>
      </c>
      <c r="BA17">
        <f t="shared" ref="BA17:BA40" ca="1" si="41">IF(OR(ABS(Q17)&lt;$B$8,ABS(W17)&lt;$B$8),1,0)</f>
        <v>0</v>
      </c>
      <c r="BB17">
        <f t="shared" ref="BB17:BB40" ca="1" si="42">IF(OR(ABS(T17)&lt;$B$8,ABS(Z17)&lt;$B$8),1,0)</f>
        <v>0</v>
      </c>
      <c r="BC17">
        <f t="shared" ref="BC17:BC40" si="43">IFERROR(IF(P17=Y17,1,0),0)</f>
        <v>0</v>
      </c>
      <c r="BE17">
        <f t="shared" si="7"/>
        <v>0</v>
      </c>
      <c r="BF17">
        <f t="shared" ref="BF17:BF40" si="44">IF(G17&lt;=0,1,0)</f>
        <v>0</v>
      </c>
      <c r="BG17">
        <f t="shared" ref="BG17:BG40" si="45">IF(G17&lt;0,1,0)</f>
        <v>0</v>
      </c>
      <c r="BH17">
        <f t="shared" si="8"/>
        <v>0.76555963393921889</v>
      </c>
      <c r="BI17">
        <f t="shared" si="9"/>
        <v>0</v>
      </c>
      <c r="BJ17">
        <f t="shared" si="10"/>
        <v>1</v>
      </c>
      <c r="BK17">
        <f t="shared" si="11"/>
        <v>1.0664415856096265</v>
      </c>
      <c r="BL17">
        <f t="shared" ref="BL17:BL40" si="46">IF(G17&lt;ABS(H17),1,0)</f>
        <v>1</v>
      </c>
      <c r="BM17">
        <f t="shared" si="12"/>
        <v>0.23715902050728549</v>
      </c>
      <c r="BN17">
        <f t="shared" si="13"/>
        <v>0</v>
      </c>
      <c r="BO17">
        <f t="shared" si="14"/>
        <v>0</v>
      </c>
      <c r="BP17">
        <f t="shared" si="15"/>
        <v>0.4887182554393622</v>
      </c>
      <c r="BQ17">
        <f t="shared" si="16"/>
        <v>0.82370681500856158</v>
      </c>
    </row>
    <row r="18" spans="1:69" x14ac:dyDescent="0.25">
      <c r="A18" s="1" t="s">
        <v>14</v>
      </c>
      <c r="B18">
        <f t="shared" ca="1" si="2"/>
        <v>61.566602832323795</v>
      </c>
      <c r="C18" t="s">
        <v>552</v>
      </c>
      <c r="D18">
        <f t="shared" si="17"/>
        <v>50</v>
      </c>
      <c r="E18">
        <f t="shared" si="18"/>
        <v>130</v>
      </c>
      <c r="F18">
        <f t="shared" si="19"/>
        <v>6.18</v>
      </c>
      <c r="G18">
        <f t="shared" si="20"/>
        <v>6.85</v>
      </c>
      <c r="H18">
        <f t="shared" si="21"/>
        <v>11.15</v>
      </c>
      <c r="I18">
        <f t="shared" si="22"/>
        <v>5.88</v>
      </c>
      <c r="J18">
        <f t="shared" si="23"/>
        <v>0</v>
      </c>
      <c r="K18">
        <f t="shared" si="24"/>
        <v>0</v>
      </c>
      <c r="L18">
        <f t="shared" si="3"/>
        <v>2</v>
      </c>
      <c r="M18">
        <f t="shared" si="0"/>
        <v>4</v>
      </c>
      <c r="N18">
        <f t="shared" si="1"/>
        <v>8</v>
      </c>
      <c r="O18">
        <f t="shared" si="4"/>
        <v>6</v>
      </c>
      <c r="P18">
        <f t="shared" si="5"/>
        <v>46</v>
      </c>
      <c r="Q18">
        <f t="shared" ca="1" si="25"/>
        <v>143.33156699999998</v>
      </c>
      <c r="R18">
        <f t="shared" ca="1" si="26"/>
        <v>17.971278000000002</v>
      </c>
      <c r="S18" t="e">
        <f t="shared" si="27"/>
        <v>#VALUE!</v>
      </c>
      <c r="T18">
        <f t="shared" ca="1" si="28"/>
        <v>1000000</v>
      </c>
      <c r="U18">
        <f t="shared" ca="1" si="29"/>
        <v>100</v>
      </c>
      <c r="V18">
        <f t="shared" si="30"/>
        <v>46</v>
      </c>
      <c r="W18">
        <f t="shared" ca="1" si="31"/>
        <v>140.73156699999998</v>
      </c>
      <c r="X18">
        <f t="shared" ca="1" si="32"/>
        <v>17.971278000000002</v>
      </c>
      <c r="Y18" t="e">
        <f>GetFollowingCarRow($B$45:$E$54,L18,$E$15,E18)</f>
        <v>#VALUE!</v>
      </c>
      <c r="Z18">
        <f t="shared" ca="1" si="33"/>
        <v>1000000000</v>
      </c>
      <c r="AA18">
        <f t="shared" ca="1" si="34"/>
        <v>100</v>
      </c>
      <c r="AB18">
        <f t="shared" si="35"/>
        <v>-9.9999999999997868E-3</v>
      </c>
      <c r="AC18">
        <f t="shared" si="36"/>
        <v>2.5999999999999943</v>
      </c>
      <c r="AD18">
        <f t="shared" si="37"/>
        <v>5.6800000000000095</v>
      </c>
      <c r="AE18">
        <f t="shared" si="38"/>
        <v>-14.767999999999992</v>
      </c>
      <c r="AF18">
        <f t="shared" si="39"/>
        <v>2.600019230698106</v>
      </c>
      <c r="AG18">
        <f>GetSmallestNormalDistance($B$45:$E$54,AB18,AC18,AF18,$L$15,L18)</f>
        <v>4.9134694002128212</v>
      </c>
      <c r="AH18">
        <f t="shared" si="6"/>
        <v>0</v>
      </c>
      <c r="AI18">
        <f>IF(G18&lt;=0,1,0)</f>
        <v>0</v>
      </c>
      <c r="AJ18">
        <f>IF(G18&lt;0,1,0)</f>
        <v>0</v>
      </c>
      <c r="AK18">
        <f>MAX(($B$3-G18)/(G18 + 1),0) / $B$3</f>
        <v>8.6266411329295162E-2</v>
      </c>
      <c r="AL18">
        <f>IF(H18+ABS(K18)&lt;0,Logistic(SQRT(H18^2+K18^2)/$B$4),0)</f>
        <v>0</v>
      </c>
      <c r="AM18">
        <f>IF(G18&gt;$B$3,1,0)</f>
        <v>0</v>
      </c>
      <c r="AN18">
        <f>IF(H18&gt;$B$4,1,0)</f>
        <v>1</v>
      </c>
      <c r="AO18">
        <f>ABS(H18)/$B$4</f>
        <v>1.39375</v>
      </c>
      <c r="AP18">
        <f>Logistic(I18/$B$5)</f>
        <v>0.3518030554518814</v>
      </c>
      <c r="AQ18">
        <f>IF(I18&gt;$B$5,1,0)</f>
        <v>0</v>
      </c>
      <c r="AR18">
        <f>Logistic(ABS(F18-O18)/($B$6/2))</f>
        <v>4.4969649583600189E-2</v>
      </c>
      <c r="AS18">
        <f>IF(OR(F18&lt;M18,F18&gt;N18),1,0)</f>
        <v>0</v>
      </c>
      <c r="AT18">
        <f>ABS(K18)/$B$4</f>
        <v>0</v>
      </c>
      <c r="AU18">
        <f t="shared" ca="1" si="40"/>
        <v>0</v>
      </c>
      <c r="AV18">
        <f ca="1">IF(AND(L18&lt;&gt;$L$15,$Q$15&gt;Safety_Distance),1,0)</f>
        <v>0</v>
      </c>
      <c r="AW18">
        <f ca="1">MAX(1-(IF(Q18/(G18-R18)&gt;0,Q18/(G18-R18),Collision_Time_Buffer)/Collision_Time_Buffer),0)*IF($L$15&lt;&gt;L18,Lane_Change_Multiplier,1)</f>
        <v>0</v>
      </c>
      <c r="AX18">
        <f ca="1">MAX(1-(IF(T18/(G18-U18)&gt;0,T18/(G18-U18),Collision_Time_Buffer)/Collision_Time_Buffer),0)*IF($L$15&lt;&gt;L18,Lane_Change_Multiplier,1)</f>
        <v>0</v>
      </c>
      <c r="AY18">
        <f ca="1">MAX(1-(IF(W18/(G18-X18)&gt;0,W18/(G18-X18),Collision_Time_Buffer)/Collision_Time_Buffer),0)*IF($L$15&lt;&gt;L18,Lane_Change_Multiplier,1)</f>
        <v>0</v>
      </c>
      <c r="AZ18">
        <f ca="1">MAX(1-(IF(Z18/(G18-AA18)&gt;0,Z18/(G18-AA18),Collision_Time_Buffer)/Collision_Time_Buffer),0)*IF($L$15&lt;&gt;L18,Lane_Change_Multiplier,1)</f>
        <v>0</v>
      </c>
      <c r="BA18">
        <f t="shared" ca="1" si="41"/>
        <v>0</v>
      </c>
      <c r="BB18">
        <f t="shared" ca="1" si="42"/>
        <v>0</v>
      </c>
      <c r="BC18">
        <f t="shared" si="43"/>
        <v>0</v>
      </c>
      <c r="BE18">
        <f t="shared" si="7"/>
        <v>0</v>
      </c>
      <c r="BF18">
        <f t="shared" si="44"/>
        <v>0</v>
      </c>
      <c r="BG18">
        <f t="shared" si="45"/>
        <v>0</v>
      </c>
      <c r="BH18">
        <f t="shared" si="8"/>
        <v>0.72366000572517286</v>
      </c>
      <c r="BI18">
        <f t="shared" si="9"/>
        <v>0</v>
      </c>
      <c r="BJ18">
        <f t="shared" si="10"/>
        <v>1</v>
      </c>
      <c r="BK18">
        <f t="shared" si="11"/>
        <v>1.3264566456035916</v>
      </c>
      <c r="BL18">
        <f t="shared" si="46"/>
        <v>1</v>
      </c>
      <c r="BM18">
        <f t="shared" si="12"/>
        <v>0.69729674157219734</v>
      </c>
      <c r="BN18">
        <f t="shared" si="13"/>
        <v>0</v>
      </c>
      <c r="BO18">
        <f t="shared" si="14"/>
        <v>0</v>
      </c>
      <c r="BP18">
        <f t="shared" si="15"/>
        <v>0.60238046903954934</v>
      </c>
      <c r="BQ18">
        <f t="shared" si="16"/>
        <v>0.78138032285651871</v>
      </c>
    </row>
    <row r="19" spans="1:69" x14ac:dyDescent="0.25">
      <c r="A19" s="1" t="s">
        <v>13</v>
      </c>
      <c r="B19">
        <f t="shared" ca="1" si="2"/>
        <v>61.064500831936918</v>
      </c>
      <c r="C19" t="s">
        <v>551</v>
      </c>
      <c r="D19">
        <f t="shared" si="17"/>
        <v>50</v>
      </c>
      <c r="E19">
        <f t="shared" si="18"/>
        <v>130.05000000000001</v>
      </c>
      <c r="F19">
        <f t="shared" si="19"/>
        <v>6.18</v>
      </c>
      <c r="G19">
        <f t="shared" si="20"/>
        <v>6.97</v>
      </c>
      <c r="H19">
        <f t="shared" si="21"/>
        <v>11.75</v>
      </c>
      <c r="I19">
        <f t="shared" si="22"/>
        <v>6.48</v>
      </c>
      <c r="J19">
        <f t="shared" si="23"/>
        <v>0</v>
      </c>
      <c r="K19">
        <f t="shared" si="24"/>
        <v>0</v>
      </c>
      <c r="L19">
        <f t="shared" si="3"/>
        <v>2</v>
      </c>
      <c r="M19">
        <f t="shared" si="0"/>
        <v>4</v>
      </c>
      <c r="N19">
        <f t="shared" si="1"/>
        <v>8</v>
      </c>
      <c r="O19">
        <f t="shared" si="4"/>
        <v>6</v>
      </c>
      <c r="P19">
        <f t="shared" si="5"/>
        <v>46</v>
      </c>
      <c r="Q19">
        <f t="shared" ca="1" si="25"/>
        <v>143.33156699999998</v>
      </c>
      <c r="R19">
        <f t="shared" ca="1" si="26"/>
        <v>17.971278000000002</v>
      </c>
      <c r="S19" t="e">
        <f t="shared" si="27"/>
        <v>#VALUE!</v>
      </c>
      <c r="T19">
        <f t="shared" ca="1" si="28"/>
        <v>1000000</v>
      </c>
      <c r="U19">
        <f t="shared" ca="1" si="29"/>
        <v>100</v>
      </c>
      <c r="V19">
        <f t="shared" si="30"/>
        <v>46</v>
      </c>
      <c r="W19">
        <f t="shared" ca="1" si="31"/>
        <v>140.68156699999997</v>
      </c>
      <c r="X19">
        <f t="shared" ca="1" si="32"/>
        <v>17.971278000000002</v>
      </c>
      <c r="Y19" t="e">
        <f>GetFollowingCarRow($B$45:$E$54,L19,$E$15,E19)</f>
        <v>#VALUE!</v>
      </c>
      <c r="Z19">
        <f t="shared" ca="1" si="33"/>
        <v>1000000000</v>
      </c>
      <c r="AA19">
        <f t="shared" ca="1" si="34"/>
        <v>100</v>
      </c>
      <c r="AB19">
        <f t="shared" si="35"/>
        <v>-9.9999999999997868E-3</v>
      </c>
      <c r="AC19">
        <f t="shared" si="36"/>
        <v>2.6500000000000057</v>
      </c>
      <c r="AD19">
        <f t="shared" si="37"/>
        <v>5.6892452830188791</v>
      </c>
      <c r="AE19">
        <f t="shared" si="38"/>
        <v>-15.076500000000062</v>
      </c>
      <c r="AF19">
        <f t="shared" si="39"/>
        <v>2.6500188678573648</v>
      </c>
      <c r="AG19">
        <f>GetSmallestNormalDistance($B$45:$E$54,AB19,AC19,AF19,$L$15,L19)</f>
        <v>4.9331173217532456</v>
      </c>
      <c r="AH19">
        <f t="shared" si="6"/>
        <v>0</v>
      </c>
      <c r="AI19">
        <f>IF(G19&lt;=0,1,0)</f>
        <v>0</v>
      </c>
      <c r="AJ19">
        <f>IF(G19&lt;0,1,0)</f>
        <v>0</v>
      </c>
      <c r="AK19">
        <f>MAX(($B$3-G19)/(G19 + 1),0) / $B$3</f>
        <v>8.4258003327747674E-2</v>
      </c>
      <c r="AL19">
        <f>IF(H19+ABS(K19)&lt;0,Logistic(SQRT(H19^2+K19^2)/$B$4),0)</f>
        <v>0</v>
      </c>
      <c r="AM19">
        <f>IF(G19&gt;$B$3,1,0)</f>
        <v>0</v>
      </c>
      <c r="AN19">
        <f>IF(H19&gt;$B$4,1,0)</f>
        <v>1</v>
      </c>
      <c r="AO19">
        <f>ABS(H19)/$B$4</f>
        <v>1.46875</v>
      </c>
      <c r="AP19">
        <f>Logistic(I19/$B$5)</f>
        <v>0.38421900860357633</v>
      </c>
      <c r="AQ19">
        <f>IF(I19&gt;$B$5,1,0)</f>
        <v>0</v>
      </c>
      <c r="AR19">
        <f>Logistic(ABS(F19-O19)/($B$6/2))</f>
        <v>4.4969649583600189E-2</v>
      </c>
      <c r="AS19">
        <f>IF(OR(F19&lt;M19,F19&gt;N19),1,0)</f>
        <v>0</v>
      </c>
      <c r="AT19">
        <f>ABS(K19)/$B$4</f>
        <v>0</v>
      </c>
      <c r="AU19">
        <f t="shared" ca="1" si="40"/>
        <v>0</v>
      </c>
      <c r="AV19">
        <f ca="1">IF(AND(L19&lt;&gt;$L$15,$Q$15&gt;Safety_Distance),1,0)</f>
        <v>0</v>
      </c>
      <c r="AW19">
        <f ca="1">MAX(1-(IF(Q19/(G19-R19)&gt;0,Q19/(G19-R19),Collision_Time_Buffer)/Collision_Time_Buffer),0)*IF($L$15&lt;&gt;L19,Lane_Change_Multiplier,1)</f>
        <v>0</v>
      </c>
      <c r="AX19">
        <f ca="1">MAX(1-(IF(T19/(G19-U19)&gt;0,T19/(G19-U19),Collision_Time_Buffer)/Collision_Time_Buffer),0)*IF($L$15&lt;&gt;L19,Lane_Change_Multiplier,1)</f>
        <v>0</v>
      </c>
      <c r="AY19">
        <f ca="1">MAX(1-(IF(W19/(G19-X19)&gt;0,W19/(G19-X19),Collision_Time_Buffer)/Collision_Time_Buffer),0)*IF($L$15&lt;&gt;L19,Lane_Change_Multiplier,1)</f>
        <v>0</v>
      </c>
      <c r="AZ19">
        <f ca="1">MAX(1-(IF(Z19/(G19-AA19)&gt;0,Z19/(G19-AA19),Collision_Time_Buffer)/Collision_Time_Buffer),0)*IF($L$15&lt;&gt;L19,Lane_Change_Multiplier,1)</f>
        <v>0</v>
      </c>
      <c r="BA19">
        <f t="shared" ca="1" si="41"/>
        <v>0</v>
      </c>
      <c r="BB19">
        <f t="shared" ca="1" si="42"/>
        <v>0</v>
      </c>
      <c r="BC19">
        <f t="shared" si="43"/>
        <v>0</v>
      </c>
      <c r="BE19">
        <f t="shared" si="7"/>
        <v>0</v>
      </c>
      <c r="BF19">
        <f t="shared" si="44"/>
        <v>0</v>
      </c>
      <c r="BG19">
        <f t="shared" si="45"/>
        <v>0</v>
      </c>
      <c r="BH19">
        <f t="shared" si="8"/>
        <v>0.71335269939920276</v>
      </c>
      <c r="BI19">
        <f t="shared" si="9"/>
        <v>0</v>
      </c>
      <c r="BJ19">
        <f t="shared" si="10"/>
        <v>1</v>
      </c>
      <c r="BK19">
        <f t="shared" si="11"/>
        <v>1.3759562392987397</v>
      </c>
      <c r="BL19">
        <f t="shared" si="46"/>
        <v>1</v>
      </c>
      <c r="BM19">
        <f t="shared" si="12"/>
        <v>0.79091252813096002</v>
      </c>
      <c r="BN19">
        <f t="shared" si="13"/>
        <v>0</v>
      </c>
      <c r="BO19">
        <f t="shared" si="14"/>
        <v>0</v>
      </c>
      <c r="BP19">
        <f t="shared" si="15"/>
        <v>0.62573463567514687</v>
      </c>
      <c r="BQ19">
        <f t="shared" si="16"/>
        <v>0.77077658266428695</v>
      </c>
    </row>
    <row r="20" spans="1:69" x14ac:dyDescent="0.25">
      <c r="A20" s="1" t="s">
        <v>12</v>
      </c>
      <c r="B20">
        <f t="shared" ca="1" si="2"/>
        <v>60.457742718784672</v>
      </c>
      <c r="C20" t="s">
        <v>550</v>
      </c>
      <c r="D20">
        <f t="shared" si="17"/>
        <v>50</v>
      </c>
      <c r="E20">
        <f t="shared" si="18"/>
        <v>130.1</v>
      </c>
      <c r="F20">
        <f t="shared" si="19"/>
        <v>6.18</v>
      </c>
      <c r="G20">
        <f t="shared" si="20"/>
        <v>7.12</v>
      </c>
      <c r="H20">
        <f t="shared" si="21"/>
        <v>12.55</v>
      </c>
      <c r="I20">
        <f t="shared" si="22"/>
        <v>7.28</v>
      </c>
      <c r="J20">
        <f t="shared" si="23"/>
        <v>0</v>
      </c>
      <c r="K20">
        <f t="shared" si="24"/>
        <v>0</v>
      </c>
      <c r="L20">
        <f t="shared" si="3"/>
        <v>2</v>
      </c>
      <c r="M20">
        <f t="shared" si="0"/>
        <v>4</v>
      </c>
      <c r="N20">
        <f t="shared" si="1"/>
        <v>8</v>
      </c>
      <c r="O20">
        <f t="shared" si="4"/>
        <v>6</v>
      </c>
      <c r="P20">
        <f t="shared" si="5"/>
        <v>46</v>
      </c>
      <c r="Q20">
        <f t="shared" ca="1" si="25"/>
        <v>143.33156699999998</v>
      </c>
      <c r="R20">
        <f t="shared" ca="1" si="26"/>
        <v>17.971278000000002</v>
      </c>
      <c r="S20" t="e">
        <f t="shared" si="27"/>
        <v>#VALUE!</v>
      </c>
      <c r="T20">
        <f t="shared" ca="1" si="28"/>
        <v>1000000</v>
      </c>
      <c r="U20">
        <f t="shared" ca="1" si="29"/>
        <v>100</v>
      </c>
      <c r="V20">
        <f t="shared" si="30"/>
        <v>46</v>
      </c>
      <c r="W20">
        <f t="shared" ca="1" si="31"/>
        <v>140.63156699999999</v>
      </c>
      <c r="X20">
        <f t="shared" ca="1" si="32"/>
        <v>17.971278000000002</v>
      </c>
      <c r="Y20" t="e">
        <f>GetFollowingCarRow($B$45:$E$54,L20,$E$15,E20)</f>
        <v>#VALUE!</v>
      </c>
      <c r="Z20">
        <f t="shared" ca="1" si="33"/>
        <v>1000000000</v>
      </c>
      <c r="AA20">
        <f t="shared" ca="1" si="34"/>
        <v>100</v>
      </c>
      <c r="AB20">
        <f t="shared" si="35"/>
        <v>-9.9999999999997868E-3</v>
      </c>
      <c r="AC20">
        <f t="shared" si="36"/>
        <v>2.6999999999999886</v>
      </c>
      <c r="AD20">
        <f t="shared" si="37"/>
        <v>5.6981481481481557</v>
      </c>
      <c r="AE20">
        <f t="shared" si="38"/>
        <v>-15.384999999999955</v>
      </c>
      <c r="AF20">
        <f t="shared" si="39"/>
        <v>2.7000185184550012</v>
      </c>
      <c r="AG20">
        <f>GetSmallestNormalDistance($B$45:$E$54,AB20,AC20,AF20,$L$15,L20)</f>
        <v>4.9520375281169855</v>
      </c>
      <c r="AH20">
        <f t="shared" si="6"/>
        <v>0</v>
      </c>
      <c r="AI20">
        <f>IF(G20&lt;=0,1,0)</f>
        <v>0</v>
      </c>
      <c r="AJ20">
        <f>IF(G20&lt;0,1,0)</f>
        <v>0</v>
      </c>
      <c r="AK20">
        <f>MAX(($B$3-G20)/(G20 + 1),0) / $B$3</f>
        <v>8.1830970875138687E-2</v>
      </c>
      <c r="AL20">
        <f>IF(H20+ABS(K20)&lt;0,Logistic(SQRT(H20^2+K20^2)/$B$4),0)</f>
        <v>0</v>
      </c>
      <c r="AM20">
        <f>IF(G20&gt;$B$3,1,0)</f>
        <v>0</v>
      </c>
      <c r="AN20">
        <f>IF(H20&gt;$B$4,1,0)</f>
        <v>1</v>
      </c>
      <c r="AO20">
        <f>ABS(H20)/$B$4</f>
        <v>1.5687500000000001</v>
      </c>
      <c r="AP20">
        <f>Logistic(I20/$B$5)</f>
        <v>0.42600032550456335</v>
      </c>
      <c r="AQ20">
        <f>IF(I20&gt;$B$5,1,0)</f>
        <v>0</v>
      </c>
      <c r="AR20">
        <f>Logistic(ABS(F20-O20)/($B$6/2))</f>
        <v>4.4969649583600189E-2</v>
      </c>
      <c r="AS20">
        <f>IF(OR(F20&lt;M20,F20&gt;N20),1,0)</f>
        <v>0</v>
      </c>
      <c r="AT20">
        <f>ABS(K20)/$B$4</f>
        <v>0</v>
      </c>
      <c r="AU20">
        <f t="shared" ca="1" si="40"/>
        <v>0</v>
      </c>
      <c r="AV20">
        <f ca="1">IF(AND(L20&lt;&gt;$L$15,$Q$15&gt;Safety_Distance),1,0)</f>
        <v>0</v>
      </c>
      <c r="AW20">
        <f ca="1">MAX(1-(IF(Q20/(G20-R20)&gt;0,Q20/(G20-R20),Collision_Time_Buffer)/Collision_Time_Buffer),0)*IF($L$15&lt;&gt;L20,Lane_Change_Multiplier,1)</f>
        <v>0</v>
      </c>
      <c r="AX20">
        <f ca="1">MAX(1-(IF(T20/(G20-U20)&gt;0,T20/(G20-U20),Collision_Time_Buffer)/Collision_Time_Buffer),0)*IF($L$15&lt;&gt;L20,Lane_Change_Multiplier,1)</f>
        <v>0</v>
      </c>
      <c r="AY20">
        <f ca="1">MAX(1-(IF(W20/(G20-X20)&gt;0,W20/(G20-X20),Collision_Time_Buffer)/Collision_Time_Buffer),0)*IF($L$15&lt;&gt;L20,Lane_Change_Multiplier,1)</f>
        <v>0</v>
      </c>
      <c r="AZ20">
        <f ca="1">MAX(1-(IF(Z20/(G20-AA20)&gt;0,Z20/(G20-AA20),Collision_Time_Buffer)/Collision_Time_Buffer),0)*IF($L$15&lt;&gt;L20,Lane_Change_Multiplier,1)</f>
        <v>0</v>
      </c>
      <c r="BA20">
        <f t="shared" ca="1" si="41"/>
        <v>0</v>
      </c>
      <c r="BB20">
        <f t="shared" ca="1" si="42"/>
        <v>0</v>
      </c>
      <c r="BC20">
        <f t="shared" si="43"/>
        <v>0</v>
      </c>
      <c r="BE20">
        <f t="shared" si="7"/>
        <v>0</v>
      </c>
      <c r="BF20">
        <f t="shared" si="44"/>
        <v>0</v>
      </c>
      <c r="BG20">
        <f t="shared" si="45"/>
        <v>0</v>
      </c>
      <c r="BH20">
        <f t="shared" si="8"/>
        <v>0.70047199127460824</v>
      </c>
      <c r="BI20">
        <f t="shared" si="9"/>
        <v>0</v>
      </c>
      <c r="BJ20">
        <f t="shared" si="10"/>
        <v>1</v>
      </c>
      <c r="BK20">
        <f t="shared" si="11"/>
        <v>1.436988782390576</v>
      </c>
      <c r="BL20">
        <f t="shared" si="46"/>
        <v>1</v>
      </c>
      <c r="BM20">
        <f t="shared" si="12"/>
        <v>0.90583229140256805</v>
      </c>
      <c r="BN20">
        <f t="shared" si="13"/>
        <v>0</v>
      </c>
      <c r="BO20">
        <f t="shared" si="14"/>
        <v>0</v>
      </c>
      <c r="BP20">
        <f t="shared" si="15"/>
        <v>0.65521067572799974</v>
      </c>
      <c r="BQ20">
        <f t="shared" si="16"/>
        <v>0.75743418060155454</v>
      </c>
    </row>
    <row r="21" spans="1:69" x14ac:dyDescent="0.25">
      <c r="A21" s="1" t="s">
        <v>33</v>
      </c>
      <c r="B21">
        <f t="shared" ca="1" si="2"/>
        <v>62.040539981052447</v>
      </c>
      <c r="C21" t="s">
        <v>549</v>
      </c>
      <c r="D21">
        <f t="shared" si="17"/>
        <v>50</v>
      </c>
      <c r="E21">
        <f t="shared" si="18"/>
        <v>129.96</v>
      </c>
      <c r="F21">
        <f t="shared" si="19"/>
        <v>6.18</v>
      </c>
      <c r="G21">
        <f t="shared" si="20"/>
        <v>6.74</v>
      </c>
      <c r="H21">
        <f t="shared" si="21"/>
        <v>10.55</v>
      </c>
      <c r="I21">
        <f t="shared" si="22"/>
        <v>5.28</v>
      </c>
      <c r="J21">
        <f t="shared" si="23"/>
        <v>0</v>
      </c>
      <c r="K21">
        <f t="shared" si="24"/>
        <v>0</v>
      </c>
      <c r="L21">
        <f t="shared" si="3"/>
        <v>2</v>
      </c>
      <c r="M21">
        <f t="shared" si="0"/>
        <v>4</v>
      </c>
      <c r="N21">
        <f t="shared" si="1"/>
        <v>8</v>
      </c>
      <c r="O21">
        <f t="shared" si="4"/>
        <v>6</v>
      </c>
      <c r="P21">
        <f t="shared" si="5"/>
        <v>46</v>
      </c>
      <c r="Q21">
        <f t="shared" ca="1" si="25"/>
        <v>143.33156699999998</v>
      </c>
      <c r="R21">
        <f t="shared" ca="1" si="26"/>
        <v>17.971278000000002</v>
      </c>
      <c r="S21" t="e">
        <f t="shared" si="27"/>
        <v>#VALUE!</v>
      </c>
      <c r="T21">
        <f t="shared" ca="1" si="28"/>
        <v>1000000</v>
      </c>
      <c r="U21">
        <f t="shared" ca="1" si="29"/>
        <v>100</v>
      </c>
      <c r="V21">
        <f t="shared" si="30"/>
        <v>46</v>
      </c>
      <c r="W21">
        <f t="shared" ca="1" si="31"/>
        <v>140.77156699999998</v>
      </c>
      <c r="X21">
        <f t="shared" ca="1" si="32"/>
        <v>17.971278000000002</v>
      </c>
      <c r="Y21" t="e">
        <f>GetFollowingCarRow($B$45:$E$54,L21,$E$15,E21)</f>
        <v>#VALUE!</v>
      </c>
      <c r="Z21">
        <f t="shared" ca="1" si="33"/>
        <v>1000000000</v>
      </c>
      <c r="AA21">
        <f t="shared" ca="1" si="34"/>
        <v>100</v>
      </c>
      <c r="AB21">
        <f t="shared" si="35"/>
        <v>-9.9999999999997868E-3</v>
      </c>
      <c r="AC21">
        <f t="shared" si="36"/>
        <v>2.5600000000000023</v>
      </c>
      <c r="AD21">
        <f t="shared" si="37"/>
        <v>5.6723437500000111</v>
      </c>
      <c r="AE21">
        <f t="shared" si="38"/>
        <v>-14.521200000000041</v>
      </c>
      <c r="AF21">
        <f t="shared" si="39"/>
        <v>2.560019531175497</v>
      </c>
      <c r="AG21">
        <f>GetSmallestNormalDistance($B$45:$E$54,AB21,AC21,AF21,$L$15,L21)</f>
        <v>4.8971984538896969</v>
      </c>
      <c r="AH21">
        <f t="shared" si="6"/>
        <v>0</v>
      </c>
      <c r="AI21">
        <f>IF(G21&lt;=0,1,0)</f>
        <v>0</v>
      </c>
      <c r="AJ21">
        <f>IF(G21&lt;0,1,0)</f>
        <v>0</v>
      </c>
      <c r="AK21">
        <f>MAX(($B$3-G21)/(G21 + 1),0) / $B$3</f>
        <v>8.8162159924209768E-2</v>
      </c>
      <c r="AL21">
        <f>IF(H21+ABS(K21)&lt;0,Logistic(SQRT(H21^2+K21^2)/$B$4),0)</f>
        <v>0</v>
      </c>
      <c r="AM21">
        <f>IF(G21&gt;$B$3,1,0)</f>
        <v>0</v>
      </c>
      <c r="AN21">
        <f>IF(H21&gt;$B$4,1,0)</f>
        <v>1</v>
      </c>
      <c r="AO21">
        <f>ABS(H21)/$B$4</f>
        <v>1.3187500000000001</v>
      </c>
      <c r="AP21">
        <f>Logistic(I21/$B$5)</f>
        <v>0.31852077690277092</v>
      </c>
      <c r="AQ21">
        <f>IF(I21&gt;$B$5,1,0)</f>
        <v>0</v>
      </c>
      <c r="AR21">
        <f>Logistic(ABS(F21-O21)/($B$6/2))</f>
        <v>4.4969649583600189E-2</v>
      </c>
      <c r="AS21">
        <f>IF(OR(F21&lt;M21,F21&gt;N21),1,0)</f>
        <v>0</v>
      </c>
      <c r="AT21">
        <f>ABS(K21)/$B$4</f>
        <v>0</v>
      </c>
      <c r="AU21">
        <f t="shared" ca="1" si="40"/>
        <v>0</v>
      </c>
      <c r="AV21">
        <f ca="1">IF(AND(L21&lt;&gt;$L$15,$Q$15&gt;Safety_Distance),1,0)</f>
        <v>0</v>
      </c>
      <c r="AW21">
        <f ca="1">MAX(1-(IF(Q21/(G21-R21)&gt;0,Q21/(G21-R21),Collision_Time_Buffer)/Collision_Time_Buffer),0)*IF($L$15&lt;&gt;L21,Lane_Change_Multiplier,1)</f>
        <v>0</v>
      </c>
      <c r="AX21">
        <f ca="1">MAX(1-(IF(T21/(G21-U21)&gt;0,T21/(G21-U21),Collision_Time_Buffer)/Collision_Time_Buffer),0)*IF($L$15&lt;&gt;L21,Lane_Change_Multiplier,1)</f>
        <v>0</v>
      </c>
      <c r="AY21">
        <f ca="1">MAX(1-(IF(W21/(G21-X21)&gt;0,W21/(G21-X21),Collision_Time_Buffer)/Collision_Time_Buffer),0)*IF($L$15&lt;&gt;L21,Lane_Change_Multiplier,1)</f>
        <v>0</v>
      </c>
      <c r="AZ21">
        <f ca="1">MAX(1-(IF(Z21/(G21-AA21)&gt;0,Z21/(G21-AA21),Collision_Time_Buffer)/Collision_Time_Buffer),0)*IF($L$15&lt;&gt;L21,Lane_Change_Multiplier,1)</f>
        <v>0</v>
      </c>
      <c r="BA21">
        <f t="shared" ca="1" si="41"/>
        <v>0</v>
      </c>
      <c r="BB21">
        <f t="shared" ca="1" si="42"/>
        <v>0</v>
      </c>
      <c r="BC21">
        <f t="shared" si="43"/>
        <v>0</v>
      </c>
      <c r="BE21">
        <f t="shared" si="7"/>
        <v>0</v>
      </c>
      <c r="BF21">
        <f t="shared" si="44"/>
        <v>0</v>
      </c>
      <c r="BG21">
        <f t="shared" si="45"/>
        <v>0</v>
      </c>
      <c r="BH21">
        <f t="shared" si="8"/>
        <v>0.73310187304413854</v>
      </c>
      <c r="BI21">
        <f t="shared" si="9"/>
        <v>0</v>
      </c>
      <c r="BJ21">
        <f t="shared" si="10"/>
        <v>1</v>
      </c>
      <c r="BK21">
        <f t="shared" si="11"/>
        <v>1.2734199575645662</v>
      </c>
      <c r="BL21">
        <f t="shared" si="46"/>
        <v>1</v>
      </c>
      <c r="BM21">
        <f t="shared" si="12"/>
        <v>0.59741007108313038</v>
      </c>
      <c r="BN21">
        <f t="shared" si="13"/>
        <v>0</v>
      </c>
      <c r="BO21">
        <f t="shared" si="14"/>
        <v>0</v>
      </c>
      <c r="BP21">
        <f t="shared" si="15"/>
        <v>0.5779473278418652</v>
      </c>
      <c r="BQ21">
        <f t="shared" si="16"/>
        <v>0.79103233940545115</v>
      </c>
    </row>
    <row r="22" spans="1:69" x14ac:dyDescent="0.25">
      <c r="A22" s="1" t="s">
        <v>11</v>
      </c>
      <c r="B22">
        <f t="shared" ca="1" si="2"/>
        <v>33.90475908499505</v>
      </c>
      <c r="C22" t="s">
        <v>548</v>
      </c>
      <c r="D22">
        <f t="shared" si="17"/>
        <v>50</v>
      </c>
      <c r="E22">
        <f t="shared" si="18"/>
        <v>129.19999999999999</v>
      </c>
      <c r="F22">
        <f t="shared" si="19"/>
        <v>6.18</v>
      </c>
      <c r="G22">
        <f t="shared" si="20"/>
        <v>4.7300000000000004</v>
      </c>
      <c r="H22">
        <f t="shared" si="21"/>
        <v>0</v>
      </c>
      <c r="I22">
        <f t="shared" si="22"/>
        <v>5.28</v>
      </c>
      <c r="J22">
        <f t="shared" si="23"/>
        <v>0</v>
      </c>
      <c r="K22">
        <f t="shared" si="24"/>
        <v>0</v>
      </c>
      <c r="L22">
        <f t="shared" si="3"/>
        <v>2</v>
      </c>
      <c r="M22">
        <f t="shared" si="0"/>
        <v>4</v>
      </c>
      <c r="N22">
        <f t="shared" si="1"/>
        <v>8</v>
      </c>
      <c r="O22">
        <f t="shared" si="4"/>
        <v>6</v>
      </c>
      <c r="P22">
        <f t="shared" si="5"/>
        <v>46</v>
      </c>
      <c r="Q22">
        <f t="shared" ca="1" si="25"/>
        <v>143.33156699999998</v>
      </c>
      <c r="R22">
        <f t="shared" ca="1" si="26"/>
        <v>17.971278000000002</v>
      </c>
      <c r="S22" t="e">
        <f t="shared" si="27"/>
        <v>#VALUE!</v>
      </c>
      <c r="T22">
        <f t="shared" ca="1" si="28"/>
        <v>1000000</v>
      </c>
      <c r="U22">
        <f t="shared" ca="1" si="29"/>
        <v>100</v>
      </c>
      <c r="V22">
        <f t="shared" si="30"/>
        <v>46</v>
      </c>
      <c r="W22">
        <f t="shared" ca="1" si="31"/>
        <v>141.531567</v>
      </c>
      <c r="X22">
        <f t="shared" ca="1" si="32"/>
        <v>17.971278000000002</v>
      </c>
      <c r="Y22" t="e">
        <f>GetFollowingCarRow($B$45:$E$54,L22,$E$15,E22)</f>
        <v>#VALUE!</v>
      </c>
      <c r="Z22">
        <f t="shared" ca="1" si="33"/>
        <v>1000000000</v>
      </c>
      <c r="AA22">
        <f t="shared" ca="1" si="34"/>
        <v>100</v>
      </c>
      <c r="AB22">
        <f t="shared" si="35"/>
        <v>-9.9999999999997868E-3</v>
      </c>
      <c r="AC22">
        <f t="shared" si="36"/>
        <v>1.7999999999999829</v>
      </c>
      <c r="AD22">
        <f t="shared" si="37"/>
        <v>5.4622222222222305</v>
      </c>
      <c r="AE22">
        <f t="shared" si="38"/>
        <v>-9.8319999999999226</v>
      </c>
      <c r="AF22">
        <f t="shared" si="39"/>
        <v>1.8000277775634292</v>
      </c>
      <c r="AG22">
        <f>GetSmallestNormalDistance($B$45:$E$54,AB22,AC22,AF22,$L$15,L22)</f>
        <v>4.450648056578479</v>
      </c>
      <c r="AH22">
        <f t="shared" si="6"/>
        <v>0</v>
      </c>
      <c r="AI22">
        <f>IF(G22&lt;=0,1,0)</f>
        <v>0</v>
      </c>
      <c r="AJ22">
        <f>IF(G22&lt;0,1,0)</f>
        <v>0</v>
      </c>
      <c r="AK22">
        <f>MAX(($B$3-G22)/(G22 + 1),0) / $B$3</f>
        <v>0.13561903633998021</v>
      </c>
      <c r="AL22">
        <f>IF(H22+ABS(K22)&lt;0,Logistic(SQRT(H22^2+K22^2)/$B$4),0)</f>
        <v>0</v>
      </c>
      <c r="AM22">
        <f>IF(G22&gt;$B$3,1,0)</f>
        <v>0</v>
      </c>
      <c r="AN22">
        <f>IF(H22&gt;$B$4,1,0)</f>
        <v>0</v>
      </c>
      <c r="AO22">
        <f>ABS(H22)/$B$4</f>
        <v>0</v>
      </c>
      <c r="AP22">
        <f>Logistic(I22/$B$5)</f>
        <v>0.31852077690277092</v>
      </c>
      <c r="AQ22">
        <f>IF(I22&gt;$B$5,1,0)</f>
        <v>0</v>
      </c>
      <c r="AR22">
        <f>Logistic(ABS(F22-O22)/($B$6/2))</f>
        <v>4.4969649583600189E-2</v>
      </c>
      <c r="AS22">
        <f>IF(OR(F22&lt;M22,F22&gt;N22),1,0)</f>
        <v>0</v>
      </c>
      <c r="AT22">
        <f>ABS(K22)/$B$4</f>
        <v>0</v>
      </c>
      <c r="AU22">
        <f t="shared" ca="1" si="40"/>
        <v>0</v>
      </c>
      <c r="AV22">
        <f ca="1">IF(AND(L22&lt;&gt;$L$15,$Q$15&gt;Safety_Distance),1,0)</f>
        <v>0</v>
      </c>
      <c r="AW22">
        <f ca="1">MAX(1-(IF(Q22/(G22-R22)&gt;0,Q22/(G22-R22),Collision_Time_Buffer)/Collision_Time_Buffer),0)*IF($L$15&lt;&gt;L22,Lane_Change_Multiplier,1)</f>
        <v>0</v>
      </c>
      <c r="AX22">
        <f ca="1">MAX(1-(IF(T22/(G22-U22)&gt;0,T22/(G22-U22),Collision_Time_Buffer)/Collision_Time_Buffer),0)*IF($L$15&lt;&gt;L22,Lane_Change_Multiplier,1)</f>
        <v>0</v>
      </c>
      <c r="AY22">
        <f ca="1">MAX(1-(IF(W22/(G22-X22)&gt;0,W22/(G22-X22),Collision_Time_Buffer)/Collision_Time_Buffer),0)*IF($L$15&lt;&gt;L22,Lane_Change_Multiplier,1)</f>
        <v>0</v>
      </c>
      <c r="AZ22">
        <f ca="1">MAX(1-(IF(Z22/(G22-AA22)&gt;0,Z22/(G22-AA22),Collision_Time_Buffer)/Collision_Time_Buffer),0)*IF($L$15&lt;&gt;L22,Lane_Change_Multiplier,1)</f>
        <v>0</v>
      </c>
      <c r="BA22">
        <f t="shared" ca="1" si="41"/>
        <v>0</v>
      </c>
      <c r="BB22">
        <f t="shared" ca="1" si="42"/>
        <v>0</v>
      </c>
      <c r="BC22">
        <f t="shared" si="43"/>
        <v>0</v>
      </c>
      <c r="BE22">
        <f t="shared" si="7"/>
        <v>0</v>
      </c>
      <c r="BF22">
        <f t="shared" si="44"/>
        <v>0</v>
      </c>
      <c r="BG22">
        <f t="shared" si="45"/>
        <v>0</v>
      </c>
      <c r="BH22">
        <f t="shared" si="8"/>
        <v>0.89347970020688994</v>
      </c>
      <c r="BI22">
        <f t="shared" si="9"/>
        <v>0</v>
      </c>
      <c r="BJ22">
        <f t="shared" si="10"/>
        <v>0</v>
      </c>
      <c r="BK22">
        <f t="shared" si="11"/>
        <v>0</v>
      </c>
      <c r="BL22">
        <f t="shared" si="46"/>
        <v>0</v>
      </c>
      <c r="BM22">
        <f t="shared" si="12"/>
        <v>0.59741007108313038</v>
      </c>
      <c r="BN22">
        <f t="shared" si="13"/>
        <v>0</v>
      </c>
      <c r="BO22">
        <f t="shared" si="14"/>
        <v>0</v>
      </c>
      <c r="BP22">
        <f t="shared" si="15"/>
        <v>0</v>
      </c>
      <c r="BQ22">
        <f t="shared" si="16"/>
        <v>0.94058845283757564</v>
      </c>
    </row>
    <row r="23" spans="1:69" x14ac:dyDescent="0.25">
      <c r="A23" s="1" t="s">
        <v>34</v>
      </c>
      <c r="B23">
        <f t="shared" ca="1" si="2"/>
        <v>215.99211031080355</v>
      </c>
      <c r="C23" t="s">
        <v>547</v>
      </c>
      <c r="D23">
        <f t="shared" si="17"/>
        <v>130</v>
      </c>
      <c r="E23">
        <f t="shared" si="18"/>
        <v>275</v>
      </c>
      <c r="F23">
        <f t="shared" si="19"/>
        <v>-12.07</v>
      </c>
      <c r="G23">
        <f t="shared" si="20"/>
        <v>142.18</v>
      </c>
      <c r="H23">
        <f t="shared" si="21"/>
        <v>34.53</v>
      </c>
      <c r="I23">
        <f t="shared" si="22"/>
        <v>29.26</v>
      </c>
      <c r="J23">
        <f t="shared" si="23"/>
        <v>27.81</v>
      </c>
      <c r="K23">
        <f t="shared" si="24"/>
        <v>0.05</v>
      </c>
      <c r="L23">
        <f t="shared" si="3"/>
        <v>3</v>
      </c>
      <c r="M23">
        <f t="shared" si="0"/>
        <v>8</v>
      </c>
      <c r="N23">
        <f t="shared" si="1"/>
        <v>12</v>
      </c>
      <c r="O23">
        <f t="shared" si="4"/>
        <v>10</v>
      </c>
      <c r="P23" t="e">
        <f t="shared" si="5"/>
        <v>#VALUE!</v>
      </c>
      <c r="Q23">
        <f t="shared" ca="1" si="25"/>
        <v>1000000</v>
      </c>
      <c r="R23">
        <f t="shared" ca="1" si="26"/>
        <v>100</v>
      </c>
      <c r="S23">
        <f t="shared" si="27"/>
        <v>47</v>
      </c>
      <c r="T23">
        <f t="shared" ca="1" si="28"/>
        <v>-34.983542</v>
      </c>
      <c r="U23">
        <f t="shared" ca="1" si="29"/>
        <v>21.706764</v>
      </c>
      <c r="V23" t="e">
        <f t="shared" si="30"/>
        <v>#VALUE!</v>
      </c>
      <c r="W23">
        <f t="shared" ca="1" si="31"/>
        <v>1000000000</v>
      </c>
      <c r="X23">
        <f t="shared" ca="1" si="32"/>
        <v>100</v>
      </c>
      <c r="Y23">
        <f>GetFollowingCarRow($B$45:$E$54,L23,$E$15,E23)</f>
        <v>47</v>
      </c>
      <c r="Z23">
        <f t="shared" ca="1" si="33"/>
        <v>-182.58354199999999</v>
      </c>
      <c r="AA23">
        <f t="shared" ca="1" si="34"/>
        <v>21.706764</v>
      </c>
      <c r="AB23">
        <f t="shared" si="35"/>
        <v>18.240000000000002</v>
      </c>
      <c r="AC23">
        <f t="shared" si="36"/>
        <v>147.6</v>
      </c>
      <c r="AD23">
        <f t="shared" si="37"/>
        <v>21.913739837398374</v>
      </c>
      <c r="AE23">
        <f t="shared" si="38"/>
        <v>-3234.4679999999998</v>
      </c>
      <c r="AF23">
        <f t="shared" si="39"/>
        <v>148.72275414340604</v>
      </c>
      <c r="AG23">
        <f>GetSmallestNormalDistance($B$45:$E$54,AB23,AC23,AF23,$L$15,L23)</f>
        <v>21.244979482247498</v>
      </c>
      <c r="AH23">
        <f t="shared" si="6"/>
        <v>0.66403677026784902</v>
      </c>
      <c r="AI23">
        <f>IF(G23&lt;=0,1,0)</f>
        <v>0</v>
      </c>
      <c r="AJ23">
        <f>IF(G23&lt;0,1,0)</f>
        <v>0</v>
      </c>
      <c r="AK23">
        <f>MAX(($B$3-G23)/(G23 + 1),0) / $B$3</f>
        <v>0</v>
      </c>
      <c r="AL23">
        <f>IF(H23+ABS(K23)&lt;0,Logistic(SQRT(H23^2+K23^2)/$B$4),0)</f>
        <v>0</v>
      </c>
      <c r="AM23">
        <f>IF(G23&gt;$B$3,1,0)</f>
        <v>1</v>
      </c>
      <c r="AN23">
        <f>IF(H23&gt;$B$4,1,0)</f>
        <v>1</v>
      </c>
      <c r="AO23">
        <f>ABS(H23)/$B$4</f>
        <v>4.3162500000000001</v>
      </c>
      <c r="AP23">
        <f>Logistic(I23/$B$5)</f>
        <v>0.94970364236142712</v>
      </c>
      <c r="AQ23">
        <f>IF(I23&gt;$B$5,1,0)</f>
        <v>1</v>
      </c>
      <c r="AR23">
        <f>Logistic(ABS(F23-O23)/($B$6/2))</f>
        <v>0.99996774601468064</v>
      </c>
      <c r="AS23">
        <f>IF(OR(F23&lt;M23,F23&gt;N23),1,0)</f>
        <v>1</v>
      </c>
      <c r="AT23">
        <f>ABS(K23)/$B$4</f>
        <v>6.2500000000000003E-3</v>
      </c>
      <c r="AU23">
        <f t="shared" ca="1" si="40"/>
        <v>0</v>
      </c>
      <c r="AV23">
        <f ca="1">IF(AND(L23&lt;&gt;$L$15,$Q$15&gt;Safety_Distance),1,0)</f>
        <v>1</v>
      </c>
      <c r="AW23">
        <f ca="1">MAX(1-(IF(Q23/(G23-R23)&gt;0,Q23/(G23-R23),Collision_Time_Buffer)/Collision_Time_Buffer),0)*IF($L$15&lt;&gt;L23,Lane_Change_Multiplier,1)</f>
        <v>0</v>
      </c>
      <c r="AX23">
        <f ca="1">MAX(1-(IF(T23/(G23-U23)&gt;0,T23/(G23-U23),Collision_Time_Buffer)/Collision_Time_Buffer),0)*IF($L$15&lt;&gt;L23,Lane_Change_Multiplier,1)</f>
        <v>0</v>
      </c>
      <c r="AY23">
        <f ca="1">MAX(1-(IF(W23/(G23-X23)&gt;0,W23/(G23-X23),Collision_Time_Buffer)/Collision_Time_Buffer),0)*IF($L$15&lt;&gt;L23,Lane_Change_Multiplier,1)</f>
        <v>0</v>
      </c>
      <c r="AZ23">
        <f ca="1">MAX(1-(IF(Z23/(G23-AA23)&gt;0,Z23/(G23-AA23),Collision_Time_Buffer)/Collision_Time_Buffer),0)*IF($L$15&lt;&gt;L23,Lane_Change_Multiplier,1)</f>
        <v>0</v>
      </c>
      <c r="BA23">
        <f t="shared" ca="1" si="41"/>
        <v>0</v>
      </c>
      <c r="BB23">
        <f t="shared" ca="1" si="42"/>
        <v>0</v>
      </c>
      <c r="BC23">
        <f t="shared" si="43"/>
        <v>0</v>
      </c>
      <c r="BE23">
        <f t="shared" si="7"/>
        <v>0.66403677026784902</v>
      </c>
      <c r="BF23">
        <f t="shared" si="44"/>
        <v>0</v>
      </c>
      <c r="BG23">
        <f t="shared" si="45"/>
        <v>0</v>
      </c>
      <c r="BH23">
        <f t="shared" si="8"/>
        <v>-0.39895488496538972</v>
      </c>
      <c r="BI23">
        <f t="shared" si="9"/>
        <v>1</v>
      </c>
      <c r="BJ23">
        <f t="shared" si="10"/>
        <v>1</v>
      </c>
      <c r="BK23">
        <f t="shared" si="11"/>
        <v>2.1561352977903177</v>
      </c>
      <c r="BL23">
        <f t="shared" si="46"/>
        <v>0</v>
      </c>
      <c r="BM23">
        <f t="shared" si="12"/>
        <v>2.068014979875362</v>
      </c>
      <c r="BN23">
        <f t="shared" si="13"/>
        <v>5.0175000000000001</v>
      </c>
      <c r="BO23">
        <f t="shared" si="14"/>
        <v>6.2500000000000003E-3</v>
      </c>
      <c r="BP23">
        <f t="shared" si="15"/>
        <v>0.97365203791238142</v>
      </c>
      <c r="BQ23">
        <f t="shared" si="16"/>
        <v>-0.40144997355927659</v>
      </c>
    </row>
    <row r="24" spans="1:69" x14ac:dyDescent="0.25">
      <c r="A24" s="1" t="s">
        <v>35</v>
      </c>
      <c r="B24">
        <f t="shared" ca="1" si="2"/>
        <v>215.99211031080355</v>
      </c>
      <c r="C24" t="s">
        <v>546</v>
      </c>
      <c r="D24">
        <f t="shared" si="17"/>
        <v>130</v>
      </c>
      <c r="E24">
        <f t="shared" si="18"/>
        <v>274.98</v>
      </c>
      <c r="F24">
        <f t="shared" si="19"/>
        <v>-13.84</v>
      </c>
      <c r="G24">
        <f t="shared" si="20"/>
        <v>142.15</v>
      </c>
      <c r="H24">
        <f t="shared" si="21"/>
        <v>34.53</v>
      </c>
      <c r="I24">
        <f t="shared" si="22"/>
        <v>29.25</v>
      </c>
      <c r="J24">
        <f t="shared" si="23"/>
        <v>30.75</v>
      </c>
      <c r="K24">
        <f t="shared" si="24"/>
        <v>0.1</v>
      </c>
      <c r="L24">
        <f t="shared" si="3"/>
        <v>3</v>
      </c>
      <c r="M24">
        <f t="shared" si="0"/>
        <v>8</v>
      </c>
      <c r="N24">
        <f t="shared" si="1"/>
        <v>12</v>
      </c>
      <c r="O24">
        <f t="shared" si="4"/>
        <v>10</v>
      </c>
      <c r="P24" t="e">
        <f t="shared" si="5"/>
        <v>#VALUE!</v>
      </c>
      <c r="Q24">
        <f t="shared" ca="1" si="25"/>
        <v>1000000</v>
      </c>
      <c r="R24">
        <f t="shared" ca="1" si="26"/>
        <v>100</v>
      </c>
      <c r="S24">
        <f t="shared" si="27"/>
        <v>47</v>
      </c>
      <c r="T24">
        <f t="shared" ca="1" si="28"/>
        <v>-34.983542</v>
      </c>
      <c r="U24">
        <f t="shared" ca="1" si="29"/>
        <v>21.706764</v>
      </c>
      <c r="V24" t="e">
        <f t="shared" si="30"/>
        <v>#VALUE!</v>
      </c>
      <c r="W24">
        <f t="shared" ca="1" si="31"/>
        <v>1000000000</v>
      </c>
      <c r="X24">
        <f t="shared" ca="1" si="32"/>
        <v>100</v>
      </c>
      <c r="Y24">
        <f>GetFollowingCarRow($B$45:$E$54,L24,$E$15,E24)</f>
        <v>47</v>
      </c>
      <c r="Z24">
        <f t="shared" ca="1" si="33"/>
        <v>-182.56354200000001</v>
      </c>
      <c r="AA24">
        <f t="shared" ca="1" si="34"/>
        <v>21.706764</v>
      </c>
      <c r="AB24">
        <f t="shared" si="35"/>
        <v>20.009999999999998</v>
      </c>
      <c r="AC24">
        <f t="shared" si="36"/>
        <v>147.58000000000001</v>
      </c>
      <c r="AD24">
        <f t="shared" si="37"/>
        <v>23.443844694403033</v>
      </c>
      <c r="AE24">
        <f t="shared" si="38"/>
        <v>-3459.8425999999999</v>
      </c>
      <c r="AF24">
        <f t="shared" si="39"/>
        <v>148.93037467219372</v>
      </c>
      <c r="AG24">
        <f>GetSmallestNormalDistance($B$45:$E$54,AB24,AC24,AF24,$L$15,L24)</f>
        <v>22.312367628256723</v>
      </c>
      <c r="AH24">
        <f t="shared" si="6"/>
        <v>0.66403677026784902</v>
      </c>
      <c r="AI24">
        <f>IF(G24&lt;=0,1,0)</f>
        <v>0</v>
      </c>
      <c r="AJ24">
        <f>IF(G24&lt;0,1,0)</f>
        <v>0</v>
      </c>
      <c r="AK24">
        <f>MAX(($B$3-G24)/(G24 + 1),0) / $B$3</f>
        <v>0</v>
      </c>
      <c r="AL24">
        <f>IF(H24+ABS(K24)&lt;0,Logistic(SQRT(H24^2+K24^2)/$B$4),0)</f>
        <v>0</v>
      </c>
      <c r="AM24">
        <f>IF(G24&gt;$B$3,1,0)</f>
        <v>1</v>
      </c>
      <c r="AN24">
        <f>IF(H24&gt;$B$4,1,0)</f>
        <v>1</v>
      </c>
      <c r="AO24">
        <f>ABS(H24)/$B$4</f>
        <v>4.3162500000000001</v>
      </c>
      <c r="AP24">
        <f>Logistic(I24/$B$5)</f>
        <v>0.94964231659879628</v>
      </c>
      <c r="AQ24">
        <f>IF(I24&gt;$B$5,1,0)</f>
        <v>1</v>
      </c>
      <c r="AR24">
        <f>Logistic(ABS(F24-O24)/($B$6/2))</f>
        <v>0.99998668819703584</v>
      </c>
      <c r="AS24">
        <f>IF(OR(F24&lt;M24,F24&gt;N24),1,0)</f>
        <v>1</v>
      </c>
      <c r="AT24">
        <f>ABS(K24)/$B$4</f>
        <v>1.2500000000000001E-2</v>
      </c>
      <c r="AU24">
        <f t="shared" ca="1" si="40"/>
        <v>0</v>
      </c>
      <c r="AV24">
        <f ca="1">IF(AND(L24&lt;&gt;$L$15,$Q$15&gt;Safety_Distance),1,0)</f>
        <v>1</v>
      </c>
      <c r="AW24">
        <f ca="1">MAX(1-(IF(Q24/(G24-R24)&gt;0,Q24/(G24-R24),Collision_Time_Buffer)/Collision_Time_Buffer),0)*IF($L$15&lt;&gt;L24,Lane_Change_Multiplier,1)</f>
        <v>0</v>
      </c>
      <c r="AX24">
        <f ca="1">MAX(1-(IF(T24/(G24-U24)&gt;0,T24/(G24-U24),Collision_Time_Buffer)/Collision_Time_Buffer),0)*IF($L$15&lt;&gt;L24,Lane_Change_Multiplier,1)</f>
        <v>0</v>
      </c>
      <c r="AY24">
        <f ca="1">MAX(1-(IF(W24/(G24-X24)&gt;0,W24/(G24-X24),Collision_Time_Buffer)/Collision_Time_Buffer),0)*IF($L$15&lt;&gt;L24,Lane_Change_Multiplier,1)</f>
        <v>0</v>
      </c>
      <c r="AZ24">
        <f ca="1">MAX(1-(IF(Z24/(G24-AA24)&gt;0,Z24/(G24-AA24),Collision_Time_Buffer)/Collision_Time_Buffer),0)*IF($L$15&lt;&gt;L24,Lane_Change_Multiplier,1)</f>
        <v>0</v>
      </c>
      <c r="BA24">
        <f t="shared" ca="1" si="41"/>
        <v>0</v>
      </c>
      <c r="BB24">
        <f t="shared" ca="1" si="42"/>
        <v>0</v>
      </c>
      <c r="BC24">
        <f t="shared" si="43"/>
        <v>0</v>
      </c>
      <c r="BE24">
        <f t="shared" si="7"/>
        <v>0.66403677026784902</v>
      </c>
      <c r="BF24">
        <f t="shared" si="44"/>
        <v>0</v>
      </c>
      <c r="BG24">
        <f t="shared" si="45"/>
        <v>0</v>
      </c>
      <c r="BH24">
        <f t="shared" si="8"/>
        <v>-0.39894121160685897</v>
      </c>
      <c r="BI24">
        <f t="shared" si="9"/>
        <v>1</v>
      </c>
      <c r="BJ24">
        <f t="shared" si="10"/>
        <v>1</v>
      </c>
      <c r="BK24">
        <f t="shared" si="11"/>
        <v>2.1561352977903177</v>
      </c>
      <c r="BL24">
        <f t="shared" si="46"/>
        <v>0</v>
      </c>
      <c r="BM24">
        <f t="shared" si="12"/>
        <v>2.067821683737086</v>
      </c>
      <c r="BN24">
        <f t="shared" si="13"/>
        <v>5.46</v>
      </c>
      <c r="BO24">
        <f t="shared" si="14"/>
        <v>1.2500000000000001E-2</v>
      </c>
      <c r="BP24">
        <f t="shared" si="15"/>
        <v>0.97365203791238142</v>
      </c>
      <c r="BQ24">
        <f t="shared" si="16"/>
        <v>-0.4014367626696399</v>
      </c>
    </row>
    <row r="25" spans="1:69" x14ac:dyDescent="0.25">
      <c r="A25" s="1" t="s">
        <v>36</v>
      </c>
      <c r="B25">
        <f t="shared" ca="1" si="2"/>
        <v>191.32867541064329</v>
      </c>
      <c r="C25" t="s">
        <v>545</v>
      </c>
      <c r="D25">
        <f t="shared" si="17"/>
        <v>61</v>
      </c>
      <c r="E25">
        <f t="shared" si="18"/>
        <v>143.59</v>
      </c>
      <c r="F25">
        <f t="shared" si="19"/>
        <v>9.06</v>
      </c>
      <c r="G25">
        <f t="shared" si="20"/>
        <v>46.81</v>
      </c>
      <c r="H25">
        <f t="shared" si="21"/>
        <v>34.49</v>
      </c>
      <c r="I25">
        <f t="shared" si="22"/>
        <v>29.21</v>
      </c>
      <c r="J25">
        <f t="shared" si="23"/>
        <v>-10.78</v>
      </c>
      <c r="K25">
        <f t="shared" si="24"/>
        <v>0.21</v>
      </c>
      <c r="L25">
        <f t="shared" si="3"/>
        <v>3</v>
      </c>
      <c r="M25">
        <f t="shared" si="0"/>
        <v>8</v>
      </c>
      <c r="N25">
        <f t="shared" si="1"/>
        <v>12</v>
      </c>
      <c r="O25">
        <f t="shared" si="4"/>
        <v>10</v>
      </c>
      <c r="P25" t="e">
        <f t="shared" si="5"/>
        <v>#VALUE!</v>
      </c>
      <c r="Q25">
        <f t="shared" ca="1" si="25"/>
        <v>1000000</v>
      </c>
      <c r="R25">
        <f t="shared" ca="1" si="26"/>
        <v>100</v>
      </c>
      <c r="S25">
        <f t="shared" si="27"/>
        <v>47</v>
      </c>
      <c r="T25">
        <f t="shared" ca="1" si="28"/>
        <v>-34.983542</v>
      </c>
      <c r="U25">
        <f t="shared" ca="1" si="29"/>
        <v>21.706764</v>
      </c>
      <c r="V25" t="e">
        <f t="shared" si="30"/>
        <v>#VALUE!</v>
      </c>
      <c r="W25">
        <f t="shared" ca="1" si="31"/>
        <v>1000000000</v>
      </c>
      <c r="X25">
        <f t="shared" ca="1" si="32"/>
        <v>100</v>
      </c>
      <c r="Y25">
        <f>GetFollowingCarRow($B$45:$E$54,L25,$E$15,E25)</f>
        <v>47</v>
      </c>
      <c r="Z25">
        <f t="shared" ca="1" si="33"/>
        <v>-51.173541999999998</v>
      </c>
      <c r="AA25">
        <f t="shared" ca="1" si="34"/>
        <v>21.706764</v>
      </c>
      <c r="AB25">
        <f t="shared" si="35"/>
        <v>-2.8900000000000006</v>
      </c>
      <c r="AC25">
        <f t="shared" si="36"/>
        <v>16.189999999999998</v>
      </c>
      <c r="AD25">
        <f t="shared" si="37"/>
        <v>-16.571568869672646</v>
      </c>
      <c r="AE25">
        <f t="shared" si="38"/>
        <v>268.29370000000011</v>
      </c>
      <c r="AF25">
        <f t="shared" si="39"/>
        <v>16.445917426522605</v>
      </c>
      <c r="AG25">
        <f>GetSmallestNormalDistance($B$45:$E$54,AB25,AC25,AF25,$L$15,L25)</f>
        <v>6.4094932636596864</v>
      </c>
      <c r="AH25">
        <f t="shared" si="6"/>
        <v>0.10955847021442952</v>
      </c>
      <c r="AI25">
        <f>IF(G25&lt;=0,1,0)</f>
        <v>0</v>
      </c>
      <c r="AJ25">
        <f>IF(G25&lt;0,1,0)</f>
        <v>0</v>
      </c>
      <c r="AK25">
        <f>MAX(($B$3-G25)/(G25 + 1),0) / $B$3</f>
        <v>0</v>
      </c>
      <c r="AL25">
        <f>IF(H25+ABS(K25)&lt;0,Logistic(SQRT(H25^2+K25^2)/$B$4),0)</f>
        <v>0</v>
      </c>
      <c r="AM25">
        <f>IF(G25&gt;$B$3,1,0)</f>
        <v>1</v>
      </c>
      <c r="AN25">
        <f>IF(H25&gt;$B$4,1,0)</f>
        <v>1</v>
      </c>
      <c r="AO25">
        <f>ABS(H25)/$B$4</f>
        <v>4.3112500000000002</v>
      </c>
      <c r="AP25">
        <f>Logistic(I25/$B$5)</f>
        <v>0.94939628432841316</v>
      </c>
      <c r="AQ25">
        <f>IF(I25&gt;$B$5,1,0)</f>
        <v>1</v>
      </c>
      <c r="AR25">
        <f>Logistic(ABS(F25-O25)/($B$6/2))</f>
        <v>0.23076751278236418</v>
      </c>
      <c r="AS25">
        <f>IF(OR(F25&lt;M25,F25&gt;N25),1,0)</f>
        <v>0</v>
      </c>
      <c r="AT25">
        <f>ABS(K25)/$B$4</f>
        <v>2.6249999999999999E-2</v>
      </c>
      <c r="AU25">
        <f t="shared" ca="1" si="40"/>
        <v>0</v>
      </c>
      <c r="AV25">
        <f ca="1">IF(AND(L25&lt;&gt;$L$15,$Q$15&gt;Safety_Distance),1,0)</f>
        <v>1</v>
      </c>
      <c r="AW25">
        <f ca="1">MAX(1-(IF(Q25/(G25-R25)&gt;0,Q25/(G25-R25),Collision_Time_Buffer)/Collision_Time_Buffer),0)*IF($L$15&lt;&gt;L25,Lane_Change_Multiplier,1)</f>
        <v>0</v>
      </c>
      <c r="AX25">
        <f ca="1">MAX(1-(IF(T25/(G25-U25)&gt;0,T25/(G25-U25),Collision_Time_Buffer)/Collision_Time_Buffer),0)*IF($L$15&lt;&gt;L25,Lane_Change_Multiplier,1)</f>
        <v>0</v>
      </c>
      <c r="AY25">
        <f ca="1">MAX(1-(IF(W25/(G25-X25)&gt;0,W25/(G25-X25),Collision_Time_Buffer)/Collision_Time_Buffer),0)*IF($L$15&lt;&gt;L25,Lane_Change_Multiplier,1)</f>
        <v>0</v>
      </c>
      <c r="AZ25">
        <f ca="1">MAX(1-(IF(Z25/(G25-AA25)&gt;0,Z25/(G25-AA25),Collision_Time_Buffer)/Collision_Time_Buffer),0)*IF($L$15&lt;&gt;L25,Lane_Change_Multiplier,1)</f>
        <v>0</v>
      </c>
      <c r="BA25">
        <f t="shared" ca="1" si="41"/>
        <v>0</v>
      </c>
      <c r="BB25">
        <f t="shared" ca="1" si="42"/>
        <v>0</v>
      </c>
      <c r="BC25">
        <f t="shared" si="43"/>
        <v>0</v>
      </c>
      <c r="BE25">
        <f t="shared" si="7"/>
        <v>0.10955847021442952</v>
      </c>
      <c r="BF25">
        <f t="shared" si="44"/>
        <v>0</v>
      </c>
      <c r="BG25">
        <f t="shared" si="45"/>
        <v>0</v>
      </c>
      <c r="BH25">
        <f t="shared" si="8"/>
        <v>-0.26141056560104176</v>
      </c>
      <c r="BI25">
        <f t="shared" si="9"/>
        <v>1</v>
      </c>
      <c r="BJ25">
        <f t="shared" si="10"/>
        <v>1</v>
      </c>
      <c r="BK25">
        <f t="shared" si="11"/>
        <v>2.1555560320150491</v>
      </c>
      <c r="BL25">
        <f t="shared" si="46"/>
        <v>0</v>
      </c>
      <c r="BM25">
        <f t="shared" si="12"/>
        <v>2.0670473569039634</v>
      </c>
      <c r="BN25">
        <f t="shared" si="13"/>
        <v>0</v>
      </c>
      <c r="BO25">
        <f t="shared" si="14"/>
        <v>2.6249999999999999E-2</v>
      </c>
      <c r="BP25">
        <f t="shared" si="15"/>
        <v>0.97352171669240761</v>
      </c>
      <c r="BQ25">
        <f t="shared" si="16"/>
        <v>-0.26672906545982078</v>
      </c>
    </row>
    <row r="26" spans="1:69" x14ac:dyDescent="0.25">
      <c r="A26" s="1" t="s">
        <v>79</v>
      </c>
      <c r="B26">
        <f t="shared" ca="1" si="2"/>
        <v>186.9172813133062</v>
      </c>
      <c r="C26" t="s">
        <v>544</v>
      </c>
      <c r="D26">
        <f t="shared" si="17"/>
        <v>130</v>
      </c>
      <c r="E26">
        <f t="shared" si="18"/>
        <v>136.86000000000001</v>
      </c>
      <c r="F26">
        <f t="shared" si="19"/>
        <v>6.53</v>
      </c>
      <c r="G26">
        <f t="shared" si="20"/>
        <v>4.72</v>
      </c>
      <c r="H26">
        <f t="shared" si="21"/>
        <v>0</v>
      </c>
      <c r="I26">
        <f t="shared" si="22"/>
        <v>5.28</v>
      </c>
      <c r="J26">
        <f t="shared" si="23"/>
        <v>-0.3</v>
      </c>
      <c r="K26">
        <f t="shared" si="24"/>
        <v>0.05</v>
      </c>
      <c r="L26">
        <f t="shared" si="3"/>
        <v>3</v>
      </c>
      <c r="M26">
        <f t="shared" si="0"/>
        <v>8</v>
      </c>
      <c r="N26">
        <f t="shared" si="1"/>
        <v>12</v>
      </c>
      <c r="O26">
        <f t="shared" si="4"/>
        <v>10</v>
      </c>
      <c r="P26" t="e">
        <f t="shared" si="5"/>
        <v>#VALUE!</v>
      </c>
      <c r="Q26">
        <f t="shared" ca="1" si="25"/>
        <v>1000000</v>
      </c>
      <c r="R26">
        <f t="shared" ca="1" si="26"/>
        <v>100</v>
      </c>
      <c r="S26">
        <f t="shared" si="27"/>
        <v>47</v>
      </c>
      <c r="T26">
        <f t="shared" ca="1" si="28"/>
        <v>-34.983542</v>
      </c>
      <c r="U26">
        <f t="shared" ca="1" si="29"/>
        <v>21.706764</v>
      </c>
      <c r="V26" t="e">
        <f t="shared" si="30"/>
        <v>#VALUE!</v>
      </c>
      <c r="W26">
        <f t="shared" ca="1" si="31"/>
        <v>1000000000</v>
      </c>
      <c r="X26">
        <f t="shared" ca="1" si="32"/>
        <v>100</v>
      </c>
      <c r="Y26">
        <f>GetFollowingCarRow($B$45:$E$54,L26,$E$15,E26)</f>
        <v>47</v>
      </c>
      <c r="Z26">
        <f t="shared" ca="1" si="33"/>
        <v>-44.443542000000008</v>
      </c>
      <c r="AA26">
        <f t="shared" ca="1" si="34"/>
        <v>21.706764</v>
      </c>
      <c r="AB26">
        <f t="shared" si="35"/>
        <v>-0.36000000000000032</v>
      </c>
      <c r="AC26">
        <f t="shared" si="36"/>
        <v>9.460000000000008</v>
      </c>
      <c r="AD26">
        <f t="shared" si="37"/>
        <v>1.321797040169133</v>
      </c>
      <c r="AE26">
        <f t="shared" si="38"/>
        <v>-12.50420000000001</v>
      </c>
      <c r="AF26">
        <f t="shared" si="39"/>
        <v>9.4668474161148364</v>
      </c>
      <c r="AG26">
        <f>GetSmallestNormalDistance($B$45:$E$54,AB26,AC26,AF26,$L$15,L26)</f>
        <v>4.3447553395637302</v>
      </c>
      <c r="AH26">
        <f t="shared" si="6"/>
        <v>0.66403677026784902</v>
      </c>
      <c r="AI26">
        <f>IF(G26&lt;=0,1,0)</f>
        <v>0</v>
      </c>
      <c r="AJ26">
        <f>IF(G26&lt;0,1,0)</f>
        <v>0</v>
      </c>
      <c r="AK26">
        <f>MAX(($B$3-G26)/(G26 + 1),0) / $B$3</f>
        <v>0.13593851953889655</v>
      </c>
      <c r="AL26">
        <f>IF(H26+ABS(K26)&lt;0,Logistic(SQRT(H26^2+K26^2)/$B$4),0)</f>
        <v>0</v>
      </c>
      <c r="AM26">
        <f>IF(G26&gt;$B$3,1,0)</f>
        <v>0</v>
      </c>
      <c r="AN26">
        <f>IF(H26&gt;$B$4,1,0)</f>
        <v>0</v>
      </c>
      <c r="AO26">
        <f>ABS(H26)/$B$4</f>
        <v>0</v>
      </c>
      <c r="AP26">
        <f>Logistic(I26/$B$5)</f>
        <v>0.31852077690277092</v>
      </c>
      <c r="AQ26">
        <f>IF(I26&gt;$B$5,1,0)</f>
        <v>0</v>
      </c>
      <c r="AR26">
        <f>Logistic(ABS(F26-O26)/($B$6/2))</f>
        <v>0.70010171667192245</v>
      </c>
      <c r="AS26">
        <f>IF(OR(F26&lt;M26,F26&gt;N26),1,0)</f>
        <v>1</v>
      </c>
      <c r="AT26">
        <f>ABS(K26)/$B$4</f>
        <v>6.2500000000000003E-3</v>
      </c>
      <c r="AU26">
        <f t="shared" ca="1" si="40"/>
        <v>0</v>
      </c>
      <c r="AV26">
        <f ca="1">IF(AND(L26&lt;&gt;$L$15,$Q$15&gt;Safety_Distance),1,0)</f>
        <v>1</v>
      </c>
      <c r="AW26">
        <f ca="1">MAX(1-(IF(Q26/(G26-R26)&gt;0,Q26/(G26-R26),Collision_Time_Buffer)/Collision_Time_Buffer),0)*IF($L$15&lt;&gt;L26,Lane_Change_Multiplier,1)</f>
        <v>0</v>
      </c>
      <c r="AX26">
        <f ca="1">MAX(1-(IF(T26/(G26-U26)&gt;0,T26/(G26-U26),Collision_Time_Buffer)/Collision_Time_Buffer),0)*IF($L$15&lt;&gt;L26,Lane_Change_Multiplier,1)</f>
        <v>0.79405411177785246</v>
      </c>
      <c r="AY26">
        <f ca="1">MAX(1-(IF(W26/(G26-X26)&gt;0,W26/(G26-X26),Collision_Time_Buffer)/Collision_Time_Buffer),0)*IF($L$15&lt;&gt;L26,Lane_Change_Multiplier,1)</f>
        <v>0</v>
      </c>
      <c r="AZ26">
        <f ca="1">MAX(1-(IF(Z26/(G26-AA26)&gt;0,Z26/(G26-AA26),Collision_Time_Buffer)/Collision_Time_Buffer),0)*IF($L$15&lt;&gt;L26,Lane_Change_Multiplier,1)</f>
        <v>0.73836369304948246</v>
      </c>
      <c r="BA26">
        <f t="shared" ca="1" si="41"/>
        <v>0</v>
      </c>
      <c r="BB26">
        <f t="shared" ca="1" si="42"/>
        <v>0</v>
      </c>
      <c r="BC26">
        <f t="shared" si="43"/>
        <v>0</v>
      </c>
      <c r="BE26">
        <f t="shared" si="7"/>
        <v>0.66403677026784902</v>
      </c>
      <c r="BF26">
        <f t="shared" si="44"/>
        <v>0</v>
      </c>
      <c r="BG26">
        <f t="shared" si="45"/>
        <v>0</v>
      </c>
      <c r="BH26">
        <f t="shared" si="8"/>
        <v>0.89416131883079208</v>
      </c>
      <c r="BI26">
        <f t="shared" si="9"/>
        <v>0</v>
      </c>
      <c r="BJ26">
        <f t="shared" si="10"/>
        <v>0</v>
      </c>
      <c r="BK26">
        <f t="shared" si="11"/>
        <v>0</v>
      </c>
      <c r="BL26">
        <f t="shared" si="46"/>
        <v>0</v>
      </c>
      <c r="BM26">
        <f t="shared" si="12"/>
        <v>0.59741007108313038</v>
      </c>
      <c r="BN26">
        <f t="shared" si="13"/>
        <v>0.36749999999999994</v>
      </c>
      <c r="BO26">
        <f t="shared" si="14"/>
        <v>6.2500000000000003E-3</v>
      </c>
      <c r="BP26">
        <f t="shared" si="15"/>
        <v>0</v>
      </c>
      <c r="BQ26">
        <f t="shared" si="16"/>
        <v>0.94113392966352194</v>
      </c>
    </row>
    <row r="27" spans="1:69" x14ac:dyDescent="0.25">
      <c r="A27" s="1" t="s">
        <v>80</v>
      </c>
      <c r="B27">
        <f t="shared" ca="1" si="2"/>
        <v>187.08028558718442</v>
      </c>
      <c r="C27" t="s">
        <v>543</v>
      </c>
      <c r="D27">
        <f t="shared" si="17"/>
        <v>130</v>
      </c>
      <c r="E27">
        <f t="shared" si="18"/>
        <v>136.83000000000001</v>
      </c>
      <c r="F27">
        <f t="shared" si="19"/>
        <v>6.77</v>
      </c>
      <c r="G27">
        <f t="shared" si="20"/>
        <v>4.7</v>
      </c>
      <c r="H27">
        <f t="shared" si="21"/>
        <v>-0.01</v>
      </c>
      <c r="I27">
        <f t="shared" si="22"/>
        <v>5.29</v>
      </c>
      <c r="J27">
        <f t="shared" si="23"/>
        <v>-0.51</v>
      </c>
      <c r="K27">
        <f t="shared" si="24"/>
        <v>0.1</v>
      </c>
      <c r="L27">
        <f t="shared" si="3"/>
        <v>3</v>
      </c>
      <c r="M27">
        <f t="shared" si="0"/>
        <v>8</v>
      </c>
      <c r="N27">
        <f t="shared" si="1"/>
        <v>12</v>
      </c>
      <c r="O27">
        <f t="shared" si="4"/>
        <v>10</v>
      </c>
      <c r="P27" t="e">
        <f t="shared" si="5"/>
        <v>#VALUE!</v>
      </c>
      <c r="Q27">
        <f t="shared" ca="1" si="25"/>
        <v>1000000</v>
      </c>
      <c r="R27">
        <f t="shared" ca="1" si="26"/>
        <v>100</v>
      </c>
      <c r="S27">
        <f t="shared" si="27"/>
        <v>47</v>
      </c>
      <c r="T27">
        <f t="shared" ca="1" si="28"/>
        <v>-34.983542</v>
      </c>
      <c r="U27">
        <f t="shared" ca="1" si="29"/>
        <v>21.706764</v>
      </c>
      <c r="V27" t="e">
        <f t="shared" si="30"/>
        <v>#VALUE!</v>
      </c>
      <c r="W27">
        <f t="shared" ca="1" si="31"/>
        <v>1000000000</v>
      </c>
      <c r="X27">
        <f t="shared" ca="1" si="32"/>
        <v>100</v>
      </c>
      <c r="Y27">
        <f>GetFollowingCarRow($B$45:$E$54,L27,$E$15,E27)</f>
        <v>47</v>
      </c>
      <c r="Z27">
        <f t="shared" ca="1" si="33"/>
        <v>-44.413542000000007</v>
      </c>
      <c r="AA27">
        <f t="shared" ca="1" si="34"/>
        <v>21.706764</v>
      </c>
      <c r="AB27">
        <f t="shared" si="35"/>
        <v>-0.59999999999999964</v>
      </c>
      <c r="AC27">
        <f t="shared" si="36"/>
        <v>9.4300000000000068</v>
      </c>
      <c r="AD27">
        <f t="shared" si="37"/>
        <v>-1.9360445387062448</v>
      </c>
      <c r="AE27">
        <f t="shared" si="38"/>
        <v>18.256899999999902</v>
      </c>
      <c r="AF27">
        <f t="shared" si="39"/>
        <v>9.4490687371825235</v>
      </c>
      <c r="AG27">
        <f>GetSmallestNormalDistance($B$45:$E$54,AB27,AC27,AF27,$L$15,L27)</f>
        <v>4.0975717604468311</v>
      </c>
      <c r="AH27">
        <f t="shared" si="6"/>
        <v>0.66403677026784902</v>
      </c>
      <c r="AI27">
        <f>IF(G27&lt;=0,1,0)</f>
        <v>0</v>
      </c>
      <c r="AJ27">
        <f>IF(G27&lt;0,1,0)</f>
        <v>0</v>
      </c>
      <c r="AK27">
        <f>MAX(($B$3-G27)/(G27 + 1),0) / $B$3</f>
        <v>0.13658084891777039</v>
      </c>
      <c r="AL27">
        <f>IF(H27+ABS(K27)&lt;0,Logistic(SQRT(H27^2+K27^2)/$B$4),0)</f>
        <v>0</v>
      </c>
      <c r="AM27">
        <f>IF(G27&gt;$B$3,1,0)</f>
        <v>0</v>
      </c>
      <c r="AN27">
        <f>IF(H27&gt;$B$4,1,0)</f>
        <v>0</v>
      </c>
      <c r="AO27">
        <f>ABS(H27)/$B$4</f>
        <v>1.25E-3</v>
      </c>
      <c r="AP27">
        <f>Logistic(I27/$B$5)</f>
        <v>0.31908225537473806</v>
      </c>
      <c r="AQ27">
        <f>IF(I27&gt;$B$5,1,0)</f>
        <v>0</v>
      </c>
      <c r="AR27">
        <f>Logistic(ABS(F27-O27)/($B$6/2))</f>
        <v>0.66820882780297297</v>
      </c>
      <c r="AS27">
        <f>IF(OR(F27&lt;M27,F27&gt;N27),1,0)</f>
        <v>1</v>
      </c>
      <c r="AT27">
        <f>ABS(K27)/$B$4</f>
        <v>1.2500000000000001E-2</v>
      </c>
      <c r="AU27">
        <f t="shared" ca="1" si="40"/>
        <v>0</v>
      </c>
      <c r="AV27">
        <f ca="1">IF(AND(L27&lt;&gt;$L$15,$Q$15&gt;Safety_Distance),1,0)</f>
        <v>1</v>
      </c>
      <c r="AW27">
        <f ca="1">MAX(1-(IF(Q27/(G27-R27)&gt;0,Q27/(G27-R27),Collision_Time_Buffer)/Collision_Time_Buffer),0)*IF($L$15&lt;&gt;L27,Lane_Change_Multiplier,1)</f>
        <v>0</v>
      </c>
      <c r="AX27">
        <f ca="1">MAX(1-(IF(T27/(G27-U27)&gt;0,T27/(G27-U27),Collision_Time_Buffer)/Collision_Time_Buffer),0)*IF($L$15&lt;&gt;L27,Lane_Change_Multiplier,1)</f>
        <v>0.7942963046938265</v>
      </c>
      <c r="AY27">
        <f ca="1">MAX(1-(IF(W27/(G27-X27)&gt;0,W27/(G27-X27),Collision_Time_Buffer)/Collision_Time_Buffer),0)*IF($L$15&lt;&gt;L27,Lane_Change_Multiplier,1)</f>
        <v>0</v>
      </c>
      <c r="AZ27">
        <f ca="1">MAX(1-(IF(Z27/(G27-AA27)&gt;0,Z27/(G27-AA27),Collision_Time_Buffer)/Collision_Time_Buffer),0)*IF($L$15&lt;&gt;L27,Lane_Change_Multiplier,1)</f>
        <v>0.73884777844862193</v>
      </c>
      <c r="BA27">
        <f t="shared" ca="1" si="41"/>
        <v>0</v>
      </c>
      <c r="BB27">
        <f t="shared" ca="1" si="42"/>
        <v>0</v>
      </c>
      <c r="BC27">
        <f t="shared" si="43"/>
        <v>0</v>
      </c>
      <c r="BE27">
        <f t="shared" si="7"/>
        <v>0.66403677026784902</v>
      </c>
      <c r="BF27">
        <f t="shared" si="44"/>
        <v>0</v>
      </c>
      <c r="BG27">
        <f t="shared" si="45"/>
        <v>0</v>
      </c>
      <c r="BH27">
        <f t="shared" si="8"/>
        <v>0.89551928638172396</v>
      </c>
      <c r="BI27">
        <f t="shared" si="9"/>
        <v>0</v>
      </c>
      <c r="BJ27">
        <f t="shared" si="10"/>
        <v>0</v>
      </c>
      <c r="BK27">
        <f t="shared" si="11"/>
        <v>0</v>
      </c>
      <c r="BL27">
        <f t="shared" si="46"/>
        <v>0</v>
      </c>
      <c r="BM27">
        <f t="shared" si="12"/>
        <v>0.59912361417081894</v>
      </c>
      <c r="BN27">
        <f t="shared" si="13"/>
        <v>0.30750000000000011</v>
      </c>
      <c r="BO27">
        <f t="shared" si="14"/>
        <v>1.2500000000000001E-2</v>
      </c>
      <c r="BP27">
        <f t="shared" si="15"/>
        <v>6.2499991861977931E-4</v>
      </c>
      <c r="BQ27">
        <f t="shared" si="16"/>
        <v>0.94221715985099386</v>
      </c>
    </row>
    <row r="28" spans="1:69" x14ac:dyDescent="0.25">
      <c r="A28" s="1" t="s">
        <v>81</v>
      </c>
      <c r="B28">
        <f t="shared" ca="1" si="2"/>
        <v>188.33952819495101</v>
      </c>
      <c r="C28" t="s">
        <v>542</v>
      </c>
      <c r="D28">
        <f t="shared" si="17"/>
        <v>130</v>
      </c>
      <c r="E28">
        <f t="shared" si="18"/>
        <v>136.68</v>
      </c>
      <c r="F28">
        <f t="shared" si="19"/>
        <v>7.42</v>
      </c>
      <c r="G28">
        <f t="shared" si="20"/>
        <v>4.55</v>
      </c>
      <c r="H28">
        <f t="shared" si="21"/>
        <v>-0.05</v>
      </c>
      <c r="I28">
        <f t="shared" si="22"/>
        <v>5.32</v>
      </c>
      <c r="J28">
        <f t="shared" si="23"/>
        <v>-1.02</v>
      </c>
      <c r="K28">
        <f t="shared" si="24"/>
        <v>0.21</v>
      </c>
      <c r="L28">
        <f t="shared" si="3"/>
        <v>3</v>
      </c>
      <c r="M28">
        <f t="shared" si="0"/>
        <v>8</v>
      </c>
      <c r="N28">
        <f t="shared" si="1"/>
        <v>12</v>
      </c>
      <c r="O28">
        <f t="shared" si="4"/>
        <v>10</v>
      </c>
      <c r="P28" t="e">
        <f t="shared" si="5"/>
        <v>#VALUE!</v>
      </c>
      <c r="Q28">
        <f t="shared" ca="1" si="25"/>
        <v>1000000</v>
      </c>
      <c r="R28">
        <f t="shared" ca="1" si="26"/>
        <v>100</v>
      </c>
      <c r="S28">
        <f t="shared" si="27"/>
        <v>47</v>
      </c>
      <c r="T28">
        <f t="shared" ca="1" si="28"/>
        <v>-34.983542</v>
      </c>
      <c r="U28">
        <f t="shared" ca="1" si="29"/>
        <v>21.706764</v>
      </c>
      <c r="V28" t="e">
        <f t="shared" si="30"/>
        <v>#VALUE!</v>
      </c>
      <c r="W28">
        <f t="shared" ca="1" si="31"/>
        <v>1000000000</v>
      </c>
      <c r="X28">
        <f t="shared" ca="1" si="32"/>
        <v>100</v>
      </c>
      <c r="Y28">
        <f>GetFollowingCarRow($B$45:$E$54,L28,$E$15,E28)</f>
        <v>47</v>
      </c>
      <c r="Z28">
        <f t="shared" ca="1" si="33"/>
        <v>-44.263542000000001</v>
      </c>
      <c r="AA28">
        <f t="shared" ca="1" si="34"/>
        <v>21.706764</v>
      </c>
      <c r="AB28">
        <f t="shared" si="35"/>
        <v>-1.25</v>
      </c>
      <c r="AC28">
        <f t="shared" si="36"/>
        <v>9.2800000000000011</v>
      </c>
      <c r="AD28">
        <f t="shared" si="37"/>
        <v>-10.990560344827584</v>
      </c>
      <c r="AE28">
        <f t="shared" si="38"/>
        <v>101.99239999999999</v>
      </c>
      <c r="AF28">
        <f t="shared" si="39"/>
        <v>9.3638079860706256</v>
      </c>
      <c r="AG28">
        <f>GetSmallestNormalDistance($B$45:$E$54,AB28,AC28,AF28,$L$15,L28)</f>
        <v>2.4402852572363334</v>
      </c>
      <c r="AH28">
        <f t="shared" si="6"/>
        <v>0.66403677026784902</v>
      </c>
      <c r="AI28">
        <f>IF(G28&lt;=0,1,0)</f>
        <v>0</v>
      </c>
      <c r="AJ28">
        <f>IF(G28&lt;0,1,0)</f>
        <v>0</v>
      </c>
      <c r="AK28">
        <f>MAX(($B$3-G28)/(G28 + 1),0) / $B$3</f>
        <v>0.14154588141393043</v>
      </c>
      <c r="AL28">
        <f>IF(H28+ABS(K28)&lt;0,Logistic(SQRT(H28^2+K28^2)/$B$4),0)</f>
        <v>0</v>
      </c>
      <c r="AM28">
        <f>IF(G28&gt;$B$3,1,0)</f>
        <v>0</v>
      </c>
      <c r="AN28">
        <f>IF(H28&gt;$B$4,1,0)</f>
        <v>0</v>
      </c>
      <c r="AO28">
        <f>ABS(H28)/$B$4</f>
        <v>6.2500000000000003E-3</v>
      </c>
      <c r="AP28">
        <f>Logistic(I28/$B$5)</f>
        <v>0.32076534615843222</v>
      </c>
      <c r="AQ28">
        <f>IF(I28&gt;$B$5,1,0)</f>
        <v>0</v>
      </c>
      <c r="AR28">
        <f>Logistic(ABS(F28-O28)/($B$6/2))</f>
        <v>0.56829437835497087</v>
      </c>
      <c r="AS28">
        <f>IF(OR(F28&lt;M28,F28&gt;N28),1,0)</f>
        <v>1</v>
      </c>
      <c r="AT28">
        <f>ABS(K28)/$B$4</f>
        <v>2.6249999999999999E-2</v>
      </c>
      <c r="AU28">
        <f t="shared" ca="1" si="40"/>
        <v>0</v>
      </c>
      <c r="AV28">
        <f ca="1">IF(AND(L28&lt;&gt;$L$15,$Q$15&gt;Safety_Distance),1,0)</f>
        <v>1</v>
      </c>
      <c r="AW28">
        <f ca="1">MAX(1-(IF(Q28/(G28-R28)&gt;0,Q28/(G28-R28),Collision_Time_Buffer)/Collision_Time_Buffer),0)*IF($L$15&lt;&gt;L28,Lane_Change_Multiplier,1)</f>
        <v>0</v>
      </c>
      <c r="AX28">
        <f ca="1">MAX(1-(IF(T28/(G28-U28)&gt;0,T28/(G28-U28),Collision_Time_Buffer)/Collision_Time_Buffer),0)*IF($L$15&lt;&gt;L28,Lane_Change_Multiplier,1)</f>
        <v>0.79609475306648736</v>
      </c>
      <c r="AY28">
        <f ca="1">MAX(1-(IF(W28/(G28-X28)&gt;0,W28/(G28-X28),Collision_Time_Buffer)/Collision_Time_Buffer),0)*IF($L$15&lt;&gt;L28,Lane_Change_Multiplier,1)</f>
        <v>0</v>
      </c>
      <c r="AZ28">
        <f ca="1">MAX(1-(IF(Z28/(G28-AA28)&gt;0,Z28/(G28-AA28),Collision_Time_Buffer)/Collision_Time_Buffer),0)*IF($L$15&lt;&gt;L28,Lane_Change_Multiplier,1)</f>
        <v>0.74200529890135458</v>
      </c>
      <c r="BA28">
        <f t="shared" ca="1" si="41"/>
        <v>0</v>
      </c>
      <c r="BB28">
        <f t="shared" ca="1" si="42"/>
        <v>0</v>
      </c>
      <c r="BC28">
        <f t="shared" si="43"/>
        <v>0</v>
      </c>
      <c r="BE28">
        <f t="shared" si="7"/>
        <v>0.66403677026784902</v>
      </c>
      <c r="BF28">
        <f t="shared" si="44"/>
        <v>0</v>
      </c>
      <c r="BG28">
        <f t="shared" si="45"/>
        <v>0</v>
      </c>
      <c r="BH28">
        <f t="shared" si="8"/>
        <v>0.90547332068958786</v>
      </c>
      <c r="BI28">
        <f t="shared" si="9"/>
        <v>0</v>
      </c>
      <c r="BJ28">
        <f t="shared" si="10"/>
        <v>0</v>
      </c>
      <c r="BK28">
        <f t="shared" si="11"/>
        <v>8.8547718835134325E-70</v>
      </c>
      <c r="BL28">
        <f t="shared" si="46"/>
        <v>0</v>
      </c>
      <c r="BM28">
        <f t="shared" si="12"/>
        <v>0.60425474996888673</v>
      </c>
      <c r="BN28">
        <f t="shared" si="13"/>
        <v>0.14500000000000002</v>
      </c>
      <c r="BO28">
        <f t="shared" si="14"/>
        <v>2.6249999999999999E-2</v>
      </c>
      <c r="BP28">
        <f t="shared" si="15"/>
        <v>3.1249898275137089E-3</v>
      </c>
      <c r="BQ28">
        <f t="shared" si="16"/>
        <v>0.95000851190229518</v>
      </c>
    </row>
    <row r="29" spans="1:69" x14ac:dyDescent="0.25">
      <c r="A29" s="1" t="s">
        <v>22</v>
      </c>
      <c r="B29">
        <f t="shared" ca="1" si="2"/>
        <v>215.99211031080355</v>
      </c>
      <c r="C29" t="s">
        <v>541</v>
      </c>
      <c r="D29">
        <f t="shared" si="17"/>
        <v>130</v>
      </c>
      <c r="E29">
        <f t="shared" si="18"/>
        <v>248.23</v>
      </c>
      <c r="F29">
        <f t="shared" si="19"/>
        <v>-6.83</v>
      </c>
      <c r="G29">
        <f t="shared" si="20"/>
        <v>115.54</v>
      </c>
      <c r="H29">
        <f t="shared" si="21"/>
        <v>27.84</v>
      </c>
      <c r="I29">
        <f t="shared" si="22"/>
        <v>22.56</v>
      </c>
      <c r="J29">
        <f t="shared" si="23"/>
        <v>22.6</v>
      </c>
      <c r="K29">
        <f t="shared" si="24"/>
        <v>0.05</v>
      </c>
      <c r="L29">
        <f t="shared" si="3"/>
        <v>3</v>
      </c>
      <c r="M29">
        <f t="shared" si="0"/>
        <v>8</v>
      </c>
      <c r="N29">
        <f t="shared" si="1"/>
        <v>12</v>
      </c>
      <c r="O29">
        <f t="shared" si="4"/>
        <v>10</v>
      </c>
      <c r="P29" t="e">
        <f t="shared" si="5"/>
        <v>#VALUE!</v>
      </c>
      <c r="Q29">
        <f t="shared" ca="1" si="25"/>
        <v>1000000</v>
      </c>
      <c r="R29">
        <f t="shared" ca="1" si="26"/>
        <v>100</v>
      </c>
      <c r="S29">
        <f t="shared" si="27"/>
        <v>47</v>
      </c>
      <c r="T29">
        <f t="shared" ca="1" si="28"/>
        <v>-34.983542</v>
      </c>
      <c r="U29">
        <f t="shared" ca="1" si="29"/>
        <v>21.706764</v>
      </c>
      <c r="V29" t="e">
        <f t="shared" si="30"/>
        <v>#VALUE!</v>
      </c>
      <c r="W29">
        <f t="shared" ca="1" si="31"/>
        <v>1000000000</v>
      </c>
      <c r="X29">
        <f t="shared" ca="1" si="32"/>
        <v>100</v>
      </c>
      <c r="Y29">
        <f>GetFollowingCarRow($B$45:$E$54,L29,$E$15,E29)</f>
        <v>47</v>
      </c>
      <c r="Z29">
        <f t="shared" ca="1" si="33"/>
        <v>-155.81354199999998</v>
      </c>
      <c r="AA29">
        <f t="shared" ca="1" si="34"/>
        <v>21.706764</v>
      </c>
      <c r="AB29">
        <f t="shared" si="35"/>
        <v>13</v>
      </c>
      <c r="AC29">
        <f t="shared" si="36"/>
        <v>120.82999999999998</v>
      </c>
      <c r="AD29">
        <f t="shared" si="37"/>
        <v>19.876860878920802</v>
      </c>
      <c r="AE29">
        <f t="shared" si="38"/>
        <v>-2401.7211000000002</v>
      </c>
      <c r="AF29">
        <f t="shared" si="39"/>
        <v>121.52731750516011</v>
      </c>
      <c r="AG29">
        <f>GetSmallestNormalDistance($B$45:$E$54,AB29,AC29,AF29,$L$15,L29)</f>
        <v>19.814672742346627</v>
      </c>
      <c r="AH29">
        <f t="shared" si="6"/>
        <v>0.66403677026784902</v>
      </c>
      <c r="AI29">
        <f>IF(G29&lt;=0,1,0)</f>
        <v>0</v>
      </c>
      <c r="AJ29">
        <f>IF(G29&lt;0,1,0)</f>
        <v>0</v>
      </c>
      <c r="AK29">
        <f>MAX(($B$3-G29)/(G29 + 1),0) / $B$3</f>
        <v>0</v>
      </c>
      <c r="AL29">
        <f>IF(H29+ABS(K29)&lt;0,Logistic(SQRT(H29^2+K29^2)/$B$4),0)</f>
        <v>0</v>
      </c>
      <c r="AM29">
        <f>IF(G29&gt;$B$3,1,0)</f>
        <v>1</v>
      </c>
      <c r="AN29">
        <f>IF(H29&gt;$B$4,1,0)</f>
        <v>1</v>
      </c>
      <c r="AO29">
        <f>ABS(H29)/$B$4</f>
        <v>3.48</v>
      </c>
      <c r="AP29">
        <f>Logistic(I29/$B$5)</f>
        <v>0.88749413285366519</v>
      </c>
      <c r="AQ29">
        <f>IF(I29&gt;$B$5,1,0)</f>
        <v>1</v>
      </c>
      <c r="AR29">
        <f>Logistic(ABS(F29-O29)/($B$6/2))</f>
        <v>0.99955705914827941</v>
      </c>
      <c r="AS29">
        <f>IF(OR(F29&lt;M29,F29&gt;N29),1,0)</f>
        <v>1</v>
      </c>
      <c r="AT29">
        <f>ABS(K29)/$B$4</f>
        <v>6.2500000000000003E-3</v>
      </c>
      <c r="AU29">
        <f t="shared" ca="1" si="40"/>
        <v>0</v>
      </c>
      <c r="AV29">
        <f ca="1">IF(AND(L29&lt;&gt;$L$15,$Q$15&gt;Safety_Distance),1,0)</f>
        <v>1</v>
      </c>
      <c r="AW29">
        <f ca="1">MAX(1-(IF(Q29/(G29-R29)&gt;0,Q29/(G29-R29),Collision_Time_Buffer)/Collision_Time_Buffer),0)*IF($L$15&lt;&gt;L29,Lane_Change_Multiplier,1)</f>
        <v>0</v>
      </c>
      <c r="AX29">
        <f ca="1">MAX(1-(IF(T29/(G29-U29)&gt;0,T29/(G29-U29),Collision_Time_Buffer)/Collision_Time_Buffer),0)*IF($L$15&lt;&gt;L29,Lane_Change_Multiplier,1)</f>
        <v>0</v>
      </c>
      <c r="AY29">
        <f ca="1">MAX(1-(IF(W29/(G29-X29)&gt;0,W29/(G29-X29),Collision_Time_Buffer)/Collision_Time_Buffer),0)*IF($L$15&lt;&gt;L29,Lane_Change_Multiplier,1)</f>
        <v>0</v>
      </c>
      <c r="AZ29">
        <f ca="1">MAX(1-(IF(Z29/(G29-AA29)&gt;0,Z29/(G29-AA29),Collision_Time_Buffer)/Collision_Time_Buffer),0)*IF($L$15&lt;&gt;L29,Lane_Change_Multiplier,1)</f>
        <v>0</v>
      </c>
      <c r="BA29">
        <f t="shared" ca="1" si="41"/>
        <v>0</v>
      </c>
      <c r="BB29">
        <f t="shared" ca="1" si="42"/>
        <v>0</v>
      </c>
      <c r="BC29">
        <f t="shared" si="43"/>
        <v>0</v>
      </c>
      <c r="BE29">
        <f t="shared" si="7"/>
        <v>0.66403677026784902</v>
      </c>
      <c r="BF29">
        <f t="shared" si="44"/>
        <v>0</v>
      </c>
      <c r="BG29">
        <f t="shared" si="45"/>
        <v>0</v>
      </c>
      <c r="BH29">
        <f t="shared" si="8"/>
        <v>-0.38393591996647369</v>
      </c>
      <c r="BI29">
        <f t="shared" si="9"/>
        <v>1</v>
      </c>
      <c r="BJ29">
        <f t="shared" si="10"/>
        <v>1</v>
      </c>
      <c r="BK29">
        <f t="shared" si="11"/>
        <v>2.0393755910017255</v>
      </c>
      <c r="BL29">
        <f t="shared" si="46"/>
        <v>0</v>
      </c>
      <c r="BM29">
        <f t="shared" si="12"/>
        <v>1.9067306444116165</v>
      </c>
      <c r="BN29">
        <f t="shared" si="13"/>
        <v>3.7075</v>
      </c>
      <c r="BO29">
        <f t="shared" si="14"/>
        <v>6.2500000000000003E-3</v>
      </c>
      <c r="BP29">
        <f t="shared" si="15"/>
        <v>0.94022664039272752</v>
      </c>
      <c r="BQ29">
        <f t="shared" si="16"/>
        <v>-0.38691802483788562</v>
      </c>
    </row>
    <row r="30" spans="1:69" x14ac:dyDescent="0.25">
      <c r="A30" s="1" t="s">
        <v>21</v>
      </c>
      <c r="B30">
        <f t="shared" ca="1" si="2"/>
        <v>215.99211031080355</v>
      </c>
      <c r="C30" t="s">
        <v>540</v>
      </c>
      <c r="D30">
        <f t="shared" si="17"/>
        <v>130</v>
      </c>
      <c r="E30">
        <f t="shared" si="18"/>
        <v>248.21</v>
      </c>
      <c r="F30">
        <f t="shared" si="19"/>
        <v>-8.0500000000000007</v>
      </c>
      <c r="G30">
        <f t="shared" si="20"/>
        <v>115.52</v>
      </c>
      <c r="H30">
        <f t="shared" si="21"/>
        <v>27.84</v>
      </c>
      <c r="I30">
        <f t="shared" si="22"/>
        <v>22.56</v>
      </c>
      <c r="J30">
        <f t="shared" si="23"/>
        <v>24.99</v>
      </c>
      <c r="K30">
        <f t="shared" si="24"/>
        <v>0.1</v>
      </c>
      <c r="L30">
        <f t="shared" si="3"/>
        <v>3</v>
      </c>
      <c r="M30">
        <f t="shared" si="0"/>
        <v>8</v>
      </c>
      <c r="N30">
        <f t="shared" si="1"/>
        <v>12</v>
      </c>
      <c r="O30">
        <f t="shared" si="4"/>
        <v>10</v>
      </c>
      <c r="P30" t="e">
        <f t="shared" si="5"/>
        <v>#VALUE!</v>
      </c>
      <c r="Q30">
        <f t="shared" ca="1" si="25"/>
        <v>1000000</v>
      </c>
      <c r="R30">
        <f t="shared" ca="1" si="26"/>
        <v>100</v>
      </c>
      <c r="S30">
        <f t="shared" si="27"/>
        <v>47</v>
      </c>
      <c r="T30">
        <f t="shared" ca="1" si="28"/>
        <v>-34.983542</v>
      </c>
      <c r="U30">
        <f t="shared" ca="1" si="29"/>
        <v>21.706764</v>
      </c>
      <c r="V30" t="e">
        <f t="shared" si="30"/>
        <v>#VALUE!</v>
      </c>
      <c r="W30">
        <f t="shared" ca="1" si="31"/>
        <v>1000000000</v>
      </c>
      <c r="X30">
        <f t="shared" ca="1" si="32"/>
        <v>100</v>
      </c>
      <c r="Y30">
        <f>GetFollowingCarRow($B$45:$E$54,L30,$E$15,E30)</f>
        <v>47</v>
      </c>
      <c r="Z30">
        <f t="shared" ca="1" si="33"/>
        <v>-155.793542</v>
      </c>
      <c r="AA30">
        <f t="shared" ca="1" si="34"/>
        <v>21.706764</v>
      </c>
      <c r="AB30">
        <f t="shared" si="35"/>
        <v>14.22</v>
      </c>
      <c r="AC30">
        <f t="shared" si="36"/>
        <v>120.81</v>
      </c>
      <c r="AD30">
        <f t="shared" si="37"/>
        <v>21.165679165631985</v>
      </c>
      <c r="AE30">
        <f t="shared" si="38"/>
        <v>-2557.0257000000001</v>
      </c>
      <c r="AF30">
        <f t="shared" si="39"/>
        <v>121.64400725066565</v>
      </c>
      <c r="AG30">
        <f>GetSmallestNormalDistance($B$45:$E$54,AB30,AC30,AF30,$L$15,L30)</f>
        <v>20.720892389758127</v>
      </c>
      <c r="AH30">
        <f t="shared" si="6"/>
        <v>0.66403677026784902</v>
      </c>
      <c r="AI30">
        <f>IF(G30&lt;=0,1,0)</f>
        <v>0</v>
      </c>
      <c r="AJ30">
        <f>IF(G30&lt;0,1,0)</f>
        <v>0</v>
      </c>
      <c r="AK30">
        <f>MAX(($B$3-G30)/(G30 + 1),0) / $B$3</f>
        <v>0</v>
      </c>
      <c r="AL30">
        <f>IF(H30+ABS(K30)&lt;0,Logistic(SQRT(H30^2+K30^2)/$B$4),0)</f>
        <v>0</v>
      </c>
      <c r="AM30">
        <f>IF(G30&gt;$B$3,1,0)</f>
        <v>1</v>
      </c>
      <c r="AN30">
        <f>IF(H30&gt;$B$4,1,0)</f>
        <v>1</v>
      </c>
      <c r="AO30">
        <f>ABS(H30)/$B$4</f>
        <v>3.48</v>
      </c>
      <c r="AP30">
        <f>Logistic(I30/$B$5)</f>
        <v>0.88749413285366519</v>
      </c>
      <c r="AQ30">
        <f>IF(I30&gt;$B$5,1,0)</f>
        <v>1</v>
      </c>
      <c r="AR30">
        <f>Logistic(ABS(F30-O30)/($B$6/2))</f>
        <v>0.99975930336058827</v>
      </c>
      <c r="AS30">
        <f>IF(OR(F30&lt;M30,F30&gt;N30),1,0)</f>
        <v>1</v>
      </c>
      <c r="AT30">
        <f>ABS(K30)/$B$4</f>
        <v>1.2500000000000001E-2</v>
      </c>
      <c r="AU30">
        <f t="shared" ca="1" si="40"/>
        <v>0</v>
      </c>
      <c r="AV30">
        <f ca="1">IF(AND(L30&lt;&gt;$L$15,$Q$15&gt;Safety_Distance),1,0)</f>
        <v>1</v>
      </c>
      <c r="AW30">
        <f ca="1">MAX(1-(IF(Q30/(G30-R30)&gt;0,Q30/(G30-R30),Collision_Time_Buffer)/Collision_Time_Buffer),0)*IF($L$15&lt;&gt;L30,Lane_Change_Multiplier,1)</f>
        <v>0</v>
      </c>
      <c r="AX30">
        <f ca="1">MAX(1-(IF(T30/(G30-U30)&gt;0,T30/(G30-U30),Collision_Time_Buffer)/Collision_Time_Buffer),0)*IF($L$15&lt;&gt;L30,Lane_Change_Multiplier,1)</f>
        <v>0</v>
      </c>
      <c r="AY30">
        <f ca="1">MAX(1-(IF(W30/(G30-X30)&gt;0,W30/(G30-X30),Collision_Time_Buffer)/Collision_Time_Buffer),0)*IF($L$15&lt;&gt;L30,Lane_Change_Multiplier,1)</f>
        <v>0</v>
      </c>
      <c r="AZ30">
        <f ca="1">MAX(1-(IF(Z30/(G30-AA30)&gt;0,Z30/(G30-AA30),Collision_Time_Buffer)/Collision_Time_Buffer),0)*IF($L$15&lt;&gt;L30,Lane_Change_Multiplier,1)</f>
        <v>0</v>
      </c>
      <c r="BA30">
        <f t="shared" ca="1" si="41"/>
        <v>0</v>
      </c>
      <c r="BB30">
        <f t="shared" ca="1" si="42"/>
        <v>0</v>
      </c>
      <c r="BC30">
        <f t="shared" si="43"/>
        <v>0</v>
      </c>
      <c r="BE30">
        <f t="shared" si="7"/>
        <v>0.66403677026784902</v>
      </c>
      <c r="BF30">
        <f t="shared" si="44"/>
        <v>0</v>
      </c>
      <c r="BG30">
        <f t="shared" si="45"/>
        <v>0</v>
      </c>
      <c r="BH30">
        <f t="shared" si="8"/>
        <v>-0.38392196871514223</v>
      </c>
      <c r="BI30">
        <f t="shared" si="9"/>
        <v>1</v>
      </c>
      <c r="BJ30">
        <f t="shared" si="10"/>
        <v>1</v>
      </c>
      <c r="BK30">
        <f t="shared" si="11"/>
        <v>2.0393755910017255</v>
      </c>
      <c r="BL30">
        <f t="shared" si="46"/>
        <v>0</v>
      </c>
      <c r="BM30">
        <f t="shared" si="12"/>
        <v>1.9067306444116165</v>
      </c>
      <c r="BN30">
        <f t="shared" si="13"/>
        <v>4.0125000000000002</v>
      </c>
      <c r="BO30">
        <f t="shared" si="14"/>
        <v>1.2500000000000001E-2</v>
      </c>
      <c r="BP30">
        <f t="shared" si="15"/>
        <v>0.94022664039272752</v>
      </c>
      <c r="BQ30">
        <f t="shared" si="16"/>
        <v>-0.38690450635834944</v>
      </c>
    </row>
    <row r="31" spans="1:69" x14ac:dyDescent="0.25">
      <c r="A31" s="1" t="s">
        <v>20</v>
      </c>
      <c r="B31">
        <f t="shared" ca="1" si="2"/>
        <v>191.41727734363536</v>
      </c>
      <c r="C31" t="s">
        <v>539</v>
      </c>
      <c r="D31">
        <f t="shared" si="17"/>
        <v>64</v>
      </c>
      <c r="E31">
        <f t="shared" si="18"/>
        <v>143.47</v>
      </c>
      <c r="F31">
        <f t="shared" si="19"/>
        <v>9.0299999999999994</v>
      </c>
      <c r="G31">
        <f t="shared" si="20"/>
        <v>41.99</v>
      </c>
      <c r="H31">
        <f t="shared" si="21"/>
        <v>27.8</v>
      </c>
      <c r="I31">
        <f t="shared" si="22"/>
        <v>22.52</v>
      </c>
      <c r="J31">
        <f t="shared" si="23"/>
        <v>-9.6999999999999993</v>
      </c>
      <c r="K31">
        <f t="shared" si="24"/>
        <v>0.21</v>
      </c>
      <c r="L31">
        <f t="shared" si="3"/>
        <v>3</v>
      </c>
      <c r="M31">
        <f t="shared" si="0"/>
        <v>8</v>
      </c>
      <c r="N31">
        <f t="shared" si="1"/>
        <v>12</v>
      </c>
      <c r="O31">
        <f t="shared" si="4"/>
        <v>10</v>
      </c>
      <c r="P31" t="e">
        <f t="shared" si="5"/>
        <v>#VALUE!</v>
      </c>
      <c r="Q31">
        <f t="shared" ca="1" si="25"/>
        <v>1000000</v>
      </c>
      <c r="R31">
        <f t="shared" ca="1" si="26"/>
        <v>100</v>
      </c>
      <c r="S31">
        <f t="shared" si="27"/>
        <v>47</v>
      </c>
      <c r="T31">
        <f t="shared" ca="1" si="28"/>
        <v>-34.983542</v>
      </c>
      <c r="U31">
        <f t="shared" ca="1" si="29"/>
        <v>21.706764</v>
      </c>
      <c r="V31" t="e">
        <f t="shared" si="30"/>
        <v>#VALUE!</v>
      </c>
      <c r="W31">
        <f t="shared" ca="1" si="31"/>
        <v>1000000000</v>
      </c>
      <c r="X31">
        <f t="shared" ca="1" si="32"/>
        <v>100</v>
      </c>
      <c r="Y31">
        <f>GetFollowingCarRow($B$45:$E$54,L31,$E$15,E31)</f>
        <v>47</v>
      </c>
      <c r="Z31">
        <f t="shared" ca="1" si="33"/>
        <v>-51.053541999999993</v>
      </c>
      <c r="AA31">
        <f t="shared" ca="1" si="34"/>
        <v>21.706764</v>
      </c>
      <c r="AB31">
        <f t="shared" si="35"/>
        <v>-2.8599999999999994</v>
      </c>
      <c r="AC31">
        <f t="shared" si="36"/>
        <v>16.069999999999993</v>
      </c>
      <c r="AD31">
        <f t="shared" si="37"/>
        <v>-16.503553204729315</v>
      </c>
      <c r="AE31">
        <f t="shared" si="38"/>
        <v>265.21209999999996</v>
      </c>
      <c r="AF31">
        <f t="shared" si="39"/>
        <v>16.322515124820679</v>
      </c>
      <c r="AG31">
        <f>GetSmallestNormalDistance($B$45:$E$54,AB31,AC31,AF31,$L$15,L31)</f>
        <v>6.3615088793578787</v>
      </c>
      <c r="AH31">
        <f t="shared" si="6"/>
        <v>0.13909244787845804</v>
      </c>
      <c r="AI31">
        <f>IF(G31&lt;=0,1,0)</f>
        <v>0</v>
      </c>
      <c r="AJ31">
        <f>IF(G31&lt;0,1,0)</f>
        <v>0</v>
      </c>
      <c r="AK31">
        <f>MAX(($B$3-G31)/(G31 + 1),0) / $B$3</f>
        <v>0</v>
      </c>
      <c r="AL31">
        <f>IF(H31+ABS(K31)&lt;0,Logistic(SQRT(H31^2+K31^2)/$B$4),0)</f>
        <v>0</v>
      </c>
      <c r="AM31">
        <f>IF(G31&gt;$B$3,1,0)</f>
        <v>1</v>
      </c>
      <c r="AN31">
        <f>IF(H31&gt;$B$4,1,0)</f>
        <v>1</v>
      </c>
      <c r="AO31">
        <f>ABS(H31)/$B$4</f>
        <v>3.4750000000000001</v>
      </c>
      <c r="AP31">
        <f>Logistic(I31/$B$5)</f>
        <v>0.88696206804075794</v>
      </c>
      <c r="AQ31">
        <f>IF(I31&gt;$B$5,1,0)</f>
        <v>1</v>
      </c>
      <c r="AR31">
        <f>Logistic(ABS(F31-O31)/($B$6/2))</f>
        <v>0.2378557096003808</v>
      </c>
      <c r="AS31">
        <f>IF(OR(F31&lt;M31,F31&gt;N31),1,0)</f>
        <v>0</v>
      </c>
      <c r="AT31">
        <f>ABS(K31)/$B$4</f>
        <v>2.6249999999999999E-2</v>
      </c>
      <c r="AU31">
        <f t="shared" ca="1" si="40"/>
        <v>0</v>
      </c>
      <c r="AV31">
        <f ca="1">IF(AND(L31&lt;&gt;$L$15,$Q$15&gt;Safety_Distance),1,0)</f>
        <v>1</v>
      </c>
      <c r="AW31">
        <f ca="1">MAX(1-(IF(Q31/(G31-R31)&gt;0,Q31/(G31-R31),Collision_Time_Buffer)/Collision_Time_Buffer),0)*IF($L$15&lt;&gt;L31,Lane_Change_Multiplier,1)</f>
        <v>0</v>
      </c>
      <c r="AX31">
        <f ca="1">MAX(1-(IF(T31/(G31-U31)&gt;0,T31/(G31-U31),Collision_Time_Buffer)/Collision_Time_Buffer),0)*IF($L$15&lt;&gt;L31,Lane_Change_Multiplier,1)</f>
        <v>0</v>
      </c>
      <c r="AY31">
        <f ca="1">MAX(1-(IF(W31/(G31-X31)&gt;0,W31/(G31-X31),Collision_Time_Buffer)/Collision_Time_Buffer),0)*IF($L$15&lt;&gt;L31,Lane_Change_Multiplier,1)</f>
        <v>0</v>
      </c>
      <c r="AZ31">
        <f ca="1">MAX(1-(IF(Z31/(G31-AA31)&gt;0,Z31/(G31-AA31),Collision_Time_Buffer)/Collision_Time_Buffer),0)*IF($L$15&lt;&gt;L31,Lane_Change_Multiplier,1)</f>
        <v>0</v>
      </c>
      <c r="BA31">
        <f t="shared" ca="1" si="41"/>
        <v>0</v>
      </c>
      <c r="BB31">
        <f t="shared" ca="1" si="42"/>
        <v>0</v>
      </c>
      <c r="BC31">
        <f t="shared" si="43"/>
        <v>0</v>
      </c>
      <c r="BE31">
        <f t="shared" si="7"/>
        <v>0.13909244787845804</v>
      </c>
      <c r="BF31">
        <f t="shared" si="44"/>
        <v>0</v>
      </c>
      <c r="BG31">
        <f t="shared" si="45"/>
        <v>0</v>
      </c>
      <c r="BH31">
        <f t="shared" si="8"/>
        <v>-0.23697606044412717</v>
      </c>
      <c r="BI31">
        <f t="shared" si="9"/>
        <v>1</v>
      </c>
      <c r="BJ31">
        <f t="shared" si="10"/>
        <v>1</v>
      </c>
      <c r="BK31">
        <f t="shared" si="11"/>
        <v>2.0385325603035507</v>
      </c>
      <c r="BL31">
        <f t="shared" si="46"/>
        <v>0</v>
      </c>
      <c r="BM31">
        <f t="shared" si="12"/>
        <v>1.9055300534249435</v>
      </c>
      <c r="BN31">
        <f t="shared" si="13"/>
        <v>0</v>
      </c>
      <c r="BO31">
        <f t="shared" si="14"/>
        <v>2.6249999999999999E-2</v>
      </c>
      <c r="BP31">
        <f t="shared" si="15"/>
        <v>0.93993602322142367</v>
      </c>
      <c r="BQ31">
        <f t="shared" si="16"/>
        <v>-0.2423985181859063</v>
      </c>
    </row>
    <row r="32" spans="1:69" x14ac:dyDescent="0.25">
      <c r="A32" s="1" t="s">
        <v>37</v>
      </c>
      <c r="B32">
        <f t="shared" ca="1" si="2"/>
        <v>191.59212596067471</v>
      </c>
      <c r="C32" t="s">
        <v>538</v>
      </c>
      <c r="D32">
        <f t="shared" si="17"/>
        <v>70</v>
      </c>
      <c r="E32">
        <f t="shared" si="18"/>
        <v>153.29</v>
      </c>
      <c r="F32">
        <f t="shared" si="19"/>
        <v>2.82</v>
      </c>
      <c r="G32">
        <f t="shared" si="20"/>
        <v>59.3</v>
      </c>
      <c r="H32">
        <f t="shared" si="21"/>
        <v>34.53</v>
      </c>
      <c r="I32">
        <f t="shared" si="22"/>
        <v>29.26</v>
      </c>
      <c r="J32">
        <f t="shared" si="23"/>
        <v>12.17</v>
      </c>
      <c r="K32">
        <f t="shared" si="24"/>
        <v>0.06</v>
      </c>
      <c r="L32">
        <f t="shared" si="3"/>
        <v>1</v>
      </c>
      <c r="M32">
        <f t="shared" si="0"/>
        <v>0</v>
      </c>
      <c r="N32">
        <f t="shared" si="1"/>
        <v>4</v>
      </c>
      <c r="O32">
        <f t="shared" si="4"/>
        <v>2</v>
      </c>
      <c r="P32" t="e">
        <f t="shared" si="5"/>
        <v>#VALUE!</v>
      </c>
      <c r="Q32">
        <f t="shared" ca="1" si="25"/>
        <v>1000000</v>
      </c>
      <c r="R32">
        <f t="shared" ca="1" si="26"/>
        <v>100</v>
      </c>
      <c r="S32">
        <f t="shared" si="27"/>
        <v>45</v>
      </c>
      <c r="T32">
        <f t="shared" ca="1" si="28"/>
        <v>-35.416685000000001</v>
      </c>
      <c r="U32">
        <f t="shared" ca="1" si="29"/>
        <v>21.462890999999999</v>
      </c>
      <c r="V32" t="e">
        <f t="shared" si="30"/>
        <v>#VALUE!</v>
      </c>
      <c r="W32">
        <f t="shared" ca="1" si="31"/>
        <v>1000000000</v>
      </c>
      <c r="X32">
        <f t="shared" ca="1" si="32"/>
        <v>100</v>
      </c>
      <c r="Y32">
        <f>GetFollowingCarRow($B$45:$E$54,L32,$E$15,E32)</f>
        <v>45</v>
      </c>
      <c r="Z32">
        <f t="shared" ca="1" si="33"/>
        <v>-61.306684999999987</v>
      </c>
      <c r="AA32">
        <f t="shared" ca="1" si="34"/>
        <v>21.462890999999999</v>
      </c>
      <c r="AB32">
        <f t="shared" si="35"/>
        <v>3.35</v>
      </c>
      <c r="AC32">
        <f t="shared" si="36"/>
        <v>25.889999999999986</v>
      </c>
      <c r="AD32">
        <f t="shared" si="37"/>
        <v>22.654743144071077</v>
      </c>
      <c r="AE32">
        <f t="shared" si="38"/>
        <v>-586.53129999999987</v>
      </c>
      <c r="AF32">
        <f t="shared" si="39"/>
        <v>26.105834596886559</v>
      </c>
      <c r="AG32">
        <f>GetSmallestNormalDistance($B$45:$E$54,AB32,AC32,AF32,$L$15,L32)</f>
        <v>13.77331456136945</v>
      </c>
      <c r="AH32">
        <f t="shared" si="6"/>
        <v>0.19737532022490398</v>
      </c>
      <c r="AI32">
        <f>IF(G32&lt;=0,1,0)</f>
        <v>0</v>
      </c>
      <c r="AJ32">
        <f>IF(G32&lt;0,1,0)</f>
        <v>0</v>
      </c>
      <c r="AK32">
        <f>MAX(($B$3-G32)/(G32 + 1),0) / $B$3</f>
        <v>0</v>
      </c>
      <c r="AL32">
        <f>IF(H32+ABS(K32)&lt;0,Logistic(SQRT(H32^2+K32^2)/$B$4),0)</f>
        <v>0</v>
      </c>
      <c r="AM32">
        <f>IF(G32&gt;$B$3,1,0)</f>
        <v>1</v>
      </c>
      <c r="AN32">
        <f>IF(H32&gt;$B$4,1,0)</f>
        <v>1</v>
      </c>
      <c r="AO32">
        <f>ABS(H32)/$B$4</f>
        <v>4.3162500000000001</v>
      </c>
      <c r="AP32">
        <f>Logistic(I32/$B$5)</f>
        <v>0.94970364236142712</v>
      </c>
      <c r="AQ32">
        <f>IF(I32&gt;$B$5,1,0)</f>
        <v>1</v>
      </c>
      <c r="AR32">
        <f>Logistic(ABS(F32-O32)/($B$6/2))</f>
        <v>0.20217575769673951</v>
      </c>
      <c r="AS32">
        <f>IF(OR(F32&lt;M32,F32&gt;N32),1,0)</f>
        <v>0</v>
      </c>
      <c r="AT32">
        <f>ABS(K32)/$B$4</f>
        <v>7.4999999999999997E-3</v>
      </c>
      <c r="AU32">
        <f t="shared" ca="1" si="40"/>
        <v>0</v>
      </c>
      <c r="AV32">
        <f ca="1">IF(AND(L32&lt;&gt;$L$15,$Q$15&gt;Safety_Distance),1,0)</f>
        <v>1</v>
      </c>
      <c r="AW32">
        <f ca="1">MAX(1-(IF(Q32/(G32-R32)&gt;0,Q32/(G32-R32),Collision_Time_Buffer)/Collision_Time_Buffer),0)*IF($L$15&lt;&gt;L32,Lane_Change_Multiplier,1)</f>
        <v>0</v>
      </c>
      <c r="AX32">
        <f ca="1">MAX(1-(IF(T32/(G32-U32)&gt;0,T32/(G32-U32),Collision_Time_Buffer)/Collision_Time_Buffer),0)*IF($L$15&lt;&gt;L32,Lane_Change_Multiplier,1)</f>
        <v>0</v>
      </c>
      <c r="AY32">
        <f ca="1">MAX(1-(IF(W32/(G32-X32)&gt;0,W32/(G32-X32),Collision_Time_Buffer)/Collision_Time_Buffer),0)*IF($L$15&lt;&gt;L32,Lane_Change_Multiplier,1)</f>
        <v>0</v>
      </c>
      <c r="AZ32">
        <f ca="1">MAX(1-(IF(Z32/(G32-AA32)&gt;0,Z32/(G32-AA32),Collision_Time_Buffer)/Collision_Time_Buffer),0)*IF($L$15&lt;&gt;L32,Lane_Change_Multiplier,1)</f>
        <v>0</v>
      </c>
      <c r="BA32">
        <f t="shared" ca="1" si="41"/>
        <v>0</v>
      </c>
      <c r="BB32">
        <f t="shared" ca="1" si="42"/>
        <v>0</v>
      </c>
      <c r="BC32">
        <f t="shared" si="43"/>
        <v>0</v>
      </c>
      <c r="BE32">
        <f t="shared" si="7"/>
        <v>0.19737532022490398</v>
      </c>
      <c r="BF32">
        <f t="shared" si="44"/>
        <v>0</v>
      </c>
      <c r="BG32">
        <f t="shared" si="45"/>
        <v>0</v>
      </c>
      <c r="BH32">
        <f t="shared" si="8"/>
        <v>-0.30566314403724776</v>
      </c>
      <c r="BI32">
        <f t="shared" si="9"/>
        <v>1</v>
      </c>
      <c r="BJ32">
        <f t="shared" si="10"/>
        <v>1</v>
      </c>
      <c r="BK32">
        <f t="shared" si="11"/>
        <v>2.1561352977903177</v>
      </c>
      <c r="BL32">
        <f t="shared" si="46"/>
        <v>0</v>
      </c>
      <c r="BM32">
        <f t="shared" si="12"/>
        <v>2.068014979875362</v>
      </c>
      <c r="BN32">
        <f t="shared" si="13"/>
        <v>0</v>
      </c>
      <c r="BO32">
        <f t="shared" si="14"/>
        <v>7.4999999999999997E-3</v>
      </c>
      <c r="BP32">
        <f t="shared" si="15"/>
        <v>0.97365203791238142</v>
      </c>
      <c r="BQ32">
        <f t="shared" si="16"/>
        <v>-0.31048246595669671</v>
      </c>
    </row>
    <row r="33" spans="1:69" x14ac:dyDescent="0.25">
      <c r="A33" s="1" t="s">
        <v>38</v>
      </c>
      <c r="B33">
        <f t="shared" ca="1" si="2"/>
        <v>191.47594551289251</v>
      </c>
      <c r="C33" t="s">
        <v>537</v>
      </c>
      <c r="D33">
        <f t="shared" si="17"/>
        <v>66</v>
      </c>
      <c r="E33">
        <f t="shared" si="18"/>
        <v>148.69999999999999</v>
      </c>
      <c r="F33">
        <f t="shared" si="19"/>
        <v>3</v>
      </c>
      <c r="G33">
        <f t="shared" si="20"/>
        <v>53.76</v>
      </c>
      <c r="H33">
        <f t="shared" si="21"/>
        <v>34.53</v>
      </c>
      <c r="I33">
        <f t="shared" si="22"/>
        <v>29.25</v>
      </c>
      <c r="J33">
        <f t="shared" si="23"/>
        <v>12.34</v>
      </c>
      <c r="K33">
        <f t="shared" si="24"/>
        <v>0.1</v>
      </c>
      <c r="L33">
        <f t="shared" si="3"/>
        <v>1</v>
      </c>
      <c r="M33">
        <f t="shared" si="0"/>
        <v>0</v>
      </c>
      <c r="N33">
        <f t="shared" si="1"/>
        <v>4</v>
      </c>
      <c r="O33">
        <f t="shared" si="4"/>
        <v>2</v>
      </c>
      <c r="P33" t="e">
        <f t="shared" si="5"/>
        <v>#VALUE!</v>
      </c>
      <c r="Q33">
        <f t="shared" ca="1" si="25"/>
        <v>1000000</v>
      </c>
      <c r="R33">
        <f t="shared" ca="1" si="26"/>
        <v>100</v>
      </c>
      <c r="S33">
        <f t="shared" si="27"/>
        <v>45</v>
      </c>
      <c r="T33">
        <f t="shared" ca="1" si="28"/>
        <v>-35.416685000000001</v>
      </c>
      <c r="U33">
        <f t="shared" ca="1" si="29"/>
        <v>21.462890999999999</v>
      </c>
      <c r="V33" t="e">
        <f t="shared" si="30"/>
        <v>#VALUE!</v>
      </c>
      <c r="W33">
        <f t="shared" ca="1" si="31"/>
        <v>1000000000</v>
      </c>
      <c r="X33">
        <f t="shared" ca="1" si="32"/>
        <v>100</v>
      </c>
      <c r="Y33">
        <f>GetFollowingCarRow($B$45:$E$54,L33,$E$15,E33)</f>
        <v>45</v>
      </c>
      <c r="Z33">
        <f t="shared" ca="1" si="33"/>
        <v>-56.716684999999984</v>
      </c>
      <c r="AA33">
        <f t="shared" ca="1" si="34"/>
        <v>21.462890999999999</v>
      </c>
      <c r="AB33">
        <f t="shared" si="35"/>
        <v>3.17</v>
      </c>
      <c r="AC33">
        <f t="shared" si="36"/>
        <v>21.299999999999983</v>
      </c>
      <c r="AD33">
        <f t="shared" si="37"/>
        <v>25.130469483568092</v>
      </c>
      <c r="AE33">
        <f t="shared" si="38"/>
        <v>-535.27899999999988</v>
      </c>
      <c r="AF33">
        <f t="shared" si="39"/>
        <v>21.534597744095414</v>
      </c>
      <c r="AG33">
        <f>GetSmallestNormalDistance($B$45:$E$54,AB33,AC33,AF33,$L$15,L33)</f>
        <v>15.504851510010198</v>
      </c>
      <c r="AH33">
        <f t="shared" si="6"/>
        <v>0.15864850429749891</v>
      </c>
      <c r="AI33">
        <f>IF(G33&lt;=0,1,0)</f>
        <v>0</v>
      </c>
      <c r="AJ33">
        <f>IF(G33&lt;0,1,0)</f>
        <v>0</v>
      </c>
      <c r="AK33">
        <f>MAX(($B$3-G33)/(G33 + 1),0) / $B$3</f>
        <v>0</v>
      </c>
      <c r="AL33">
        <f>IF(H33+ABS(K33)&lt;0,Logistic(SQRT(H33^2+K33^2)/$B$4),0)</f>
        <v>0</v>
      </c>
      <c r="AM33">
        <f>IF(G33&gt;$B$3,1,0)</f>
        <v>1</v>
      </c>
      <c r="AN33">
        <f>IF(H33&gt;$B$4,1,0)</f>
        <v>1</v>
      </c>
      <c r="AO33">
        <f>ABS(H33)/$B$4</f>
        <v>4.3162500000000001</v>
      </c>
      <c r="AP33">
        <f>Logistic(I33/$B$5)</f>
        <v>0.94964231659879628</v>
      </c>
      <c r="AQ33">
        <f>IF(I33&gt;$B$5,1,0)</f>
        <v>1</v>
      </c>
      <c r="AR33">
        <f>Logistic(ABS(F33-O33)/($B$6/2))</f>
        <v>0.24491866240370913</v>
      </c>
      <c r="AS33">
        <f>IF(OR(F33&lt;M33,F33&gt;N33),1,0)</f>
        <v>0</v>
      </c>
      <c r="AT33">
        <f>ABS(K33)/$B$4</f>
        <v>1.2500000000000001E-2</v>
      </c>
      <c r="AU33">
        <f t="shared" ca="1" si="40"/>
        <v>0</v>
      </c>
      <c r="AV33">
        <f ca="1">IF(AND(L33&lt;&gt;$L$15,$Q$15&gt;Safety_Distance),1,0)</f>
        <v>1</v>
      </c>
      <c r="AW33">
        <f ca="1">MAX(1-(IF(Q33/(G33-R33)&gt;0,Q33/(G33-R33),Collision_Time_Buffer)/Collision_Time_Buffer),0)*IF($L$15&lt;&gt;L33,Lane_Change_Multiplier,1)</f>
        <v>0</v>
      </c>
      <c r="AX33">
        <f ca="1">MAX(1-(IF(T33/(G33-U33)&gt;0,T33/(G33-U33),Collision_Time_Buffer)/Collision_Time_Buffer),0)*IF($L$15&lt;&gt;L33,Lane_Change_Multiplier,1)</f>
        <v>0</v>
      </c>
      <c r="AY33">
        <f ca="1">MAX(1-(IF(W33/(G33-X33)&gt;0,W33/(G33-X33),Collision_Time_Buffer)/Collision_Time_Buffer),0)*IF($L$15&lt;&gt;L33,Lane_Change_Multiplier,1)</f>
        <v>0</v>
      </c>
      <c r="AZ33">
        <f ca="1">MAX(1-(IF(Z33/(G33-AA33)&gt;0,Z33/(G33-AA33),Collision_Time_Buffer)/Collision_Time_Buffer),0)*IF($L$15&lt;&gt;L33,Lane_Change_Multiplier,1)</f>
        <v>0</v>
      </c>
      <c r="BA33">
        <f t="shared" ca="1" si="41"/>
        <v>0</v>
      </c>
      <c r="BB33">
        <f t="shared" ca="1" si="42"/>
        <v>0</v>
      </c>
      <c r="BC33">
        <f t="shared" si="43"/>
        <v>0</v>
      </c>
      <c r="BE33">
        <f t="shared" si="7"/>
        <v>0.15864850429749891</v>
      </c>
      <c r="BF33">
        <f t="shared" si="44"/>
        <v>0</v>
      </c>
      <c r="BG33">
        <f t="shared" si="45"/>
        <v>0</v>
      </c>
      <c r="BH33">
        <f t="shared" si="8"/>
        <v>-0.28866993761922705</v>
      </c>
      <c r="BI33">
        <f t="shared" si="9"/>
        <v>1</v>
      </c>
      <c r="BJ33">
        <f t="shared" si="10"/>
        <v>1</v>
      </c>
      <c r="BK33">
        <f t="shared" si="11"/>
        <v>2.1561352977903177</v>
      </c>
      <c r="BL33">
        <f t="shared" si="46"/>
        <v>0</v>
      </c>
      <c r="BM33">
        <f t="shared" si="12"/>
        <v>2.067821683737086</v>
      </c>
      <c r="BN33">
        <f t="shared" si="13"/>
        <v>0</v>
      </c>
      <c r="BO33">
        <f t="shared" si="14"/>
        <v>1.2500000000000001E-2</v>
      </c>
      <c r="BP33">
        <f t="shared" si="15"/>
        <v>0.97365203791238142</v>
      </c>
      <c r="BQ33">
        <f t="shared" si="16"/>
        <v>-0.29372796275434171</v>
      </c>
    </row>
    <row r="34" spans="1:69" x14ac:dyDescent="0.25">
      <c r="A34" s="1" t="s">
        <v>39</v>
      </c>
      <c r="B34">
        <f t="shared" ca="1" si="2"/>
        <v>191.32867541064329</v>
      </c>
      <c r="C34" t="s">
        <v>536</v>
      </c>
      <c r="D34">
        <f t="shared" si="17"/>
        <v>61</v>
      </c>
      <c r="E34">
        <f t="shared" si="18"/>
        <v>143.59</v>
      </c>
      <c r="F34">
        <f t="shared" si="19"/>
        <v>2.91</v>
      </c>
      <c r="G34">
        <f t="shared" si="20"/>
        <v>46.8</v>
      </c>
      <c r="H34">
        <f t="shared" si="21"/>
        <v>34.479999999999997</v>
      </c>
      <c r="I34">
        <f t="shared" si="22"/>
        <v>29.2</v>
      </c>
      <c r="J34">
        <f t="shared" si="23"/>
        <v>13.86</v>
      </c>
      <c r="K34">
        <f t="shared" si="24"/>
        <v>0.23</v>
      </c>
      <c r="L34">
        <f t="shared" si="3"/>
        <v>1</v>
      </c>
      <c r="M34">
        <f t="shared" si="0"/>
        <v>0</v>
      </c>
      <c r="N34">
        <f t="shared" si="1"/>
        <v>4</v>
      </c>
      <c r="O34">
        <f t="shared" si="4"/>
        <v>2</v>
      </c>
      <c r="P34" t="e">
        <f t="shared" si="5"/>
        <v>#VALUE!</v>
      </c>
      <c r="Q34">
        <f t="shared" ca="1" si="25"/>
        <v>1000000</v>
      </c>
      <c r="R34">
        <f t="shared" ca="1" si="26"/>
        <v>100</v>
      </c>
      <c r="S34">
        <f t="shared" si="27"/>
        <v>45</v>
      </c>
      <c r="T34">
        <f t="shared" ca="1" si="28"/>
        <v>-35.416685000000001</v>
      </c>
      <c r="U34">
        <f t="shared" ca="1" si="29"/>
        <v>21.462890999999999</v>
      </c>
      <c r="V34" t="e">
        <f t="shared" si="30"/>
        <v>#VALUE!</v>
      </c>
      <c r="W34">
        <f t="shared" ca="1" si="31"/>
        <v>1000000000</v>
      </c>
      <c r="X34">
        <f t="shared" ca="1" si="32"/>
        <v>100</v>
      </c>
      <c r="Y34">
        <f>GetFollowingCarRow($B$45:$E$54,L34,$E$15,E34)</f>
        <v>45</v>
      </c>
      <c r="Z34">
        <f t="shared" ca="1" si="33"/>
        <v>-51.606684999999999</v>
      </c>
      <c r="AA34">
        <f t="shared" ca="1" si="34"/>
        <v>21.462890999999999</v>
      </c>
      <c r="AB34">
        <f t="shared" si="35"/>
        <v>3.26</v>
      </c>
      <c r="AC34">
        <f t="shared" si="36"/>
        <v>16.189999999999998</v>
      </c>
      <c r="AD34">
        <f t="shared" si="37"/>
        <v>31.823119209388516</v>
      </c>
      <c r="AE34">
        <f t="shared" si="38"/>
        <v>-515.21630000000005</v>
      </c>
      <c r="AF34">
        <f t="shared" si="39"/>
        <v>16.514953829787107</v>
      </c>
      <c r="AG34">
        <f>GetSmallestNormalDistance($B$45:$E$54,AB34,AC34,AF34,$L$15,L34)</f>
        <v>20.104224490240675</v>
      </c>
      <c r="AH34">
        <f t="shared" si="6"/>
        <v>0.10955847021442952</v>
      </c>
      <c r="AI34">
        <f>IF(G34&lt;=0,1,0)</f>
        <v>0</v>
      </c>
      <c r="AJ34">
        <f>IF(G34&lt;0,1,0)</f>
        <v>0</v>
      </c>
      <c r="AK34">
        <f>MAX(($B$3-G34)/(G34 + 1),0) / $B$3</f>
        <v>0</v>
      </c>
      <c r="AL34">
        <f>IF(H34+ABS(K34)&lt;0,Logistic(SQRT(H34^2+K34^2)/$B$4),0)</f>
        <v>0</v>
      </c>
      <c r="AM34">
        <f>IF(G34&gt;$B$3,1,0)</f>
        <v>1</v>
      </c>
      <c r="AN34">
        <f>IF(H34&gt;$B$4,1,0)</f>
        <v>1</v>
      </c>
      <c r="AO34">
        <f>ABS(H34)/$B$4</f>
        <v>4.3099999999999996</v>
      </c>
      <c r="AP34">
        <f>Logistic(I34/$B$5)</f>
        <v>0.94933459354625649</v>
      </c>
      <c r="AQ34">
        <f>IF(I34&gt;$B$5,1,0)</f>
        <v>1</v>
      </c>
      <c r="AR34">
        <f>Logistic(ABS(F34-O34)/($B$6/2))</f>
        <v>0.2236547380034743</v>
      </c>
      <c r="AS34">
        <f>IF(OR(F34&lt;M34,F34&gt;N34),1,0)</f>
        <v>0</v>
      </c>
      <c r="AT34">
        <f>ABS(K34)/$B$4</f>
        <v>2.8750000000000001E-2</v>
      </c>
      <c r="AU34">
        <f t="shared" ca="1" si="40"/>
        <v>0</v>
      </c>
      <c r="AV34">
        <f ca="1">IF(AND(L34&lt;&gt;$L$15,$Q$15&gt;Safety_Distance),1,0)</f>
        <v>1</v>
      </c>
      <c r="AW34">
        <f ca="1">MAX(1-(IF(Q34/(G34-R34)&gt;0,Q34/(G34-R34),Collision_Time_Buffer)/Collision_Time_Buffer),0)*IF($L$15&lt;&gt;L34,Lane_Change_Multiplier,1)</f>
        <v>0</v>
      </c>
      <c r="AX34">
        <f ca="1">MAX(1-(IF(T34/(G34-U34)&gt;0,T34/(G34-U34),Collision_Time_Buffer)/Collision_Time_Buffer),0)*IF($L$15&lt;&gt;L34,Lane_Change_Multiplier,1)</f>
        <v>0</v>
      </c>
      <c r="AY34">
        <f ca="1">MAX(1-(IF(W34/(G34-X34)&gt;0,W34/(G34-X34),Collision_Time_Buffer)/Collision_Time_Buffer),0)*IF($L$15&lt;&gt;L34,Lane_Change_Multiplier,1)</f>
        <v>0</v>
      </c>
      <c r="AZ34">
        <f ca="1">MAX(1-(IF(Z34/(G34-AA34)&gt;0,Z34/(G34-AA34),Collision_Time_Buffer)/Collision_Time_Buffer),0)*IF($L$15&lt;&gt;L34,Lane_Change_Multiplier,1)</f>
        <v>0</v>
      </c>
      <c r="BA34">
        <f t="shared" ca="1" si="41"/>
        <v>0</v>
      </c>
      <c r="BB34">
        <f t="shared" ca="1" si="42"/>
        <v>0</v>
      </c>
      <c r="BC34">
        <f t="shared" si="43"/>
        <v>0</v>
      </c>
      <c r="BE34">
        <f t="shared" si="7"/>
        <v>0.10955847021442952</v>
      </c>
      <c r="BF34">
        <f t="shared" si="44"/>
        <v>0</v>
      </c>
      <c r="BG34">
        <f t="shared" si="45"/>
        <v>0</v>
      </c>
      <c r="BH34">
        <f t="shared" si="8"/>
        <v>-0.26136527245448476</v>
      </c>
      <c r="BI34">
        <f t="shared" si="9"/>
        <v>1</v>
      </c>
      <c r="BJ34">
        <f t="shared" si="10"/>
        <v>1</v>
      </c>
      <c r="BK34">
        <f t="shared" si="11"/>
        <v>2.155411029930975</v>
      </c>
      <c r="BL34">
        <f t="shared" si="46"/>
        <v>0</v>
      </c>
      <c r="BM34">
        <f t="shared" si="12"/>
        <v>2.0668534891235075</v>
      </c>
      <c r="BN34">
        <f t="shared" si="13"/>
        <v>0</v>
      </c>
      <c r="BO34">
        <f t="shared" si="14"/>
        <v>2.8750000000000001E-2</v>
      </c>
      <c r="BP34">
        <f t="shared" si="15"/>
        <v>0.97348903714580248</v>
      </c>
      <c r="BQ34">
        <f t="shared" si="16"/>
        <v>-0.26668407870083483</v>
      </c>
    </row>
    <row r="35" spans="1:69" x14ac:dyDescent="0.25">
      <c r="A35" s="1" t="s">
        <v>82</v>
      </c>
      <c r="B35">
        <f t="shared" ca="1" si="2"/>
        <v>186.86141345774982</v>
      </c>
      <c r="C35" t="s">
        <v>535</v>
      </c>
      <c r="D35">
        <f t="shared" si="17"/>
        <v>130</v>
      </c>
      <c r="E35">
        <f t="shared" si="18"/>
        <v>136.85</v>
      </c>
      <c r="F35">
        <f t="shared" si="19"/>
        <v>5.62</v>
      </c>
      <c r="G35">
        <f t="shared" si="20"/>
        <v>4.72</v>
      </c>
      <c r="H35">
        <f t="shared" si="21"/>
        <v>0</v>
      </c>
      <c r="I35">
        <f t="shared" si="22"/>
        <v>5.28</v>
      </c>
      <c r="J35">
        <f t="shared" si="23"/>
        <v>0.53</v>
      </c>
      <c r="K35">
        <f t="shared" si="24"/>
        <v>0.06</v>
      </c>
      <c r="L35">
        <f t="shared" si="3"/>
        <v>1</v>
      </c>
      <c r="M35">
        <f t="shared" si="0"/>
        <v>0</v>
      </c>
      <c r="N35">
        <f t="shared" si="1"/>
        <v>4</v>
      </c>
      <c r="O35">
        <f t="shared" si="4"/>
        <v>2</v>
      </c>
      <c r="P35" t="e">
        <f t="shared" si="5"/>
        <v>#VALUE!</v>
      </c>
      <c r="Q35">
        <f t="shared" ca="1" si="25"/>
        <v>1000000</v>
      </c>
      <c r="R35">
        <f t="shared" ca="1" si="26"/>
        <v>100</v>
      </c>
      <c r="S35">
        <f t="shared" si="27"/>
        <v>45</v>
      </c>
      <c r="T35">
        <f t="shared" ca="1" si="28"/>
        <v>-35.416685000000001</v>
      </c>
      <c r="U35">
        <f t="shared" ca="1" si="29"/>
        <v>21.462890999999999</v>
      </c>
      <c r="V35" t="e">
        <f t="shared" si="30"/>
        <v>#VALUE!</v>
      </c>
      <c r="W35">
        <f t="shared" ca="1" si="31"/>
        <v>1000000000</v>
      </c>
      <c r="X35">
        <f t="shared" ca="1" si="32"/>
        <v>100</v>
      </c>
      <c r="Y35">
        <f>GetFollowingCarRow($B$45:$E$54,L35,$E$15,E35)</f>
        <v>45</v>
      </c>
      <c r="Z35">
        <f t="shared" ca="1" si="33"/>
        <v>-44.86668499999999</v>
      </c>
      <c r="AA35">
        <f t="shared" ca="1" si="34"/>
        <v>21.462890999999999</v>
      </c>
      <c r="AB35">
        <f t="shared" si="35"/>
        <v>0.54999999999999982</v>
      </c>
      <c r="AC35">
        <f t="shared" si="36"/>
        <v>9.4499999999999886</v>
      </c>
      <c r="AD35">
        <f t="shared" si="37"/>
        <v>13.584814814814822</v>
      </c>
      <c r="AE35">
        <f t="shared" si="38"/>
        <v>-128.37649999999991</v>
      </c>
      <c r="AF35">
        <f t="shared" si="39"/>
        <v>9.4659917599794987</v>
      </c>
      <c r="AG35">
        <f>GetSmallestNormalDistance($B$45:$E$54,AB35,AC35,AF35,$L$15,L35)</f>
        <v>7.3272127959416462</v>
      </c>
      <c r="AH35">
        <f t="shared" si="6"/>
        <v>0.66403677026784902</v>
      </c>
      <c r="AI35">
        <f>IF(G35&lt;=0,1,0)</f>
        <v>0</v>
      </c>
      <c r="AJ35">
        <f>IF(G35&lt;0,1,0)</f>
        <v>0</v>
      </c>
      <c r="AK35">
        <f>MAX(($B$3-G35)/(G35 + 1),0) / $B$3</f>
        <v>0.13593851953889655</v>
      </c>
      <c r="AL35">
        <f>IF(H35+ABS(K35)&lt;0,Logistic(SQRT(H35^2+K35^2)/$B$4),0)</f>
        <v>0</v>
      </c>
      <c r="AM35">
        <f>IF(G35&gt;$B$3,1,0)</f>
        <v>0</v>
      </c>
      <c r="AN35">
        <f>IF(H35&gt;$B$4,1,0)</f>
        <v>0</v>
      </c>
      <c r="AO35">
        <f>ABS(H35)/$B$4</f>
        <v>0</v>
      </c>
      <c r="AP35">
        <f>Logistic(I35/$B$5)</f>
        <v>0.31852077690277092</v>
      </c>
      <c r="AQ35">
        <f>IF(I35&gt;$B$5,1,0)</f>
        <v>0</v>
      </c>
      <c r="AR35">
        <f>Logistic(ABS(F35-O35)/($B$6/2))</f>
        <v>0.71872374853173171</v>
      </c>
      <c r="AS35">
        <f>IF(OR(F35&lt;M35,F35&gt;N35),1,0)</f>
        <v>1</v>
      </c>
      <c r="AT35">
        <f>ABS(K35)/$B$4</f>
        <v>7.4999999999999997E-3</v>
      </c>
      <c r="AU35">
        <f t="shared" ca="1" si="40"/>
        <v>0</v>
      </c>
      <c r="AV35">
        <f ca="1">IF(AND(L35&lt;&gt;$L$15,$Q$15&gt;Safety_Distance),1,0)</f>
        <v>1</v>
      </c>
      <c r="AW35">
        <f ca="1">MAX(1-(IF(Q35/(G35-R35)&gt;0,Q35/(G35-R35),Collision_Time_Buffer)/Collision_Time_Buffer),0)*IF($L$15&lt;&gt;L35,Lane_Change_Multiplier,1)</f>
        <v>0</v>
      </c>
      <c r="AX35">
        <f ca="1">MAX(1-(IF(T35/(G35-U35)&gt;0,T35/(G35-U35),Collision_Time_Buffer)/Collision_Time_Buffer),0)*IF($L$15&lt;&gt;L35,Lane_Change_Multiplier,1)</f>
        <v>0.78846732622221571</v>
      </c>
      <c r="AY35">
        <f ca="1">MAX(1-(IF(W35/(G35-X35)&gt;0,W35/(G35-X35),Collision_Time_Buffer)/Collision_Time_Buffer),0)*IF($L$15&lt;&gt;L35,Lane_Change_Multiplier,1)</f>
        <v>0</v>
      </c>
      <c r="AZ35">
        <f ca="1">MAX(1-(IF(Z35/(G35-AA35)&gt;0,Z35/(G35-AA35),Collision_Time_Buffer)/Collision_Time_Buffer),0)*IF($L$15&lt;&gt;L35,Lane_Change_Multiplier,1)</f>
        <v>0.7320254608358856</v>
      </c>
      <c r="BA35">
        <f t="shared" ca="1" si="41"/>
        <v>0</v>
      </c>
      <c r="BB35">
        <f t="shared" ca="1" si="42"/>
        <v>0</v>
      </c>
      <c r="BC35">
        <f t="shared" si="43"/>
        <v>0</v>
      </c>
      <c r="BE35">
        <f t="shared" si="7"/>
        <v>0.66403677026784902</v>
      </c>
      <c r="BF35">
        <f t="shared" si="44"/>
        <v>0</v>
      </c>
      <c r="BG35">
        <f t="shared" si="45"/>
        <v>0</v>
      </c>
      <c r="BH35">
        <f t="shared" si="8"/>
        <v>0.89416131883079208</v>
      </c>
      <c r="BI35">
        <f t="shared" si="9"/>
        <v>0</v>
      </c>
      <c r="BJ35">
        <f t="shared" si="10"/>
        <v>0</v>
      </c>
      <c r="BK35">
        <f t="shared" si="11"/>
        <v>0</v>
      </c>
      <c r="BL35">
        <f t="shared" si="46"/>
        <v>0</v>
      </c>
      <c r="BM35">
        <f t="shared" si="12"/>
        <v>0.59741007108313038</v>
      </c>
      <c r="BN35">
        <f t="shared" si="13"/>
        <v>0.40500000000000003</v>
      </c>
      <c r="BO35">
        <f t="shared" si="14"/>
        <v>7.4999999999999997E-3</v>
      </c>
      <c r="BP35">
        <f t="shared" si="15"/>
        <v>0</v>
      </c>
      <c r="BQ35">
        <f t="shared" si="16"/>
        <v>0.94113392966352194</v>
      </c>
    </row>
    <row r="36" spans="1:69" x14ac:dyDescent="0.25">
      <c r="A36" s="1" t="s">
        <v>83</v>
      </c>
      <c r="B36">
        <f t="shared" ca="1" si="2"/>
        <v>187.10649377693142</v>
      </c>
      <c r="C36" t="s">
        <v>534</v>
      </c>
      <c r="D36">
        <f t="shared" si="17"/>
        <v>130</v>
      </c>
      <c r="E36">
        <f t="shared" si="18"/>
        <v>136.82</v>
      </c>
      <c r="F36">
        <f t="shared" si="19"/>
        <v>5.4</v>
      </c>
      <c r="G36">
        <f t="shared" si="20"/>
        <v>4.6900000000000004</v>
      </c>
      <c r="H36">
        <f t="shared" si="21"/>
        <v>-0.01</v>
      </c>
      <c r="I36">
        <f t="shared" si="22"/>
        <v>5.29</v>
      </c>
      <c r="J36">
        <f t="shared" si="23"/>
        <v>0.71</v>
      </c>
      <c r="K36">
        <f t="shared" si="24"/>
        <v>0.1</v>
      </c>
      <c r="L36">
        <f t="shared" si="3"/>
        <v>1</v>
      </c>
      <c r="M36">
        <f t="shared" si="0"/>
        <v>0</v>
      </c>
      <c r="N36">
        <f t="shared" si="1"/>
        <v>4</v>
      </c>
      <c r="O36">
        <f t="shared" si="4"/>
        <v>2</v>
      </c>
      <c r="P36" t="e">
        <f t="shared" si="5"/>
        <v>#VALUE!</v>
      </c>
      <c r="Q36">
        <f t="shared" ca="1" si="25"/>
        <v>1000000</v>
      </c>
      <c r="R36">
        <f t="shared" ca="1" si="26"/>
        <v>100</v>
      </c>
      <c r="S36">
        <f t="shared" si="27"/>
        <v>45</v>
      </c>
      <c r="T36">
        <f t="shared" ca="1" si="28"/>
        <v>-35.416685000000001</v>
      </c>
      <c r="U36">
        <f t="shared" ca="1" si="29"/>
        <v>21.462890999999999</v>
      </c>
      <c r="V36" t="e">
        <f t="shared" si="30"/>
        <v>#VALUE!</v>
      </c>
      <c r="W36">
        <f t="shared" ca="1" si="31"/>
        <v>1000000000</v>
      </c>
      <c r="X36">
        <f t="shared" ca="1" si="32"/>
        <v>100</v>
      </c>
      <c r="Y36">
        <f>GetFollowingCarRow($B$45:$E$54,L36,$E$15,E36)</f>
        <v>45</v>
      </c>
      <c r="Z36">
        <f t="shared" ca="1" si="33"/>
        <v>-44.836684999999989</v>
      </c>
      <c r="AA36">
        <f t="shared" ca="1" si="34"/>
        <v>21.462890999999999</v>
      </c>
      <c r="AB36">
        <f t="shared" si="35"/>
        <v>0.76999999999999957</v>
      </c>
      <c r="AC36">
        <f t="shared" si="36"/>
        <v>9.4199999999999875</v>
      </c>
      <c r="AD36">
        <f t="shared" si="37"/>
        <v>16.583800424628457</v>
      </c>
      <c r="AE36">
        <f t="shared" si="38"/>
        <v>-156.21939999999987</v>
      </c>
      <c r="AF36">
        <f t="shared" si="39"/>
        <v>9.4514178830480127</v>
      </c>
      <c r="AG36">
        <f>GetSmallestNormalDistance($B$45:$E$54,AB36,AC36,AF36,$L$15,L36)</f>
        <v>9.4732963644101638</v>
      </c>
      <c r="AH36">
        <f t="shared" si="6"/>
        <v>0.66403677026784902</v>
      </c>
      <c r="AI36">
        <f>IF(G36&lt;=0,1,0)</f>
        <v>0</v>
      </c>
      <c r="AJ36">
        <f>IF(G36&lt;0,1,0)</f>
        <v>0</v>
      </c>
      <c r="AK36">
        <f>MAX(($B$3-G36)/(G36 + 1),0) / $B$3</f>
        <v>0.13690370691839943</v>
      </c>
      <c r="AL36">
        <f>IF(H36+ABS(K36)&lt;0,Logistic(SQRT(H36^2+K36^2)/$B$4),0)</f>
        <v>0</v>
      </c>
      <c r="AM36">
        <f>IF(G36&gt;$B$3,1,0)</f>
        <v>0</v>
      </c>
      <c r="AN36">
        <f>IF(H36&gt;$B$4,1,0)</f>
        <v>0</v>
      </c>
      <c r="AO36">
        <f>ABS(H36)/$B$4</f>
        <v>1.25E-3</v>
      </c>
      <c r="AP36">
        <f>Logistic(I36/$B$5)</f>
        <v>0.31908225537473806</v>
      </c>
      <c r="AQ36">
        <f>IF(I36&gt;$B$5,1,0)</f>
        <v>0</v>
      </c>
      <c r="AR36">
        <f>Logistic(ABS(F36-O36)/($B$6/2))</f>
        <v>0.69106946983293061</v>
      </c>
      <c r="AS36">
        <f>IF(OR(F36&lt;M36,F36&gt;N36),1,0)</f>
        <v>1</v>
      </c>
      <c r="AT36">
        <f>ABS(K36)/$B$4</f>
        <v>1.2500000000000001E-2</v>
      </c>
      <c r="AU36">
        <f t="shared" ca="1" si="40"/>
        <v>0</v>
      </c>
      <c r="AV36">
        <f ca="1">IF(AND(L36&lt;&gt;$L$15,$Q$15&gt;Safety_Distance),1,0)</f>
        <v>1</v>
      </c>
      <c r="AW36">
        <f ca="1">MAX(1-(IF(Q36/(G36-R36)&gt;0,Q36/(G36-R36),Collision_Time_Buffer)/Collision_Time_Buffer),0)*IF($L$15&lt;&gt;L36,Lane_Change_Multiplier,1)</f>
        <v>0</v>
      </c>
      <c r="AX36">
        <f ca="1">MAX(1-(IF(T36/(G36-U36)&gt;0,T36/(G36-U36),Collision_Time_Buffer)/Collision_Time_Buffer),0)*IF($L$15&lt;&gt;L36,Lane_Change_Multiplier,1)</f>
        <v>0.78884567365280078</v>
      </c>
      <c r="AY36">
        <f ca="1">MAX(1-(IF(W36/(G36-X36)&gt;0,W36/(G36-X36),Collision_Time_Buffer)/Collision_Time_Buffer),0)*IF($L$15&lt;&gt;L36,Lane_Change_Multiplier,1)</f>
        <v>0</v>
      </c>
      <c r="AZ36">
        <f ca="1">MAX(1-(IF(Z36/(G36-AA36)&gt;0,Z36/(G36-AA36),Collision_Time_Buffer)/Collision_Time_Buffer),0)*IF($L$15&lt;&gt;L36,Lane_Change_Multiplier,1)</f>
        <v>0.73268362025365819</v>
      </c>
      <c r="BA36">
        <f t="shared" ca="1" si="41"/>
        <v>0</v>
      </c>
      <c r="BB36">
        <f t="shared" ca="1" si="42"/>
        <v>0</v>
      </c>
      <c r="BC36">
        <f t="shared" si="43"/>
        <v>0</v>
      </c>
      <c r="BE36">
        <f t="shared" si="7"/>
        <v>0.66403677026784902</v>
      </c>
      <c r="BF36">
        <f t="shared" si="44"/>
        <v>0</v>
      </c>
      <c r="BG36">
        <f t="shared" si="45"/>
        <v>0</v>
      </c>
      <c r="BH36">
        <f t="shared" si="8"/>
        <v>0.89619561749859178</v>
      </c>
      <c r="BI36">
        <f t="shared" si="9"/>
        <v>0</v>
      </c>
      <c r="BJ36">
        <f t="shared" si="10"/>
        <v>0</v>
      </c>
      <c r="BK36">
        <f t="shared" si="11"/>
        <v>0</v>
      </c>
      <c r="BL36">
        <f t="shared" si="46"/>
        <v>0</v>
      </c>
      <c r="BM36">
        <f t="shared" si="12"/>
        <v>0.59912361417081894</v>
      </c>
      <c r="BN36">
        <f t="shared" si="13"/>
        <v>0.35000000000000009</v>
      </c>
      <c r="BO36">
        <f t="shared" si="14"/>
        <v>1.2500000000000001E-2</v>
      </c>
      <c r="BP36">
        <f t="shared" si="15"/>
        <v>6.2499991861977931E-4</v>
      </c>
      <c r="BQ36">
        <f t="shared" si="16"/>
        <v>0.94275490049107069</v>
      </c>
    </row>
    <row r="37" spans="1:69" x14ac:dyDescent="0.25">
      <c r="A37" s="1" t="s">
        <v>84</v>
      </c>
      <c r="B37">
        <f t="shared" ca="1" si="2"/>
        <v>188.54457079322231</v>
      </c>
      <c r="C37" t="s">
        <v>533</v>
      </c>
      <c r="D37">
        <f t="shared" si="17"/>
        <v>130</v>
      </c>
      <c r="E37">
        <f t="shared" si="18"/>
        <v>136.65</v>
      </c>
      <c r="F37">
        <f t="shared" si="19"/>
        <v>4.87</v>
      </c>
      <c r="G37">
        <f t="shared" si="20"/>
        <v>4.5199999999999996</v>
      </c>
      <c r="H37">
        <f t="shared" si="21"/>
        <v>-0.06</v>
      </c>
      <c r="I37">
        <f t="shared" si="22"/>
        <v>5.33</v>
      </c>
      <c r="J37">
        <f t="shared" si="23"/>
        <v>1.1200000000000001</v>
      </c>
      <c r="K37">
        <f t="shared" si="24"/>
        <v>0.23</v>
      </c>
      <c r="L37">
        <f t="shared" si="3"/>
        <v>1</v>
      </c>
      <c r="M37">
        <f t="shared" si="0"/>
        <v>0</v>
      </c>
      <c r="N37">
        <f t="shared" si="1"/>
        <v>4</v>
      </c>
      <c r="O37">
        <f t="shared" si="4"/>
        <v>2</v>
      </c>
      <c r="P37" t="e">
        <f t="shared" si="5"/>
        <v>#VALUE!</v>
      </c>
      <c r="Q37">
        <f t="shared" ca="1" si="25"/>
        <v>1000000</v>
      </c>
      <c r="R37">
        <f t="shared" ca="1" si="26"/>
        <v>100</v>
      </c>
      <c r="S37">
        <f t="shared" si="27"/>
        <v>45</v>
      </c>
      <c r="T37">
        <f t="shared" ca="1" si="28"/>
        <v>-35.416685000000001</v>
      </c>
      <c r="U37">
        <f t="shared" ca="1" si="29"/>
        <v>21.462890999999999</v>
      </c>
      <c r="V37" t="e">
        <f t="shared" si="30"/>
        <v>#VALUE!</v>
      </c>
      <c r="W37">
        <f t="shared" ca="1" si="31"/>
        <v>1000000000</v>
      </c>
      <c r="X37">
        <f t="shared" ca="1" si="32"/>
        <v>100</v>
      </c>
      <c r="Y37">
        <f>GetFollowingCarRow($B$45:$E$54,L37,$E$15,E37)</f>
        <v>45</v>
      </c>
      <c r="Z37">
        <f t="shared" ca="1" si="33"/>
        <v>-44.666685000000001</v>
      </c>
      <c r="AA37">
        <f t="shared" ca="1" si="34"/>
        <v>21.462890999999999</v>
      </c>
      <c r="AB37">
        <f t="shared" si="35"/>
        <v>1.2999999999999998</v>
      </c>
      <c r="AC37">
        <f t="shared" si="36"/>
        <v>9.25</v>
      </c>
      <c r="AD37">
        <f t="shared" si="37"/>
        <v>24.074864864864864</v>
      </c>
      <c r="AE37">
        <f t="shared" si="38"/>
        <v>-222.6925</v>
      </c>
      <c r="AF37">
        <f t="shared" si="39"/>
        <v>9.3409046671079992</v>
      </c>
      <c r="AG37">
        <f>GetSmallestNormalDistance($B$45:$E$54,AB37,AC37,AF37,$L$15,L37)</f>
        <v>14.768334536777799</v>
      </c>
      <c r="AH37">
        <f t="shared" si="6"/>
        <v>0.66403677026784902</v>
      </c>
      <c r="AI37">
        <f>IF(G37&lt;=0,1,0)</f>
        <v>0</v>
      </c>
      <c r="AJ37">
        <f>IF(G37&lt;0,1,0)</f>
        <v>0</v>
      </c>
      <c r="AK37">
        <f>MAX(($B$3-G37)/(G37 + 1),0) / $B$3</f>
        <v>0.14257126855987651</v>
      </c>
      <c r="AL37">
        <f>IF(H37+ABS(K37)&lt;0,Logistic(SQRT(H37^2+K37^2)/$B$4),0)</f>
        <v>0</v>
      </c>
      <c r="AM37">
        <f>IF(G37&gt;$B$3,1,0)</f>
        <v>0</v>
      </c>
      <c r="AN37">
        <f>IF(H37&gt;$B$4,1,0)</f>
        <v>0</v>
      </c>
      <c r="AO37">
        <f>ABS(H37)/$B$4</f>
        <v>7.4999999999999997E-3</v>
      </c>
      <c r="AP37">
        <f>Logistic(I37/$B$5)</f>
        <v>0.32132592719652309</v>
      </c>
      <c r="AQ37">
        <f>IF(I37&gt;$B$5,1,0)</f>
        <v>0</v>
      </c>
      <c r="AR37">
        <f>Logistic(ABS(F37-O37)/($B$6/2))</f>
        <v>0.61535835684555418</v>
      </c>
      <c r="AS37">
        <f>IF(OR(F37&lt;M37,F37&gt;N37),1,0)</f>
        <v>1</v>
      </c>
      <c r="AT37">
        <f>ABS(K37)/$B$4</f>
        <v>2.8750000000000001E-2</v>
      </c>
      <c r="AU37">
        <f t="shared" ca="1" si="40"/>
        <v>0</v>
      </c>
      <c r="AV37">
        <f ca="1">IF(AND(L37&lt;&gt;$L$15,$Q$15&gt;Safety_Distance),1,0)</f>
        <v>1</v>
      </c>
      <c r="AW37">
        <f ca="1">MAX(1-(IF(Q37/(G37-R37)&gt;0,Q37/(G37-R37),Collision_Time_Buffer)/Collision_Time_Buffer),0)*IF($L$15&lt;&gt;L37,Lane_Change_Multiplier,1)</f>
        <v>0</v>
      </c>
      <c r="AX37">
        <f ca="1">MAX(1-(IF(T37/(G37-U37)&gt;0,T37/(G37-U37),Collision_Time_Buffer)/Collision_Time_Buffer),0)*IF($L$15&lt;&gt;L37,Lane_Change_Multiplier,1)</f>
        <v>0.79096433424496437</v>
      </c>
      <c r="AY37">
        <f ca="1">MAX(1-(IF(W37/(G37-X37)&gt;0,W37/(G37-X37),Collision_Time_Buffer)/Collision_Time_Buffer),0)*IF($L$15&lt;&gt;L37,Lane_Change_Multiplier,1)</f>
        <v>0</v>
      </c>
      <c r="AZ37">
        <f ca="1">MAX(1-(IF(Z37/(G37-AA37)&gt;0,Z37/(G37-AA37),Collision_Time_Buffer)/Collision_Time_Buffer),0)*IF($L$15&lt;&gt;L37,Lane_Change_Multiplier,1)</f>
        <v>0.73636916509703099</v>
      </c>
      <c r="BA37">
        <f t="shared" ca="1" si="41"/>
        <v>0</v>
      </c>
      <c r="BB37">
        <f t="shared" ca="1" si="42"/>
        <v>0</v>
      </c>
      <c r="BC37">
        <f t="shared" si="43"/>
        <v>0</v>
      </c>
      <c r="BE37">
        <f t="shared" si="7"/>
        <v>0.66403677026784902</v>
      </c>
      <c r="BF37">
        <f t="shared" si="44"/>
        <v>0</v>
      </c>
      <c r="BG37">
        <f t="shared" si="45"/>
        <v>0</v>
      </c>
      <c r="BH37">
        <f t="shared" si="8"/>
        <v>0.90741369838516384</v>
      </c>
      <c r="BI37">
        <f t="shared" si="9"/>
        <v>0</v>
      </c>
      <c r="BJ37">
        <f t="shared" si="10"/>
        <v>0</v>
      </c>
      <c r="BK37">
        <f t="shared" si="11"/>
        <v>3.3756978061175827E-58</v>
      </c>
      <c r="BL37">
        <f t="shared" si="46"/>
        <v>0</v>
      </c>
      <c r="BM37">
        <f t="shared" si="12"/>
        <v>0.60596194839968986</v>
      </c>
      <c r="BN37">
        <f t="shared" si="13"/>
        <v>0.21750000000000003</v>
      </c>
      <c r="BO37">
        <f t="shared" si="14"/>
        <v>2.8750000000000001E-2</v>
      </c>
      <c r="BP37">
        <f t="shared" si="15"/>
        <v>3.7499824219738836E-3</v>
      </c>
      <c r="BQ37">
        <f t="shared" si="16"/>
        <v>0.95149528995396482</v>
      </c>
    </row>
    <row r="38" spans="1:69" x14ac:dyDescent="0.25">
      <c r="A38" s="1" t="s">
        <v>19</v>
      </c>
      <c r="B38">
        <f t="shared" ca="1" si="2"/>
        <v>191.7064872486155</v>
      </c>
      <c r="C38" t="s">
        <v>532</v>
      </c>
      <c r="D38">
        <f t="shared" si="17"/>
        <v>74</v>
      </c>
      <c r="E38">
        <f t="shared" si="18"/>
        <v>153.12</v>
      </c>
      <c r="F38">
        <f t="shared" si="19"/>
        <v>2.85</v>
      </c>
      <c r="G38">
        <f t="shared" si="20"/>
        <v>53.18</v>
      </c>
      <c r="H38">
        <f t="shared" si="21"/>
        <v>27.84</v>
      </c>
      <c r="I38">
        <f t="shared" si="22"/>
        <v>22.56</v>
      </c>
      <c r="J38">
        <f t="shared" si="23"/>
        <v>10.91</v>
      </c>
      <c r="K38">
        <f t="shared" si="24"/>
        <v>0.06</v>
      </c>
      <c r="L38">
        <f t="shared" si="3"/>
        <v>1</v>
      </c>
      <c r="M38">
        <f>$B$6*(L38-1)</f>
        <v>0</v>
      </c>
      <c r="N38">
        <f>$B$6*L38</f>
        <v>4</v>
      </c>
      <c r="O38">
        <f t="shared" si="4"/>
        <v>2</v>
      </c>
      <c r="P38" t="e">
        <f t="shared" si="5"/>
        <v>#VALUE!</v>
      </c>
      <c r="Q38">
        <f t="shared" ca="1" si="25"/>
        <v>1000000</v>
      </c>
      <c r="R38">
        <f t="shared" ca="1" si="26"/>
        <v>100</v>
      </c>
      <c r="S38">
        <f t="shared" si="27"/>
        <v>45</v>
      </c>
      <c r="T38">
        <f t="shared" ca="1" si="28"/>
        <v>-35.416685000000001</v>
      </c>
      <c r="U38">
        <f t="shared" ca="1" si="29"/>
        <v>21.462890999999999</v>
      </c>
      <c r="V38" t="e">
        <f t="shared" si="30"/>
        <v>#VALUE!</v>
      </c>
      <c r="W38">
        <f t="shared" ca="1" si="31"/>
        <v>1000000000</v>
      </c>
      <c r="X38">
        <f t="shared" ca="1" si="32"/>
        <v>100</v>
      </c>
      <c r="Y38">
        <f>GetFollowingCarRow($B$45:$E$54,L38,$E$15,E38)</f>
        <v>45</v>
      </c>
      <c r="Z38">
        <f t="shared" ca="1" si="33"/>
        <v>-61.136685</v>
      </c>
      <c r="AA38">
        <f t="shared" ca="1" si="34"/>
        <v>21.462890999999999</v>
      </c>
      <c r="AB38">
        <f t="shared" si="35"/>
        <v>3.32</v>
      </c>
      <c r="AC38">
        <f t="shared" si="36"/>
        <v>25.72</v>
      </c>
      <c r="AD38">
        <f t="shared" si="37"/>
        <v>22.615101088646966</v>
      </c>
      <c r="AE38">
        <f t="shared" si="38"/>
        <v>-581.66039999999998</v>
      </c>
      <c r="AF38">
        <f t="shared" si="39"/>
        <v>25.933391602333849</v>
      </c>
      <c r="AG38">
        <f>GetSmallestNormalDistance($B$45:$E$54,AB38,AC38,AF38,$L$15,L38)</f>
        <v>13.74547314081048</v>
      </c>
      <c r="AH38">
        <f>Logistic((D38-$B$2)/$B$2)</f>
        <v>0.23549574953849797</v>
      </c>
      <c r="AI38">
        <f>IF(G38&lt;=0,1,0)</f>
        <v>0</v>
      </c>
      <c r="AJ38">
        <f>IF(G38&lt;0,1,0)</f>
        <v>0</v>
      </c>
      <c r="AK38">
        <f>MAX(($B$3-G38)/(G38 + 1),0) / $B$3</f>
        <v>0</v>
      </c>
      <c r="AL38">
        <f>IF(H38+ABS(K38)&lt;0,Logistic(SQRT(H38^2+K38^2)/$B$4),0)</f>
        <v>0</v>
      </c>
      <c r="AM38">
        <f>IF(G38&gt;$B$3,1,0)</f>
        <v>1</v>
      </c>
      <c r="AN38">
        <f>IF(H38&gt;$B$4,1,0)</f>
        <v>1</v>
      </c>
      <c r="AO38">
        <f>ABS(H38)/$B$4</f>
        <v>3.48</v>
      </c>
      <c r="AP38">
        <f>Logistic(I38/$B$5)</f>
        <v>0.88749413285366519</v>
      </c>
      <c r="AQ38">
        <f>IF(I38&gt;$B$5,1,0)</f>
        <v>1</v>
      </c>
      <c r="AR38">
        <f>Logistic(ABS(F38-O38)/($B$6/2))</f>
        <v>0.20935816942801874</v>
      </c>
      <c r="AS38">
        <f>IF(OR(F38&lt;M38,F38&gt;N38),1,0)</f>
        <v>0</v>
      </c>
      <c r="AT38">
        <f>ABS(K38)/$B$4</f>
        <v>7.4999999999999997E-3</v>
      </c>
      <c r="AU38">
        <f t="shared" ca="1" si="40"/>
        <v>0</v>
      </c>
      <c r="AV38">
        <f ca="1">IF(AND(L38&lt;&gt;$L$15,$Q$15&gt;Safety_Distance),1,0)</f>
        <v>1</v>
      </c>
      <c r="AW38">
        <f ca="1">MAX(1-(IF(Q38/(G38-R38)&gt;0,Q38/(G38-R38),Collision_Time_Buffer)/Collision_Time_Buffer),0)*IF($L$15&lt;&gt;L38,Lane_Change_Multiplier,1)</f>
        <v>0</v>
      </c>
      <c r="AX38">
        <f ca="1">MAX(1-(IF(T38/(G38-U38)&gt;0,T38/(G38-U38),Collision_Time_Buffer)/Collision_Time_Buffer),0)*IF($L$15&lt;&gt;L38,Lane_Change_Multiplier,1)</f>
        <v>0</v>
      </c>
      <c r="AY38">
        <f ca="1">MAX(1-(IF(W38/(G38-X38)&gt;0,W38/(G38-X38),Collision_Time_Buffer)/Collision_Time_Buffer),0)*IF($L$15&lt;&gt;L38,Lane_Change_Multiplier,1)</f>
        <v>0</v>
      </c>
      <c r="AZ38">
        <f ca="1">MAX(1-(IF(Z38/(G38-AA38)&gt;0,Z38/(G38-AA38),Collision_Time_Buffer)/Collision_Time_Buffer),0)*IF($L$15&lt;&gt;L38,Lane_Change_Multiplier,1)</f>
        <v>0</v>
      </c>
      <c r="BA38">
        <f t="shared" ca="1" si="41"/>
        <v>0</v>
      </c>
      <c r="BB38">
        <f t="shared" ca="1" si="42"/>
        <v>0</v>
      </c>
      <c r="BC38">
        <f t="shared" si="43"/>
        <v>0</v>
      </c>
      <c r="BE38">
        <f>Logistic((D38-$B$2)/$B$2)</f>
        <v>0.23549574953849797</v>
      </c>
      <c r="BF38">
        <f t="shared" si="44"/>
        <v>0</v>
      </c>
      <c r="BG38">
        <f t="shared" si="45"/>
        <v>0</v>
      </c>
      <c r="BH38">
        <f>Logistic(($B$3-G38)/(G38+1))</f>
        <v>-0.28667777786964022</v>
      </c>
      <c r="BI38">
        <f>IF(G38&gt;$B$3,1,0)</f>
        <v>1</v>
      </c>
      <c r="BJ38">
        <f>IF(H38&gt;$B$5,1,0)</f>
        <v>1</v>
      </c>
      <c r="BK38">
        <f>EXP(-($B$4-ABS(H38))/MAX(ABS(H38),0.000000001))</f>
        <v>2.0393755910017255</v>
      </c>
      <c r="BL38">
        <f t="shared" si="46"/>
        <v>0</v>
      </c>
      <c r="BM38">
        <f>EXP(-($B$5-I38)/MAX(I38,0.000000001))</f>
        <v>1.9067306444116165</v>
      </c>
      <c r="BN38">
        <f>IF(F38&gt;N38,(F38-N38)/$B$6,0)+IF(F38&lt;M38,(M38-F38)/$B$6,0)</f>
        <v>0</v>
      </c>
      <c r="BO38">
        <f>ABS(K38/$B$4)</f>
        <v>7.4999999999999997E-3</v>
      </c>
      <c r="BP38">
        <f>Logistic(ABS(H38)/$B$4)</f>
        <v>0.94022664039272752</v>
      </c>
      <c r="BQ38">
        <f>Logistic(($B$3-G38)/G38)</f>
        <v>-0.29175996429085238</v>
      </c>
    </row>
    <row r="39" spans="1:69" x14ac:dyDescent="0.25">
      <c r="A39" s="1" t="s">
        <v>18</v>
      </c>
      <c r="B39">
        <f t="shared" ca="1" si="2"/>
        <v>191.59212596067471</v>
      </c>
      <c r="C39" t="s">
        <v>531</v>
      </c>
      <c r="D39">
        <f t="shared" si="17"/>
        <v>70</v>
      </c>
      <c r="E39">
        <f t="shared" si="18"/>
        <v>149</v>
      </c>
      <c r="F39">
        <f t="shared" si="19"/>
        <v>2.93</v>
      </c>
      <c r="G39">
        <f t="shared" si="20"/>
        <v>48.71</v>
      </c>
      <c r="H39">
        <f t="shared" si="21"/>
        <v>27.83</v>
      </c>
      <c r="I39">
        <f t="shared" si="22"/>
        <v>22.56</v>
      </c>
      <c r="J39">
        <f t="shared" si="23"/>
        <v>11.2</v>
      </c>
      <c r="K39">
        <f t="shared" si="24"/>
        <v>0.1</v>
      </c>
      <c r="L39">
        <f t="shared" si="3"/>
        <v>1</v>
      </c>
      <c r="M39">
        <f>$B$6*(L39-1)</f>
        <v>0</v>
      </c>
      <c r="N39">
        <f>$B$6*L39</f>
        <v>4</v>
      </c>
      <c r="O39">
        <f t="shared" si="4"/>
        <v>2</v>
      </c>
      <c r="P39" t="e">
        <f t="shared" si="5"/>
        <v>#VALUE!</v>
      </c>
      <c r="Q39">
        <f t="shared" ca="1" si="25"/>
        <v>1000000</v>
      </c>
      <c r="R39">
        <f t="shared" ca="1" si="26"/>
        <v>100</v>
      </c>
      <c r="S39">
        <f t="shared" si="27"/>
        <v>45</v>
      </c>
      <c r="T39">
        <f t="shared" ca="1" si="28"/>
        <v>-35.416685000000001</v>
      </c>
      <c r="U39">
        <f t="shared" ca="1" si="29"/>
        <v>21.462890999999999</v>
      </c>
      <c r="V39" t="e">
        <f t="shared" si="30"/>
        <v>#VALUE!</v>
      </c>
      <c r="W39">
        <f t="shared" ca="1" si="31"/>
        <v>1000000000</v>
      </c>
      <c r="X39">
        <f t="shared" ca="1" si="32"/>
        <v>100</v>
      </c>
      <c r="Y39">
        <f>GetFollowingCarRow($B$45:$E$54,L39,$E$15,E39)</f>
        <v>45</v>
      </c>
      <c r="Z39">
        <f t="shared" ca="1" si="33"/>
        <v>-57.016684999999995</v>
      </c>
      <c r="AA39">
        <f t="shared" ca="1" si="34"/>
        <v>21.462890999999999</v>
      </c>
      <c r="AB39">
        <f t="shared" si="35"/>
        <v>3.2399999999999998</v>
      </c>
      <c r="AC39">
        <f t="shared" si="36"/>
        <v>21.599999999999994</v>
      </c>
      <c r="AD39">
        <f t="shared" si="37"/>
        <v>25.28</v>
      </c>
      <c r="AE39">
        <f t="shared" si="38"/>
        <v>-546.04799999999989</v>
      </c>
      <c r="AF39">
        <f t="shared" si="39"/>
        <v>21.841648289449214</v>
      </c>
      <c r="AG39">
        <f>GetSmallestNormalDistance($B$45:$E$54,AB39,AC39,AF39,$L$15,L39)</f>
        <v>15.608959254448154</v>
      </c>
      <c r="AH39">
        <f>Logistic((D39-$B$2)/$B$2)</f>
        <v>0.19737532022490398</v>
      </c>
      <c r="AI39">
        <f>IF(G39&lt;=0,1,0)</f>
        <v>0</v>
      </c>
      <c r="AJ39">
        <f>IF(G39&lt;0,1,0)</f>
        <v>0</v>
      </c>
      <c r="AK39">
        <f>MAX(($B$3-G39)/(G39 + 1),0) / $B$3</f>
        <v>0</v>
      </c>
      <c r="AL39">
        <f>IF(H39+ABS(K39)&lt;0,Logistic(SQRT(H39^2+K39^2)/$B$4),0)</f>
        <v>0</v>
      </c>
      <c r="AM39">
        <f>IF(G39&gt;$B$3,1,0)</f>
        <v>1</v>
      </c>
      <c r="AN39">
        <f>IF(H39&gt;$B$4,1,0)</f>
        <v>1</v>
      </c>
      <c r="AO39">
        <f>ABS(H39)/$B$4</f>
        <v>3.4787499999999998</v>
      </c>
      <c r="AP39">
        <f>Logistic(I39/$B$5)</f>
        <v>0.88749413285366519</v>
      </c>
      <c r="AQ39">
        <f>IF(I39&gt;$B$5,1,0)</f>
        <v>1</v>
      </c>
      <c r="AR39">
        <f>Logistic(ABS(F39-O39)/($B$6/2))</f>
        <v>0.22839928555379033</v>
      </c>
      <c r="AS39">
        <f>IF(OR(F39&lt;M39,F39&gt;N39),1,0)</f>
        <v>0</v>
      </c>
      <c r="AT39">
        <f>ABS(K39)/$B$4</f>
        <v>1.2500000000000001E-2</v>
      </c>
      <c r="AU39">
        <f t="shared" ca="1" si="40"/>
        <v>0</v>
      </c>
      <c r="AV39">
        <f ca="1">IF(AND(L39&lt;&gt;$L$15,$Q$15&gt;Safety_Distance),1,0)</f>
        <v>1</v>
      </c>
      <c r="AW39">
        <f ca="1">MAX(1-(IF(Q39/(G39-R39)&gt;0,Q39/(G39-R39),Collision_Time_Buffer)/Collision_Time_Buffer),0)*IF($L$15&lt;&gt;L39,Lane_Change_Multiplier,1)</f>
        <v>0</v>
      </c>
      <c r="AX39">
        <f ca="1">MAX(1-(IF(T39/(G39-U39)&gt;0,T39/(G39-U39),Collision_Time_Buffer)/Collision_Time_Buffer),0)*IF($L$15&lt;&gt;L39,Lane_Change_Multiplier,1)</f>
        <v>0</v>
      </c>
      <c r="AY39">
        <f ca="1">MAX(1-(IF(W39/(G39-X39)&gt;0,W39/(G39-X39),Collision_Time_Buffer)/Collision_Time_Buffer),0)*IF($L$15&lt;&gt;L39,Lane_Change_Multiplier,1)</f>
        <v>0</v>
      </c>
      <c r="AZ39">
        <f ca="1">MAX(1-(IF(Z39/(G39-AA39)&gt;0,Z39/(G39-AA39),Collision_Time_Buffer)/Collision_Time_Buffer),0)*IF($L$15&lt;&gt;L39,Lane_Change_Multiplier,1)</f>
        <v>0</v>
      </c>
      <c r="BA39">
        <f t="shared" ca="1" si="41"/>
        <v>0</v>
      </c>
      <c r="BB39">
        <f t="shared" ca="1" si="42"/>
        <v>0</v>
      </c>
      <c r="BC39">
        <f t="shared" si="43"/>
        <v>0</v>
      </c>
      <c r="BE39">
        <f>Logistic((D39-$B$2)/$B$2)</f>
        <v>0.19737532022490398</v>
      </c>
      <c r="BF39">
        <f t="shared" si="44"/>
        <v>0</v>
      </c>
      <c r="BG39">
        <f t="shared" si="45"/>
        <v>0</v>
      </c>
      <c r="BH39">
        <f>Logistic(($B$3-G39)/(G39+1))</f>
        <v>-0.26966611785006578</v>
      </c>
      <c r="BI39">
        <f>IF(G39&gt;$B$3,1,0)</f>
        <v>1</v>
      </c>
      <c r="BJ39">
        <f>IF(H39&gt;$B$5,1,0)</f>
        <v>1</v>
      </c>
      <c r="BK39">
        <f>EXP(-($B$4-ABS(H39))/MAX(ABS(H39),0.000000001))</f>
        <v>2.0391650278630857</v>
      </c>
      <c r="BL39">
        <f t="shared" si="46"/>
        <v>0</v>
      </c>
      <c r="BM39">
        <f>EXP(-($B$5-I39)/MAX(I39,0.000000001))</f>
        <v>1.9067306444116165</v>
      </c>
      <c r="BN39">
        <f>IF(F39&gt;N39,(F39-N39)/$B$6,0)+IF(F39&lt;M39,(M39-F39)/$B$6,0)</f>
        <v>0</v>
      </c>
      <c r="BO39">
        <f>ABS(K39/$B$4)</f>
        <v>1.2500000000000001E-2</v>
      </c>
      <c r="BP39">
        <f>Logistic(ABS(H39)/$B$4)</f>
        <v>0.94015411411727601</v>
      </c>
      <c r="BQ39">
        <f>Logistic(($B$3-G39)/G39)</f>
        <v>-0.27492174899641597</v>
      </c>
    </row>
    <row r="40" spans="1:69" x14ac:dyDescent="0.25">
      <c r="A40" s="1" t="s">
        <v>17</v>
      </c>
      <c r="B40">
        <f t="shared" ca="1" si="2"/>
        <v>191.41727734363536</v>
      </c>
      <c r="C40" t="s">
        <v>530</v>
      </c>
      <c r="D40">
        <f t="shared" si="17"/>
        <v>64</v>
      </c>
      <c r="E40">
        <f t="shared" si="18"/>
        <v>143.47</v>
      </c>
      <c r="F40">
        <f t="shared" si="19"/>
        <v>2.94</v>
      </c>
      <c r="G40">
        <f t="shared" si="20"/>
        <v>41.97</v>
      </c>
      <c r="H40">
        <f t="shared" si="21"/>
        <v>27.79</v>
      </c>
      <c r="I40">
        <f t="shared" si="22"/>
        <v>22.51</v>
      </c>
      <c r="J40">
        <f t="shared" si="23"/>
        <v>12.44</v>
      </c>
      <c r="K40">
        <f t="shared" si="24"/>
        <v>0.23</v>
      </c>
      <c r="L40">
        <f t="shared" si="3"/>
        <v>1</v>
      </c>
      <c r="M40">
        <f>$B$6*(L40-1)</f>
        <v>0</v>
      </c>
      <c r="N40">
        <f>$B$6*L40</f>
        <v>4</v>
      </c>
      <c r="O40">
        <f t="shared" si="4"/>
        <v>2</v>
      </c>
      <c r="P40" t="e">
        <f t="shared" si="5"/>
        <v>#VALUE!</v>
      </c>
      <c r="Q40">
        <f t="shared" ca="1" si="25"/>
        <v>1000000</v>
      </c>
      <c r="R40">
        <f t="shared" ca="1" si="26"/>
        <v>100</v>
      </c>
      <c r="S40">
        <f t="shared" si="27"/>
        <v>45</v>
      </c>
      <c r="T40">
        <f t="shared" ca="1" si="28"/>
        <v>-35.416685000000001</v>
      </c>
      <c r="U40">
        <f t="shared" ca="1" si="29"/>
        <v>21.462890999999999</v>
      </c>
      <c r="V40" t="e">
        <f t="shared" si="30"/>
        <v>#VALUE!</v>
      </c>
      <c r="W40">
        <f t="shared" ca="1" si="31"/>
        <v>1000000000</v>
      </c>
      <c r="X40">
        <f t="shared" ca="1" si="32"/>
        <v>100</v>
      </c>
      <c r="Y40">
        <f>GetFollowingCarRow($B$45:$E$54,L40,$E$15,E40)</f>
        <v>45</v>
      </c>
      <c r="Z40">
        <f t="shared" ca="1" si="33"/>
        <v>-51.486684999999994</v>
      </c>
      <c r="AA40">
        <f t="shared" ca="1" si="34"/>
        <v>21.462890999999999</v>
      </c>
      <c r="AB40">
        <f t="shared" si="35"/>
        <v>3.23</v>
      </c>
      <c r="AC40">
        <f t="shared" si="36"/>
        <v>16.069999999999993</v>
      </c>
      <c r="AD40">
        <f t="shared" si="37"/>
        <v>31.776845052893606</v>
      </c>
      <c r="AE40">
        <f t="shared" si="38"/>
        <v>-510.65390000000002</v>
      </c>
      <c r="AF40">
        <f t="shared" si="39"/>
        <v>16.391394083481728</v>
      </c>
      <c r="AG40">
        <f>GetSmallestNormalDistance($B$45:$E$54,AB40,AC40,AF40,$L$15,L40)</f>
        <v>20.072881403148578</v>
      </c>
      <c r="AH40">
        <f>Logistic((D40-$B$2)/$B$2)</f>
        <v>0.13909244787845804</v>
      </c>
      <c r="AI40">
        <f>IF(G40&lt;=0,1,0)</f>
        <v>0</v>
      </c>
      <c r="AJ40">
        <f>IF(G40&lt;0,1,0)</f>
        <v>0</v>
      </c>
      <c r="AK40">
        <f>MAX(($B$3-G40)/(G40 + 1),0) / $B$3</f>
        <v>0</v>
      </c>
      <c r="AL40">
        <f>IF(H40+ABS(K40)&lt;0,Logistic(SQRT(H40^2+K40^2)/$B$4),0)</f>
        <v>0</v>
      </c>
      <c r="AM40">
        <f>IF(G40&gt;$B$3,1,0)</f>
        <v>1</v>
      </c>
      <c r="AN40">
        <f>IF(H40&gt;$B$4,1,0)</f>
        <v>1</v>
      </c>
      <c r="AO40">
        <f>ABS(H40)/$B$4</f>
        <v>3.4737499999999999</v>
      </c>
      <c r="AP40">
        <f>Logistic(I40/$B$5)</f>
        <v>0.88682868268462078</v>
      </c>
      <c r="AQ40">
        <f>IF(I40&gt;$B$5,1,0)</f>
        <v>1</v>
      </c>
      <c r="AR40">
        <f>Logistic(ABS(F40-O40)/($B$6/2))</f>
        <v>0.23076751278236435</v>
      </c>
      <c r="AS40">
        <f>IF(OR(F40&lt;M40,F40&gt;N40),1,0)</f>
        <v>0</v>
      </c>
      <c r="AT40">
        <f>ABS(K40)/$B$4</f>
        <v>2.8750000000000001E-2</v>
      </c>
      <c r="AU40">
        <f t="shared" ca="1" si="40"/>
        <v>0</v>
      </c>
      <c r="AV40">
        <f ca="1">IF(AND(L40&lt;&gt;$L$15,$Q$15&gt;Safety_Distance),1,0)</f>
        <v>1</v>
      </c>
      <c r="AW40">
        <f ca="1">MAX(1-(IF(Q40/(G40-R40)&gt;0,Q40/(G40-R40),Collision_Time_Buffer)/Collision_Time_Buffer),0)*IF($L$15&lt;&gt;L40,Lane_Change_Multiplier,1)</f>
        <v>0</v>
      </c>
      <c r="AX40">
        <f ca="1">MAX(1-(IF(T40/(G40-U40)&gt;0,T40/(G40-U40),Collision_Time_Buffer)/Collision_Time_Buffer),0)*IF($L$15&lt;&gt;L40,Lane_Change_Multiplier,1)</f>
        <v>0</v>
      </c>
      <c r="AY40">
        <f ca="1">MAX(1-(IF(W40/(G40-X40)&gt;0,W40/(G40-X40),Collision_Time_Buffer)/Collision_Time_Buffer),0)*IF($L$15&lt;&gt;L40,Lane_Change_Multiplier,1)</f>
        <v>0</v>
      </c>
      <c r="AZ40">
        <f ca="1">MAX(1-(IF(Z40/(G40-AA40)&gt;0,Z40/(G40-AA40),Collision_Time_Buffer)/Collision_Time_Buffer),0)*IF($L$15&lt;&gt;L40,Lane_Change_Multiplier,1)</f>
        <v>0</v>
      </c>
      <c r="BA40">
        <f t="shared" ca="1" si="41"/>
        <v>0</v>
      </c>
      <c r="BB40">
        <f t="shared" ca="1" si="42"/>
        <v>0</v>
      </c>
      <c r="BC40">
        <f t="shared" si="43"/>
        <v>0</v>
      </c>
      <c r="BE40">
        <f>Logistic((D40-$B$2)/$B$2)</f>
        <v>0.13909244787845804</v>
      </c>
      <c r="BF40">
        <f t="shared" si="44"/>
        <v>0</v>
      </c>
      <c r="BG40">
        <f t="shared" si="45"/>
        <v>0</v>
      </c>
      <c r="BH40">
        <f>Logistic(($B$3-G40)/(G40+1))</f>
        <v>-0.23686252718842227</v>
      </c>
      <c r="BI40">
        <f>IF(G40&gt;$B$3,1,0)</f>
        <v>1</v>
      </c>
      <c r="BJ40">
        <f>IF(H40&gt;$B$5,1,0)</f>
        <v>1</v>
      </c>
      <c r="BK40">
        <f>EXP(-($B$4-ABS(H40))/MAX(ABS(H40),0.000000001))</f>
        <v>2.0383214780067425</v>
      </c>
      <c r="BL40">
        <f t="shared" si="46"/>
        <v>0</v>
      </c>
      <c r="BM40">
        <f>EXP(-($B$5-I40)/MAX(I40,0.000000001))</f>
        <v>1.9052293574324817</v>
      </c>
      <c r="BN40">
        <f>IF(F40&gt;N40,(F40-N40)/$B$6,0)+IF(F40&lt;M40,(M40-F40)/$B$6,0)</f>
        <v>0</v>
      </c>
      <c r="BO40">
        <f>ABS(K40/$B$4)</f>
        <v>2.8750000000000001E-2</v>
      </c>
      <c r="BP40">
        <f>Logistic(ABS(H40)/$B$4)</f>
        <v>0.93986315525373765</v>
      </c>
      <c r="BQ40">
        <f>Logistic(($B$3-G40)/G40)</f>
        <v>-0.24228518034115806</v>
      </c>
    </row>
    <row r="43" spans="1:69" x14ac:dyDescent="0.25">
      <c r="B43" s="7" t="s">
        <v>31</v>
      </c>
      <c r="C43" s="7"/>
      <c r="D43" s="7"/>
      <c r="E43" s="7"/>
    </row>
    <row r="44" spans="1:69" x14ac:dyDescent="0.25">
      <c r="B44" s="1" t="s">
        <v>8</v>
      </c>
      <c r="C44" s="1" t="s">
        <v>9</v>
      </c>
      <c r="D44" t="s">
        <v>63</v>
      </c>
      <c r="E44" s="1" t="s">
        <v>3</v>
      </c>
    </row>
    <row r="45" spans="1:69" x14ac:dyDescent="0.25">
      <c r="B45">
        <v>91.983315000000005</v>
      </c>
      <c r="C45">
        <v>1.986086</v>
      </c>
      <c r="D45">
        <v>21.462890999999999</v>
      </c>
      <c r="E45">
        <v>1</v>
      </c>
    </row>
    <row r="46" spans="1:69" x14ac:dyDescent="0.25">
      <c r="B46">
        <v>270.73156699999998</v>
      </c>
      <c r="C46">
        <v>5.9547809999999997</v>
      </c>
      <c r="D46">
        <v>17.971278000000002</v>
      </c>
      <c r="E46">
        <v>2</v>
      </c>
    </row>
    <row r="47" spans="1:69" x14ac:dyDescent="0.25">
      <c r="B47">
        <v>92.416458000000006</v>
      </c>
      <c r="C47">
        <v>9.9860140000000008</v>
      </c>
      <c r="D47">
        <v>21.706764</v>
      </c>
      <c r="E47">
        <v>3</v>
      </c>
    </row>
  </sheetData>
  <mergeCells count="4">
    <mergeCell ref="A1:B1"/>
    <mergeCell ref="AH12:BB12"/>
    <mergeCell ref="BE12:BO12"/>
    <mergeCell ref="B43:E4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Sheet0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Collision_Time_Buffer</vt:lpstr>
      <vt:lpstr>Lane_Change_Multiplier</vt:lpstr>
      <vt:lpstr>Safety_Distance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2018-10-10T18:22:29Z</dcterms:created>
  <dcterms:modified xsi:type="dcterms:W3CDTF">2018-10-20T21:01:34Z</dcterms:modified>
</cp:coreProperties>
</file>